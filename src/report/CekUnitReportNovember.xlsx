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cekunit\src\report\"/>
    </mc:Choice>
  </mc:AlternateContent>
  <bookViews>
    <workbookView xWindow="0" yWindow="0" windowWidth="24000" windowHeight="9600" activeTab="5"/>
  </bookViews>
  <sheets>
    <sheet name="cekunit" sheetId="1" r:id="rId1"/>
    <sheet name="coll" sheetId="2" r:id="rId2"/>
    <sheet name="all coll" sheetId="3" r:id="rId3"/>
    <sheet name="all dep" sheetId="4" r:id="rId4"/>
    <sheet name="terdetect" sheetId="5" r:id="rId5"/>
    <sheet name="realisasi" sheetId="9" r:id="rId6"/>
  </sheets>
  <definedNames>
    <definedName name="_xlnm._FilterDatabase" localSheetId="4" hidden="1">terdetect!$A$1:$Y$1095</definedName>
  </definedNames>
  <calcPr calcId="162913"/>
  <pivotCaches>
    <pivotCache cacheId="1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2" i="3" l="1"/>
  <c r="AJ61" i="3"/>
  <c r="AJ58" i="3"/>
  <c r="AJ57" i="3"/>
  <c r="AJ54" i="3"/>
  <c r="AJ53" i="3"/>
  <c r="AJ50" i="3"/>
  <c r="AJ49" i="3"/>
  <c r="AJ46" i="3"/>
  <c r="AJ45" i="3"/>
  <c r="AJ42" i="3"/>
  <c r="AJ41" i="3"/>
  <c r="AJ38" i="3"/>
  <c r="AJ37" i="3"/>
  <c r="AJ34" i="3"/>
  <c r="AJ33" i="3"/>
  <c r="AJ30" i="3"/>
  <c r="AJ29" i="3"/>
  <c r="AJ26" i="3"/>
  <c r="AJ25" i="3"/>
  <c r="AJ22" i="3"/>
  <c r="AJ21" i="3"/>
  <c r="AJ18" i="3"/>
  <c r="AJ17" i="3"/>
  <c r="AJ14" i="3"/>
  <c r="AJ13" i="3"/>
  <c r="AJ10" i="3"/>
  <c r="AJ9" i="3"/>
  <c r="AJ6" i="3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C26" i="4"/>
  <c r="AK25" i="4"/>
  <c r="C25" i="4"/>
  <c r="AK24" i="4"/>
  <c r="C24" i="4"/>
  <c r="AK23" i="4"/>
  <c r="C23" i="4"/>
  <c r="AK22" i="4"/>
  <c r="C22" i="4"/>
  <c r="AK21" i="4"/>
  <c r="C21" i="4"/>
  <c r="AK20" i="4"/>
  <c r="C20" i="4"/>
  <c r="AK19" i="4"/>
  <c r="C19" i="4"/>
  <c r="AK18" i="4"/>
  <c r="C18" i="4"/>
  <c r="AK17" i="4"/>
  <c r="C17" i="4"/>
  <c r="AK16" i="4"/>
  <c r="C16" i="4"/>
  <c r="AK15" i="4"/>
  <c r="C15" i="4"/>
  <c r="AK14" i="4"/>
  <c r="C14" i="4"/>
  <c r="AK13" i="4"/>
  <c r="C13" i="4"/>
  <c r="AK12" i="4"/>
  <c r="C12" i="4"/>
  <c r="AK11" i="4"/>
  <c r="C11" i="4"/>
  <c r="AK10" i="4"/>
  <c r="C10" i="4"/>
  <c r="AK9" i="4"/>
  <c r="C9" i="4"/>
  <c r="AK8" i="4"/>
  <c r="C8" i="4"/>
  <c r="AK7" i="4"/>
  <c r="C7" i="4"/>
  <c r="AK6" i="4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AJ64" i="3"/>
  <c r="AJ63" i="3"/>
  <c r="AJ60" i="3"/>
  <c r="AJ59" i="3"/>
  <c r="AJ56" i="3"/>
  <c r="AJ55" i="3"/>
  <c r="AJ52" i="3"/>
  <c r="AJ51" i="3"/>
  <c r="AJ48" i="3"/>
  <c r="AJ47" i="3"/>
  <c r="AJ44" i="3"/>
  <c r="AJ43" i="3"/>
  <c r="AJ40" i="3"/>
  <c r="AJ39" i="3"/>
  <c r="AJ36" i="3"/>
  <c r="AJ35" i="3"/>
  <c r="AJ32" i="3"/>
  <c r="AJ31" i="3"/>
  <c r="AJ28" i="3"/>
  <c r="AJ27" i="3"/>
  <c r="AJ24" i="3"/>
  <c r="AJ23" i="3"/>
  <c r="AJ20" i="3"/>
  <c r="AJ19" i="3"/>
  <c r="AJ16" i="3"/>
  <c r="AJ15" i="3"/>
  <c r="AJ12" i="3"/>
  <c r="AJ11" i="3"/>
  <c r="AJ8" i="3"/>
  <c r="AJ7" i="3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7" i="2"/>
  <c r="AJ16" i="2"/>
  <c r="AJ15" i="2"/>
  <c r="AJ14" i="2"/>
  <c r="AJ13" i="2"/>
  <c r="AJ12" i="2"/>
  <c r="AJ11" i="2"/>
  <c r="AJ10" i="2"/>
  <c r="AJ9" i="2"/>
  <c r="AJ8" i="2"/>
  <c r="AJ7" i="2"/>
  <c r="AJ6" i="2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8" i="1"/>
  <c r="AJ7" i="1"/>
  <c r="AJ6" i="1"/>
  <c r="AJ65" i="3" l="1"/>
  <c r="U65" i="3"/>
  <c r="AJ43" i="2"/>
  <c r="AJ27" i="1"/>
</calcChain>
</file>

<file path=xl/sharedStrings.xml><?xml version="1.0" encoding="utf-8"?>
<sst xmlns="http://schemas.openxmlformats.org/spreadsheetml/2006/main" count="20734" uniqueCount="5335">
  <si>
    <t>BULAN NOVEMBER 2025</t>
  </si>
  <si>
    <t>NO</t>
  </si>
  <si>
    <t>NAMA</t>
  </si>
  <si>
    <t>TARGET HARIAN</t>
  </si>
  <si>
    <t>TANGGAL FOTO</t>
  </si>
  <si>
    <t>GRAND TOTAL</t>
  </si>
  <si>
    <t>DAULAT</t>
  </si>
  <si>
    <t>ROBY</t>
  </si>
  <si>
    <t>PANTOM</t>
  </si>
  <si>
    <t/>
  </si>
  <si>
    <t>BINTANG</t>
  </si>
  <si>
    <t>ALDO</t>
  </si>
  <si>
    <t>FAJRI</t>
  </si>
  <si>
    <t>MIKO</t>
  </si>
  <si>
    <t>REVAN DAUD</t>
  </si>
  <si>
    <t>IMRAH</t>
  </si>
  <si>
    <t>HALIM</t>
  </si>
  <si>
    <t>AGUS</t>
  </si>
  <si>
    <t>BRYAN</t>
  </si>
  <si>
    <t>WILLY</t>
  </si>
  <si>
    <t>FIRDAUS</t>
  </si>
  <si>
    <t>ERWANTO</t>
  </si>
  <si>
    <t>ARKHA</t>
  </si>
  <si>
    <t>JULIENDRA</t>
  </si>
  <si>
    <t>REFAN ANUGRAH</t>
  </si>
  <si>
    <t>BAGAS</t>
  </si>
  <si>
    <t>FRIAEDO</t>
  </si>
  <si>
    <t>TOTAL</t>
  </si>
  <si>
    <t>RIZKI A</t>
  </si>
  <si>
    <t>BOSPA</t>
  </si>
  <si>
    <t>ALJABAR</t>
  </si>
  <si>
    <t>JUBRAIDER</t>
  </si>
  <si>
    <t>ROBEN</t>
  </si>
  <si>
    <t>WILFRIN</t>
  </si>
  <si>
    <t>RINTO</t>
  </si>
  <si>
    <t>TALENTA S</t>
  </si>
  <si>
    <t>MIDUK</t>
  </si>
  <si>
    <t>RIZKI</t>
  </si>
  <si>
    <t>RIMPUN</t>
  </si>
  <si>
    <t>JOSRI</t>
  </si>
  <si>
    <t>ZAEN</t>
  </si>
  <si>
    <t>EFENDI</t>
  </si>
  <si>
    <t>OLOAN</t>
  </si>
  <si>
    <t>PARNI</t>
  </si>
  <si>
    <t>MARTIN</t>
  </si>
  <si>
    <t>RIDWAN</t>
  </si>
  <si>
    <t>PAUL</t>
  </si>
  <si>
    <t>NISA</t>
  </si>
  <si>
    <t>REY</t>
  </si>
  <si>
    <t>DOKA</t>
  </si>
  <si>
    <t>SATRIA</t>
  </si>
  <si>
    <t>KHATIJAH FITRI</t>
  </si>
  <si>
    <t>BP TIOPAN</t>
  </si>
  <si>
    <t>AFSYAH</t>
  </si>
  <si>
    <t>MUTIA</t>
  </si>
  <si>
    <t>OPENDI</t>
  </si>
  <si>
    <t>HARDIMAN</t>
  </si>
  <si>
    <t>BP HENDRA IMS</t>
  </si>
  <si>
    <t>BP CRIS IMS</t>
  </si>
  <si>
    <t>AMRIN IMS</t>
  </si>
  <si>
    <t>BP RENDY IMS</t>
  </si>
  <si>
    <t>`</t>
  </si>
  <si>
    <t>BULAN OKTOBER 2025</t>
  </si>
  <si>
    <t>BP JIMMY TAN</t>
  </si>
  <si>
    <t>BP IWAN</t>
  </si>
  <si>
    <t>BP ERWAN</t>
  </si>
  <si>
    <t>BP PETER LIM IMS</t>
  </si>
  <si>
    <t>NOVRIDA</t>
  </si>
  <si>
    <t>YUSFIK</t>
  </si>
  <si>
    <t>JONNY</t>
  </si>
  <si>
    <t>RIO</t>
  </si>
  <si>
    <t>ANDRE</t>
  </si>
  <si>
    <t>RAMCES</t>
  </si>
  <si>
    <t>FIKAR</t>
  </si>
  <si>
    <t>HENDRA</t>
  </si>
  <si>
    <t>SUSI</t>
  </si>
  <si>
    <t>RAYA</t>
  </si>
  <si>
    <t>UMAR</t>
  </si>
  <si>
    <t>AFRIANTO</t>
  </si>
  <si>
    <t>ANDRA</t>
  </si>
  <si>
    <t>DONI</t>
  </si>
  <si>
    <t>BRIAN</t>
  </si>
  <si>
    <t>DANIEL</t>
  </si>
  <si>
    <t>TAUFIK</t>
  </si>
  <si>
    <t>GALIH</t>
  </si>
  <si>
    <t>no</t>
  </si>
  <si>
    <t>created_at</t>
  </si>
  <si>
    <t>user_id</t>
  </si>
  <si>
    <t>lokasi</t>
  </si>
  <si>
    <t>no_perjanjian</t>
  </si>
  <si>
    <t>nama_nasabah</t>
  </si>
  <si>
    <t>nopol</t>
  </si>
  <si>
    <t>coll</t>
  </si>
  <si>
    <t>pic</t>
  </si>
  <si>
    <t>kategori</t>
  </si>
  <si>
    <t>jto</t>
  </si>
  <si>
    <t>no_rangka</t>
  </si>
  <si>
    <t>no_mesin</t>
  </si>
  <si>
    <t>merk</t>
  </si>
  <si>
    <t>type</t>
  </si>
  <si>
    <t>warna</t>
  </si>
  <si>
    <t>status</t>
  </si>
  <si>
    <t>actual_penyelesaian</t>
  </si>
  <si>
    <t>angsuran_ke</t>
  </si>
  <si>
    <t>tenor</t>
  </si>
  <si>
    <t>pic_foto</t>
  </si>
  <si>
    <t>team</t>
  </si>
  <si>
    <t>keterangan</t>
  </si>
  <si>
    <t>penyelesain</t>
  </si>
  <si>
    <t>detail_case</t>
  </si>
  <si>
    <t>6d21de4b-42fc-49f2-86f3-40a2a9759695</t>
  </si>
  <si>
    <t>LatLng(lat: 0.8820075, lng: 104.4928837)</t>
  </si>
  <si>
    <t>TP-24-F0000224</t>
  </si>
  <si>
    <t>SYAIPUDDIN ZUHRI</t>
  </si>
  <si>
    <t>BP 3514 QB</t>
  </si>
  <si>
    <t>C0</t>
  </si>
  <si>
    <t>13.CALL CENTER</t>
  </si>
  <si>
    <t>A</t>
  </si>
  <si>
    <t>MH1JM3117HK352987</t>
  </si>
  <si>
    <t>JM31E1356490</t>
  </si>
  <si>
    <t>HONDA</t>
  </si>
  <si>
    <t>SCOOPY</t>
  </si>
  <si>
    <t>COKLAT HITAM</t>
  </si>
  <si>
    <t>JG</t>
  </si>
  <si>
    <t>DONE</t>
  </si>
  <si>
    <t>Roby radiansyah</t>
  </si>
  <si>
    <t>COLL</t>
  </si>
  <si>
    <t>NO RESPON</t>
  </si>
  <si>
    <t>LatLng(lat: 0.9154418, lng: 104.4938645)</t>
  </si>
  <si>
    <t>TP-25-F0000210</t>
  </si>
  <si>
    <t>MURNIATI</t>
  </si>
  <si>
    <t>BP 2109 BN</t>
  </si>
  <si>
    <t>01.GUNTUR</t>
  </si>
  <si>
    <t>MH1JM011XMK466927</t>
  </si>
  <si>
    <t>JM01E1466055</t>
  </si>
  <si>
    <t>HITAM</t>
  </si>
  <si>
    <t>GAGAL BAYAR</t>
  </si>
  <si>
    <t>TEST</t>
  </si>
  <si>
    <t>84bd70a4-2508-4125-ab4b-a83ccf1a7416</t>
  </si>
  <si>
    <t>LatLng(lat: 0.9154369, lng: 104.4938651)</t>
  </si>
  <si>
    <t>Dony Indirwan</t>
  </si>
  <si>
    <t>ALL</t>
  </si>
  <si>
    <t>REALISASI OCT</t>
  </si>
  <si>
    <t>a4f24bfd-45be-407a-a9ce-5da8e226108b</t>
  </si>
  <si>
    <t>LatLng(lat: 1.043314, lng: 103.9794592)</t>
  </si>
  <si>
    <t>SP-25-F0000357</t>
  </si>
  <si>
    <t>HERU SANJAYA</t>
  </si>
  <si>
    <t>BP 3678 UC</t>
  </si>
  <si>
    <t>CX BARU</t>
  </si>
  <si>
    <t xml:space="preserve"> </t>
  </si>
  <si>
    <t>MH1JM8118LK302816</t>
  </si>
  <si>
    <t>JM81E1304765</t>
  </si>
  <si>
    <t>BEAT</t>
  </si>
  <si>
    <t>Hardiman tampubolon</t>
  </si>
  <si>
    <t>50dfc547-071b-4547-a06d-921c46792c75</t>
  </si>
  <si>
    <t>LatLng(lat: 1.1274611380791384, lng: 104.05253467365443)</t>
  </si>
  <si>
    <t>Erwan</t>
  </si>
  <si>
    <t>5d155998-3b32-426c-9f80-9898af00922a</t>
  </si>
  <si>
    <t>LatLng(lat: 1.0394741, lng: 103.9911497)</t>
  </si>
  <si>
    <t>SP-25-F0001685</t>
  </si>
  <si>
    <t>JUWITA BUDIARTI</t>
  </si>
  <si>
    <t>BP 5591 G</t>
  </si>
  <si>
    <t>MH3RG4760PK066398</t>
  </si>
  <si>
    <t>G3S7E0080613</t>
  </si>
  <si>
    <t>YAMAHA</t>
  </si>
  <si>
    <t>XSR 155</t>
  </si>
  <si>
    <t>LUNAS</t>
  </si>
  <si>
    <t>REFAN ANUGRAH MANALU</t>
  </si>
  <si>
    <t>97b899c7-a738-4c0c-a57d-47d1be720bd2</t>
  </si>
  <si>
    <t>LatLng(lat: 1.0432951, lng: 103.9796114)</t>
  </si>
  <si>
    <t>SP-25-F0001868</t>
  </si>
  <si>
    <t>RINO ARI MUKTI</t>
  </si>
  <si>
    <t>BP 3218 RH</t>
  </si>
  <si>
    <t>C</t>
  </si>
  <si>
    <t>BELUM JTO</t>
  </si>
  <si>
    <t>MH1JM021XNK642472</t>
  </si>
  <si>
    <t>JM02E1640421</t>
  </si>
  <si>
    <t>SCOOPY KEYLEES</t>
  </si>
  <si>
    <t>PUTIH</t>
  </si>
  <si>
    <t>dokalorenpurba</t>
  </si>
  <si>
    <t>LatLng(lat: 1.0381672, lng: 103.9688684)</t>
  </si>
  <si>
    <t>OD-23-F0000672</t>
  </si>
  <si>
    <t>SHONI KLINTEN</t>
  </si>
  <si>
    <t>BP 3698 GB</t>
  </si>
  <si>
    <t>New C2</t>
  </si>
  <si>
    <t>MH1KB1112FK038613</t>
  </si>
  <si>
    <t>KB11E1040319</t>
  </si>
  <si>
    <t>SONIC</t>
  </si>
  <si>
    <t>BEDA MOTOR</t>
  </si>
  <si>
    <t>LatLng(lat: 1.0432819, lng: 103.9795897)</t>
  </si>
  <si>
    <t>SP-24-F0002602</t>
  </si>
  <si>
    <t>INDRA SETIAWAN</t>
  </si>
  <si>
    <t>BP 3685 HP</t>
  </si>
  <si>
    <t>MH1JFZ121JK882979</t>
  </si>
  <si>
    <t>JFZ1E2886680</t>
  </si>
  <si>
    <t>1544d06d-d3ae-4f27-a81b-96b8341d1255</t>
  </si>
  <si>
    <t>LatLng(lat: 0.9018516, lng: 104.5682532)</t>
  </si>
  <si>
    <t>TP-25-F0000401</t>
  </si>
  <si>
    <t>AZWIN KURNIAWAN</t>
  </si>
  <si>
    <t>BP 5753 GW</t>
  </si>
  <si>
    <t>MH3SG3190KJ803622</t>
  </si>
  <si>
    <t>G3E4E1764291</t>
  </si>
  <si>
    <t>NMAX</t>
  </si>
  <si>
    <t>Muhamad yusfik</t>
  </si>
  <si>
    <t>TARIKAN</t>
  </si>
  <si>
    <t>CEKUNIT</t>
  </si>
  <si>
    <t>LatLng(lat: 0.9070983, lng: 104.4757764)</t>
  </si>
  <si>
    <t>TP-25-F0000084</t>
  </si>
  <si>
    <t>RIO SOLI RAMADAN</t>
  </si>
  <si>
    <t>BP 3760 PC</t>
  </si>
  <si>
    <t>C1</t>
  </si>
  <si>
    <t>MH1JM5113LK519267</t>
  </si>
  <si>
    <t>JM51E1519690</t>
  </si>
  <si>
    <t>VARIO</t>
  </si>
  <si>
    <t>BIRU</t>
  </si>
  <si>
    <t>PARTIAL</t>
  </si>
  <si>
    <t>LatLng(lat: 0.9075493, lng: 104.4721276)</t>
  </si>
  <si>
    <t>TP-24-F0000595</t>
  </si>
  <si>
    <t>WIWIN HARYADI</t>
  </si>
  <si>
    <t>BP 2783 PJ</t>
  </si>
  <si>
    <t>MH1JM011XMK218256</t>
  </si>
  <si>
    <t>JM01E1221733</t>
  </si>
  <si>
    <t>74bb1709-aa7b-4b41-a082-a2af867fd15e</t>
  </si>
  <si>
    <t>LatLng(lat: 1.0281183503799802, lng: 103.95885441452265)</t>
  </si>
  <si>
    <t>SP-25-F0000093</t>
  </si>
  <si>
    <t>AFRIZAL CHANDRA</t>
  </si>
  <si>
    <t>BP 2176 Q</t>
  </si>
  <si>
    <t>10.MIDUK</t>
  </si>
  <si>
    <t>MH1JM0411PK226827</t>
  </si>
  <si>
    <t>JM04E1226846</t>
  </si>
  <si>
    <t>SCOOPY KEYLESS</t>
  </si>
  <si>
    <t>HIJAU</t>
  </si>
  <si>
    <t>Bryan Saptarika</t>
  </si>
  <si>
    <t>LatLng(lat: 1.0405211, lng: 103.9919603)</t>
  </si>
  <si>
    <t>SP-25-F0000921</t>
  </si>
  <si>
    <t>KHUROTUL IMTIHANIYAH</t>
  </si>
  <si>
    <t>BP 3967 RM</t>
  </si>
  <si>
    <t xml:space="preserve">11.RIMPUN </t>
  </si>
  <si>
    <t>MH1JM8217NK472053</t>
  </si>
  <si>
    <t>JM82E1470141</t>
  </si>
  <si>
    <t>BEAT STREET</t>
  </si>
  <si>
    <t>SP-24-F0002743</t>
  </si>
  <si>
    <t>CHRESTINA JUNI PRASETYA AGUSTIN</t>
  </si>
  <si>
    <t>BP 3066 UO</t>
  </si>
  <si>
    <t>12.JUBRAIDER S</t>
  </si>
  <si>
    <t>MH1JM0116MK254896</t>
  </si>
  <si>
    <t>JM01E1252844</t>
  </si>
  <si>
    <t>SCOOPY NON KEYLESS</t>
  </si>
  <si>
    <t>LatLng(lat: 1.0420826, lng: 103.9810061)</t>
  </si>
  <si>
    <t>SP-24-F0001575</t>
  </si>
  <si>
    <t>EDI EFRIANDI BANCIN</t>
  </si>
  <si>
    <t>BP 4697 HE</t>
  </si>
  <si>
    <t>03.DAULAT</t>
  </si>
  <si>
    <t>MH3SG5620PK853081</t>
  </si>
  <si>
    <t>G3L8E1823611</t>
  </si>
  <si>
    <t>LatLng(lat: 1.0230449, lng: 103.9622884)</t>
  </si>
  <si>
    <t>OD-25-F0000181</t>
  </si>
  <si>
    <t>SUSIWATI</t>
  </si>
  <si>
    <t>BP 4290 I</t>
  </si>
  <si>
    <t>MH1JMG115RK071764</t>
  </si>
  <si>
    <t>JMG1E1071707</t>
  </si>
  <si>
    <t>eea94692-e3ef-470d-a986-47d8940e37c5</t>
  </si>
  <si>
    <t>LatLng(lat: 1.0598035, lng: 103.9726909)</t>
  </si>
  <si>
    <t>SP-24-F0002050</t>
  </si>
  <si>
    <t>SUHERNI</t>
  </si>
  <si>
    <t>BP 2779 MQ</t>
  </si>
  <si>
    <t>MH1KC5215EK188717</t>
  </si>
  <si>
    <t>KC52E1186859</t>
  </si>
  <si>
    <t>VERZA 150</t>
  </si>
  <si>
    <t>MERAH</t>
  </si>
  <si>
    <t>Rimpun Pardomuan Simanullang</t>
  </si>
  <si>
    <t>LatLng(lat: 1.0428264, lng: 103.9798702)</t>
  </si>
  <si>
    <t>SP-25-F0001293</t>
  </si>
  <si>
    <t>FRANSISCUS VILIUS</t>
  </si>
  <si>
    <t>BP 3798 HF</t>
  </si>
  <si>
    <t>08.JOSRI</t>
  </si>
  <si>
    <t>MH1KC9110JK169754</t>
  </si>
  <si>
    <t>KC91E1159570</t>
  </si>
  <si>
    <t>CBR 150 LED</t>
  </si>
  <si>
    <t>MERAH PUTIH</t>
  </si>
  <si>
    <t>dcc6f40b-a9a1-43d4-bd37-f0019f505bcd</t>
  </si>
  <si>
    <t>LatLng(lat: 1.0407149, lng: 103.9875196)</t>
  </si>
  <si>
    <t>SP-25-F0001380</t>
  </si>
  <si>
    <t>ERWIN RICARDO NAPITUPULU</t>
  </si>
  <si>
    <t>BP 3498 JU</t>
  </si>
  <si>
    <t>MH1JM3136LK370388</t>
  </si>
  <si>
    <t>JM31E3364558</t>
  </si>
  <si>
    <t>MERAH HITAM</t>
  </si>
  <si>
    <t>FRIAEDO PANGASIAN LUMBAN TOBING</t>
  </si>
  <si>
    <t>LatLng(lat: 1.0433301, lng: 103.9794961)</t>
  </si>
  <si>
    <t>SP-24-F0001301</t>
  </si>
  <si>
    <t>SUPARYONO</t>
  </si>
  <si>
    <t>BP 2889 Q</t>
  </si>
  <si>
    <t>MH1JM821XPK803002</t>
  </si>
  <si>
    <t>JM82E1801707</t>
  </si>
  <si>
    <t>SILVER</t>
  </si>
  <si>
    <t>LatLng(lat: 1.042488, lng: 103.9828281)</t>
  </si>
  <si>
    <t>fced54d3-7c26-48e8-91fe-7d7236e7f959</t>
  </si>
  <si>
    <t>LatLng(lat: 1.0424166, lng: 103.9784589)</t>
  </si>
  <si>
    <t>SP-25-F0000115</t>
  </si>
  <si>
    <t>RIKI SAPUTRA</t>
  </si>
  <si>
    <t>BP 6995 AU</t>
  </si>
  <si>
    <t>MH1JM0313RK718165</t>
  </si>
  <si>
    <t>JM03E1718130</t>
  </si>
  <si>
    <t>BIRU PUTIH</t>
  </si>
  <si>
    <t>Tiopan Lumbantoruan</t>
  </si>
  <si>
    <t>6159b013-1d5d-41e6-b081-c5781a4ea31b</t>
  </si>
  <si>
    <t>LatLng(lat: 1.0570411, lng: 103.9454007)</t>
  </si>
  <si>
    <t>OD-25-F0000594</t>
  </si>
  <si>
    <t>ASIR HANAPADA</t>
  </si>
  <si>
    <t>BP 2440 AC</t>
  </si>
  <si>
    <t>MH1JM8124NK057184</t>
  </si>
  <si>
    <t>JM81E2058842</t>
  </si>
  <si>
    <t>Talenta sihombing</t>
  </si>
  <si>
    <t>LatLng(lat: 1.0439694, lng: 103.9774744)</t>
  </si>
  <si>
    <t>SP-25-F0001932</t>
  </si>
  <si>
    <t>LUKMAN LABA</t>
  </si>
  <si>
    <t>BP 2027 OG</t>
  </si>
  <si>
    <t>MH1KB1117FK002349</t>
  </si>
  <si>
    <t>KB11E1001247</t>
  </si>
  <si>
    <t>551fa799-4956-44f4-9122-ea915d0399f1</t>
  </si>
  <si>
    <t>LatLng(lat: 1.0400567, lng: 104.00002)</t>
  </si>
  <si>
    <t>SP-25-F0001398</t>
  </si>
  <si>
    <t>SAFRIZAL SYAHRI</t>
  </si>
  <si>
    <t>BP 6237 RC</t>
  </si>
  <si>
    <t>MH1JFF11XEK352005</t>
  </si>
  <si>
    <t>JFF1E1345278</t>
  </si>
  <si>
    <t>VARIO 125</t>
  </si>
  <si>
    <t>Miko Nadchipa Sonara</t>
  </si>
  <si>
    <t>e0d931cf-6e64-4a91-a81a-04cf02d33a39</t>
  </si>
  <si>
    <t>LatLng(lat: 1.0414617, lng: 104.0031433)</t>
  </si>
  <si>
    <t>SP-25-F0000048</t>
  </si>
  <si>
    <t>DANA SOBRIANA LIMANSAH</t>
  </si>
  <si>
    <t>BP 3153 AI</t>
  </si>
  <si>
    <t>MH1JFZ131KK307985</t>
  </si>
  <si>
    <t>JFZ1E3308088</t>
  </si>
  <si>
    <t>Agus setiyawan</t>
  </si>
  <si>
    <t>LatLng(lat: 1.0560528, lng: 103.9500223)</t>
  </si>
  <si>
    <t>DATA LUAR 9099</t>
  </si>
  <si>
    <t>LatLng(lat: 1.0566123, lng: 103.949952)</t>
  </si>
  <si>
    <t>SP-25-F0000478</t>
  </si>
  <si>
    <t>RIZKI FUADI</t>
  </si>
  <si>
    <t>BP 5358 QQ</t>
  </si>
  <si>
    <t>MH3RG4710KK107286</t>
  </si>
  <si>
    <t>G3J6E0196961</t>
  </si>
  <si>
    <t>R15 V3</t>
  </si>
  <si>
    <t>LatLng(lat: 0.9204662, lng: 104.5057895)</t>
  </si>
  <si>
    <t>TP-24-F0000678</t>
  </si>
  <si>
    <t>SAHRATUL ULFA</t>
  </si>
  <si>
    <t>BP 2585 BU</t>
  </si>
  <si>
    <t>MH1JM1117JK977609</t>
  </si>
  <si>
    <t>JM11E1960743</t>
  </si>
  <si>
    <t>MAGENTA HITAM</t>
  </si>
  <si>
    <t>LatLng(lat: 1.0561685, lng: 103.9491399)</t>
  </si>
  <si>
    <t>OD-25-F0000073</t>
  </si>
  <si>
    <t>ANDI</t>
  </si>
  <si>
    <t>BP 4687 AG</t>
  </si>
  <si>
    <t>MH3SG5670MJ014157</t>
  </si>
  <si>
    <t>G3L8E0402090</t>
  </si>
  <si>
    <t>688868a7-408e-44ae-b238-348dfc1995b0</t>
  </si>
  <si>
    <t>LatLng(lat: 1.0561757, lng: 103.9490821)</t>
  </si>
  <si>
    <t>Juliendra</t>
  </si>
  <si>
    <t>86afd147-8c0b-48e4-aaf8-44ad72c52985</t>
  </si>
  <si>
    <t>LatLng(lat: 1.0562029, lng: 103.9491753)</t>
  </si>
  <si>
    <t>Erwanto Alfator</t>
  </si>
  <si>
    <t>LatLng(lat: 1.0330964, lng: 103.9973066)</t>
  </si>
  <si>
    <t>SP-25-F0001414</t>
  </si>
  <si>
    <t>ANDI APRILIANSYAH RITONGA</t>
  </si>
  <si>
    <t>BP 3861 UH</t>
  </si>
  <si>
    <t>MH1KF4116KK818324</t>
  </si>
  <si>
    <t>KF41E1820804</t>
  </si>
  <si>
    <t>VARIO 150</t>
  </si>
  <si>
    <t>LatLng(lat: 1.0343533, lng: 103.9967667)</t>
  </si>
  <si>
    <t>SP-25-F0002380</t>
  </si>
  <si>
    <t>CECEP ARI MUKTI</t>
  </si>
  <si>
    <t>BP 3739 JE</t>
  </si>
  <si>
    <t>MH1JFD215DK941299</t>
  </si>
  <si>
    <t>JFD2E1927724</t>
  </si>
  <si>
    <t>ORANGE BIRU</t>
  </si>
  <si>
    <t>LatLng(lat: 1.039865, lng: 103.9975817)</t>
  </si>
  <si>
    <t>SP-25-F0002182</t>
  </si>
  <si>
    <t>AGUSTEN SIMANJUNTAK</t>
  </si>
  <si>
    <t>BP 2480 RA</t>
  </si>
  <si>
    <t>MH1JM8121NK044800</t>
  </si>
  <si>
    <t>JM81E2043389</t>
  </si>
  <si>
    <t>LatLng(lat: 1.0393433, lng: 103.99743)</t>
  </si>
  <si>
    <t>SP-25-F0000827</t>
  </si>
  <si>
    <t>DARMO JANUARIS GULTOM</t>
  </si>
  <si>
    <t>BP 5721 OJ</t>
  </si>
  <si>
    <t>MH3RG1810GK248990</t>
  </si>
  <si>
    <t>G3E7E0250217</t>
  </si>
  <si>
    <t>VIXION ADV</t>
  </si>
  <si>
    <t>LatLng(lat: 1.056165, lng: 103.9491133)</t>
  </si>
  <si>
    <t>SP-24-F0002469</t>
  </si>
  <si>
    <t>AHMAD SANJAYA</t>
  </si>
  <si>
    <t>BP 3248 RH</t>
  </si>
  <si>
    <t>MH1KFA111NK000504</t>
  </si>
  <si>
    <t>KFA1E1000328</t>
  </si>
  <si>
    <t>VARIO 160</t>
  </si>
  <si>
    <t>LatLng(lat: 1.0561759, lng: 103.9491346)</t>
  </si>
  <si>
    <t>LatLng(lat: 1.0561696, lng: 103.9490863)</t>
  </si>
  <si>
    <t>OD-24-F0001386</t>
  </si>
  <si>
    <t>SUBARI</t>
  </si>
  <si>
    <t>BP 5175 JH</t>
  </si>
  <si>
    <t>MH33C1205DK173050</t>
  </si>
  <si>
    <t>3C11172764</t>
  </si>
  <si>
    <t>VIXION</t>
  </si>
  <si>
    <t>MERAH MARUN</t>
  </si>
  <si>
    <t>LatLng(lat: 1.041225, lng: 103.990165)</t>
  </si>
  <si>
    <t>OD-25-F0000341</t>
  </si>
  <si>
    <t>RAMADHAN PUTRA</t>
  </si>
  <si>
    <t>BP 3163 RH</t>
  </si>
  <si>
    <t>MH1KB1110MK314557</t>
  </si>
  <si>
    <t>KB11E1314203</t>
  </si>
  <si>
    <t>MERAH-PUTIH</t>
  </si>
  <si>
    <t>LatLng(lat: 1.0472749, lng: 103.9966242)</t>
  </si>
  <si>
    <t>SP-25-F0002004</t>
  </si>
  <si>
    <t>NELWAN SINAGA</t>
  </si>
  <si>
    <t>BP 2875 QO</t>
  </si>
  <si>
    <t>MH1KC821XGK085314</t>
  </si>
  <si>
    <t>KC82E1089237</t>
  </si>
  <si>
    <t>CB 150</t>
  </si>
  <si>
    <t>LatLng(lat: 1.04686, lng: 103.9971833)</t>
  </si>
  <si>
    <t>SP-25-F0000271</t>
  </si>
  <si>
    <t>DESI CHRISMES HUTAGALUNG</t>
  </si>
  <si>
    <t>BP 3842 OU</t>
  </si>
  <si>
    <t>MH1JM0110MK244798</t>
  </si>
  <si>
    <t>JM01E1243719</t>
  </si>
  <si>
    <t>SCOOPY NON KEY</t>
  </si>
  <si>
    <t>KREM COKLAT</t>
  </si>
  <si>
    <t>LatLng(lat: 1.040085, lng: 103.9910733)</t>
  </si>
  <si>
    <t>OD-24-F0001371</t>
  </si>
  <si>
    <t>MEILANY</t>
  </si>
  <si>
    <t>BP 3086 UO</t>
  </si>
  <si>
    <t>MH1JM0214MK274675</t>
  </si>
  <si>
    <t>JM02E1274303</t>
  </si>
  <si>
    <t>LatLng(lat: 1.0561887, lng: 103.949076)</t>
  </si>
  <si>
    <t>OD-24-F0001836</t>
  </si>
  <si>
    <t>ROSI NOVIZA</t>
  </si>
  <si>
    <t>BP 3998 IG</t>
  </si>
  <si>
    <t>MH1JFC118DK191067</t>
  </si>
  <si>
    <t>JFC1E1190679</t>
  </si>
  <si>
    <t>LatLng(lat: 1.0561935, lng: 103.9490608)</t>
  </si>
  <si>
    <t>LatLng(lat: 1.0403699, lng: 103.9936155)</t>
  </si>
  <si>
    <t>SP-25-F0002445</t>
  </si>
  <si>
    <t>ADE KURNIAWAN</t>
  </si>
  <si>
    <t>BP 2982 UI</t>
  </si>
  <si>
    <t>MH1JM8119MK738737</t>
  </si>
  <si>
    <t>JM81E1740776</t>
  </si>
  <si>
    <t>BEAT DIGITAL</t>
  </si>
  <si>
    <t>LatLng(lat: 1.0415517, lng: 103.99068)</t>
  </si>
  <si>
    <t>OD-25-F0001636</t>
  </si>
  <si>
    <t>RAJA NANDA ALKAUSAR</t>
  </si>
  <si>
    <t>BP 5158 HH</t>
  </si>
  <si>
    <t>MH1JM0425RK192192</t>
  </si>
  <si>
    <t>JM04E2191457</t>
  </si>
  <si>
    <t>78c8aa58-d259-49a1-a96c-192417985ecf</t>
  </si>
  <si>
    <t>LatLng(lat: 1.0815496, lng: 103.9448161)</t>
  </si>
  <si>
    <t>SP-24-F0002522</t>
  </si>
  <si>
    <t>NURDIANI DAULAY</t>
  </si>
  <si>
    <t>BP 4824 AE</t>
  </si>
  <si>
    <t>D</t>
  </si>
  <si>
    <t>MH3SE88H0KJ096476</t>
  </si>
  <si>
    <t>E3R2E2429583</t>
  </si>
  <si>
    <t>MIO M3</t>
  </si>
  <si>
    <t>KUNING</t>
  </si>
  <si>
    <t>ALDO FALERIO TAMBUNAN</t>
  </si>
  <si>
    <t>LatLng(lat: 1.0820893, lng: 103.9443798)</t>
  </si>
  <si>
    <t>SP-25-F0000472</t>
  </si>
  <si>
    <t>TAMRIN</t>
  </si>
  <si>
    <t>BP 2060 RU</t>
  </si>
  <si>
    <t>MH1JFZ210KK672574</t>
  </si>
  <si>
    <t>JFZ2E1671385</t>
  </si>
  <si>
    <t>LatLng(lat: 1.0810651, lng: 103.9449221)</t>
  </si>
  <si>
    <t>SP-25-F0000658</t>
  </si>
  <si>
    <t>MUJIAN</t>
  </si>
  <si>
    <t>BP 3695 HF</t>
  </si>
  <si>
    <t>New C1</t>
  </si>
  <si>
    <t>MH1KC8214JK209777</t>
  </si>
  <si>
    <t>KC82E1202988</t>
  </si>
  <si>
    <t>PEMBAYARAN</t>
  </si>
  <si>
    <t>LatLng(lat: 1.0847433, lng: 103.9406717)</t>
  </si>
  <si>
    <t>OD-24-F0001707</t>
  </si>
  <si>
    <t>ADI</t>
  </si>
  <si>
    <t>BP 5423 AJ</t>
  </si>
  <si>
    <t>MH3SE88F0NJ107189</t>
  </si>
  <si>
    <t>E3W6E0342801</t>
  </si>
  <si>
    <t>FINO</t>
  </si>
  <si>
    <t>LatLng(lat: 1.0429377, lng: 103.9517116)</t>
  </si>
  <si>
    <t>SP-25-F0000901</t>
  </si>
  <si>
    <t>HADI SUBROTO</t>
  </si>
  <si>
    <t>BP 5060 HG</t>
  </si>
  <si>
    <t>MH1JMC113RK534526</t>
  </si>
  <si>
    <t>JMC1E1533733</t>
  </si>
  <si>
    <t>3be3f0c1-373f-4a45-946b-0ab494863da5</t>
  </si>
  <si>
    <t>LatLng(lat: 1.0424517, lng: 103.9784326)</t>
  </si>
  <si>
    <t>OD-24-F0001266</t>
  </si>
  <si>
    <t>CHANDRA FITRI DEWI</t>
  </si>
  <si>
    <t>BP 2475 RH</t>
  </si>
  <si>
    <t>MH1KF7110NK208554</t>
  </si>
  <si>
    <t>KF71E1208442</t>
  </si>
  <si>
    <t>PCX</t>
  </si>
  <si>
    <t>ABU- ABU</t>
  </si>
  <si>
    <t>Afsyah Tanjung</t>
  </si>
  <si>
    <t>LatLng(lat: 1.0812082, lng: 103.9441041)</t>
  </si>
  <si>
    <t>SP-25-F0000988</t>
  </si>
  <si>
    <t>RIYANTO</t>
  </si>
  <si>
    <t>BP 4319 CE</t>
  </si>
  <si>
    <t>MH1KC4119EK282756</t>
  </si>
  <si>
    <t>KC41E1280440</t>
  </si>
  <si>
    <t>CB 150 R</t>
  </si>
  <si>
    <t>LatLng(lat: 1.081298, lng: 103.9422959)</t>
  </si>
  <si>
    <t>OD-24-F0002151</t>
  </si>
  <si>
    <t>M. ZAIMIDEN</t>
  </si>
  <si>
    <t>BP 6062 GQ</t>
  </si>
  <si>
    <t>MH8DL11AZGJ116173</t>
  </si>
  <si>
    <t>CGA1ID116845</t>
  </si>
  <si>
    <t>SUZUKI</t>
  </si>
  <si>
    <t>SATRIA FU</t>
  </si>
  <si>
    <t>LatLng(lat: 1.0587108, lng: 103.9447459)</t>
  </si>
  <si>
    <t>OD-24-F0003460</t>
  </si>
  <si>
    <t>ROSMILI</t>
  </si>
  <si>
    <t>BP 3163 MW</t>
  </si>
  <si>
    <t>MH1JM3120KK548771</t>
  </si>
  <si>
    <t>JM31E2544497</t>
  </si>
  <si>
    <t>SCOOPY STYLISH</t>
  </si>
  <si>
    <t>LatLng(lat: 1.0569784, lng: 103.943269)</t>
  </si>
  <si>
    <t>SP-24-F0002069</t>
  </si>
  <si>
    <t>SARMA SILITONGA</t>
  </si>
  <si>
    <t>BP 2219 FM</t>
  </si>
  <si>
    <t>MH1KF0112PK415022</t>
  </si>
  <si>
    <t>KF01E1415083</t>
  </si>
  <si>
    <t>LatLng(lat: 1.06523, lng: 103.9414202)</t>
  </si>
  <si>
    <t>SP-24-F0000770</t>
  </si>
  <si>
    <t>ELFINASRIANI SILITONGA</t>
  </si>
  <si>
    <t>BP 4419 AI</t>
  </si>
  <si>
    <t>MH3SEG710MJ043401</t>
  </si>
  <si>
    <t>E32WE0043403</t>
  </si>
  <si>
    <t>GEAR</t>
  </si>
  <si>
    <t>ABU ABU</t>
  </si>
  <si>
    <t>LatLng(lat: 1.0564027, lng: 103.9484636)</t>
  </si>
  <si>
    <t>SP-25-F0001116</t>
  </si>
  <si>
    <t>LUSIA SUKINEM</t>
  </si>
  <si>
    <t>BP 2461 OH</t>
  </si>
  <si>
    <t>MH1JFP116FK928390</t>
  </si>
  <si>
    <t>JFP1E1892098</t>
  </si>
  <si>
    <t>PUTIH MERAH</t>
  </si>
  <si>
    <t>LatLng(lat: 1.0564144, lng: 103.9482349)</t>
  </si>
  <si>
    <t>SP-25-F0001857</t>
  </si>
  <si>
    <t>SAIPUL ANWAR</t>
  </si>
  <si>
    <t>BP 6248 JA</t>
  </si>
  <si>
    <t>MH1JMH215SK131231</t>
  </si>
  <si>
    <t>JMH2E1131550</t>
  </si>
  <si>
    <t>6f0ee670-8a9a-45ff-8c00-ca014f6aabeb</t>
  </si>
  <si>
    <t>LatLng(lat: 1.0485767, lng: 103.953455)</t>
  </si>
  <si>
    <t>SP-25-F0000253</t>
  </si>
  <si>
    <t>DANIEL HALOMOAN</t>
  </si>
  <si>
    <t>BP 6763 I</t>
  </si>
  <si>
    <t>MH3SEG710RJ314819</t>
  </si>
  <si>
    <t>E32WE0438330</t>
  </si>
  <si>
    <t>GEAR 125</t>
  </si>
  <si>
    <t>HIJAU PERAK</t>
  </si>
  <si>
    <t>M.alfajri</t>
  </si>
  <si>
    <t>51f658db-9885-4d52-99bd-8e1bf0356977</t>
  </si>
  <si>
    <t>LatLng(lat: 1.0488969, lng: 103.95326)</t>
  </si>
  <si>
    <t>Muhammad Halim Putra</t>
  </si>
  <si>
    <t>LatLng(lat: 1.0564682, lng: 103.9485288)</t>
  </si>
  <si>
    <t>SP-25-F0001780</t>
  </si>
  <si>
    <t>TANTAN HENDRAWAN</t>
  </si>
  <si>
    <t>BP 3969 AJ</t>
  </si>
  <si>
    <t>MH1JFZ136KK354624</t>
  </si>
  <si>
    <t>JFZ1E3354768</t>
  </si>
  <si>
    <t>BEAT FI</t>
  </si>
  <si>
    <t>LatLng(lat: 1.0563512, lng: 103.9485707)</t>
  </si>
  <si>
    <t>SP-25-F0000347</t>
  </si>
  <si>
    <t>LatLng(lat: 1.0563954, lng: 103.9484962)</t>
  </si>
  <si>
    <t>SP-25-F0002152</t>
  </si>
  <si>
    <t>NAGAN EFENDI</t>
  </si>
  <si>
    <t>BP 2297 UJ</t>
  </si>
  <si>
    <t>MH1JM8113MK722193</t>
  </si>
  <si>
    <t>JM81E1723321</t>
  </si>
  <si>
    <t>BIRU HITAM</t>
  </si>
  <si>
    <t>LatLng(lat: 1.05635, lng: 103.9484881)</t>
  </si>
  <si>
    <t>SP-24-F0002162</t>
  </si>
  <si>
    <t>SUSANA NATALIA</t>
  </si>
  <si>
    <t>BP 3274 RE</t>
  </si>
  <si>
    <t>MH1JM8120NK004787</t>
  </si>
  <si>
    <t>JM81E2006495</t>
  </si>
  <si>
    <t>PUTIH HITAM</t>
  </si>
  <si>
    <t>987e43b5-2fed-4ba1-8992-1b4d84e413ab</t>
  </si>
  <si>
    <t>LatLng(lat: 1.0368351, lng: 103.9597032)</t>
  </si>
  <si>
    <t>SP-24-F0002739</t>
  </si>
  <si>
    <t>NURYANTO</t>
  </si>
  <si>
    <t>BP 3297 HI</t>
  </si>
  <si>
    <t>MH1KF411XJK032217</t>
  </si>
  <si>
    <t>KF41E1033080</t>
  </si>
  <si>
    <t>Muhammad imrah</t>
  </si>
  <si>
    <t>LatLng(lat: 1.0563452, lng: 103.9484306)</t>
  </si>
  <si>
    <t>SP-25-F0002029</t>
  </si>
  <si>
    <t>GANDA SIMANJUNTAK</t>
  </si>
  <si>
    <t>BP 3051 UH</t>
  </si>
  <si>
    <t>MH1JM4116KK483860</t>
  </si>
  <si>
    <t>JM41E1482329</t>
  </si>
  <si>
    <t>VARIO THECNO 125</t>
  </si>
  <si>
    <t>1770dac3-81ca-4fab-8a6a-e60c63470def</t>
  </si>
  <si>
    <t>LatLng(lat: 1.0487728, lng: 103.9532131)</t>
  </si>
  <si>
    <t>SP-25-F0002415</t>
  </si>
  <si>
    <t>AHMAD YANI</t>
  </si>
  <si>
    <t>BP 3132 RC</t>
  </si>
  <si>
    <t>MH1JMB114NK027672</t>
  </si>
  <si>
    <t>JMB1E1027736</t>
  </si>
  <si>
    <t>GENIO</t>
  </si>
  <si>
    <t>COKLAT</t>
  </si>
  <si>
    <t>M Arkha Raditya Wuekero</t>
  </si>
  <si>
    <t>LatLng(lat: 1.0485467, lng: 103.9534267)</t>
  </si>
  <si>
    <t>OD-25-F0001093</t>
  </si>
  <si>
    <t>IRSAN</t>
  </si>
  <si>
    <t>BP 5805 OA</t>
  </si>
  <si>
    <t>MH1JMF111RK109825</t>
  </si>
  <si>
    <t>JMF1E1110121</t>
  </si>
  <si>
    <t>LatLng(lat: 1.0487723, lng: 103.9533237)</t>
  </si>
  <si>
    <t>LatLng(lat: 1.0563672, lng: 103.9485008)</t>
  </si>
  <si>
    <t>SP-24-F0002534</t>
  </si>
  <si>
    <t>SYABARUDDIN HARAHAP S AG</t>
  </si>
  <si>
    <t>BP 2575 HE</t>
  </si>
  <si>
    <t>MH1KC5216JK377130</t>
  </si>
  <si>
    <t>KC52E1373658</t>
  </si>
  <si>
    <t>VERZA 150 SPOKE</t>
  </si>
  <si>
    <t>LatLng(lat: 1.0564829, lng: 103.9484566)</t>
  </si>
  <si>
    <t>SP-25-F0000338</t>
  </si>
  <si>
    <t>RIJON ERIANTO</t>
  </si>
  <si>
    <t>BP 2161 RE</t>
  </si>
  <si>
    <t>MH1JM8118NK992697</t>
  </si>
  <si>
    <t>JM81E1993108</t>
  </si>
  <si>
    <t>LatLng(lat: 1.0564861, lng: 103.9484605)</t>
  </si>
  <si>
    <t>OD-24-F0001120</t>
  </si>
  <si>
    <t>ROIS SATUL UMAMAH</t>
  </si>
  <si>
    <t>BP 2204 IU</t>
  </si>
  <si>
    <t>MH1JM9115LK000275</t>
  </si>
  <si>
    <t>JM91E1000265</t>
  </si>
  <si>
    <t>LatLng(lat: 1.0437746, lng: 103.9801468)</t>
  </si>
  <si>
    <t>SP-25-F0000013</t>
  </si>
  <si>
    <t>HEVI YUSMAN</t>
  </si>
  <si>
    <t>BP 4243 HO</t>
  </si>
  <si>
    <t>MH3SG5620PK894370</t>
  </si>
  <si>
    <t>G3L8E1931504</t>
  </si>
  <si>
    <t>LatLng(lat: 1.0441254, lng: 103.9743318)</t>
  </si>
  <si>
    <t>SP-24-F0002593</t>
  </si>
  <si>
    <t>MUHAMMAD DAVID</t>
  </si>
  <si>
    <t>BP 2315 GM</t>
  </si>
  <si>
    <t>MH1JF5132CK392524</t>
  </si>
  <si>
    <t>JF51E3365281</t>
  </si>
  <si>
    <t>BEAT CW</t>
  </si>
  <si>
    <t>LatLng(lat: 1.0564203, lng: 103.948552)</t>
  </si>
  <si>
    <t>OD-24-F0001584</t>
  </si>
  <si>
    <t>MUHAMMAD IKBAL</t>
  </si>
  <si>
    <t>BP 2746 HF</t>
  </si>
  <si>
    <t>MH1JM1113JK699243</t>
  </si>
  <si>
    <t>JM11E1685593</t>
  </si>
  <si>
    <t>MOTOR BERKENDALA</t>
  </si>
  <si>
    <t>LatLng(lat: 1.0384278, lng: 103.9567728)</t>
  </si>
  <si>
    <t>SP-25-F0001000</t>
  </si>
  <si>
    <t>HIDAYAT</t>
  </si>
  <si>
    <t>BP 2906 UJ</t>
  </si>
  <si>
    <t>MH1JM6113MK137723</t>
  </si>
  <si>
    <t>JM61E1197817</t>
  </si>
  <si>
    <t>PUTIH SILVER</t>
  </si>
  <si>
    <t>LatLng(lat: 1.0335566, lng: 103.9448635)</t>
  </si>
  <si>
    <t>OD-24-F0002425</t>
  </si>
  <si>
    <t>MUHAMAD ALI</t>
  </si>
  <si>
    <t>BP 5327 OE</t>
  </si>
  <si>
    <t>MH3SE8810FJ216558</t>
  </si>
  <si>
    <t>E3R2E0223796</t>
  </si>
  <si>
    <t>LatLng(lat: 1.0558261, lng: 103.9465967)</t>
  </si>
  <si>
    <t>LatLng(lat: 1.0557336, lng: 103.9494342)</t>
  </si>
  <si>
    <t>SP-25-F0001235</t>
  </si>
  <si>
    <t>ANTONI</t>
  </si>
  <si>
    <t>BP 3979 FR</t>
  </si>
  <si>
    <t>MH1KF1120JK422217</t>
  </si>
  <si>
    <t>KF11E2416666</t>
  </si>
  <si>
    <t>LatLng(lat: 1.0432992, lng: 103.979592)</t>
  </si>
  <si>
    <t>0100-1168</t>
  </si>
  <si>
    <t>OKTAFIANUS ZEBUA</t>
  </si>
  <si>
    <t>BP 2099 AM</t>
  </si>
  <si>
    <t>CX 2023</t>
  </si>
  <si>
    <t>MH1JM1125KK063689</t>
  </si>
  <si>
    <t>JM11E2045900</t>
  </si>
  <si>
    <t>D1B02N13L2 A/T BEAT SPORTY</t>
  </si>
  <si>
    <t>LatLng(lat: 1.0532973, lng: 103.9293661)</t>
  </si>
  <si>
    <t>OD-25-F0001854</t>
  </si>
  <si>
    <t>SULAIMI</t>
  </si>
  <si>
    <t>BP 2495 RM</t>
  </si>
  <si>
    <t>MH1JM011XNK560209</t>
  </si>
  <si>
    <t>JM01E1558967</t>
  </si>
  <si>
    <t>BIRU KREM</t>
  </si>
  <si>
    <t>LatLng(lat: 1.0645419, lng: 103.9167388)</t>
  </si>
  <si>
    <t>SP-25-F0001947</t>
  </si>
  <si>
    <t>HARI WIDODO</t>
  </si>
  <si>
    <t>BP 2755 FR</t>
  </si>
  <si>
    <t>MH1JM0311PK281926</t>
  </si>
  <si>
    <t>JM03E1282114</t>
  </si>
  <si>
    <t>COKLAT KREM</t>
  </si>
  <si>
    <t>LatLng(lat: 1.064653, lng: 103.9192417)</t>
  </si>
  <si>
    <t>OD-25-F0000752</t>
  </si>
  <si>
    <t>REVOLDINATA SIHOTANG</t>
  </si>
  <si>
    <t>BP 2544 O</t>
  </si>
  <si>
    <t>MH1KCA219MK103000</t>
  </si>
  <si>
    <t>KCA2E1098531</t>
  </si>
  <si>
    <t>LatLng(lat: 1.0503097, lng: 103.95379)</t>
  </si>
  <si>
    <t>SP-25-F0000856</t>
  </si>
  <si>
    <t>ROBET PURBA</t>
  </si>
  <si>
    <t>BP 2510 J</t>
  </si>
  <si>
    <t>MH1KB1113MK307361</t>
  </si>
  <si>
    <t>KB11E1306999</t>
  </si>
  <si>
    <t>LatLng(lat: 1.0650675, lng: 103.9171489)</t>
  </si>
  <si>
    <t>SP-25-F0000851</t>
  </si>
  <si>
    <t>IRWANSYAH PUTRA ROKAN</t>
  </si>
  <si>
    <t>BP 4335 QE</t>
  </si>
  <si>
    <t>MH3RG4110GK026546</t>
  </si>
  <si>
    <t>G3H2E0026568</t>
  </si>
  <si>
    <t>R15</t>
  </si>
  <si>
    <t>LatLng(lat: 1.0242217, lng: 103.9660983)</t>
  </si>
  <si>
    <t>SP-24-F0002370</t>
  </si>
  <si>
    <t>NOKTA</t>
  </si>
  <si>
    <t>BP 2502 OM</t>
  </si>
  <si>
    <t>MH1JM8123PK391242</t>
  </si>
  <si>
    <t>JM81E2388743</t>
  </si>
  <si>
    <t>LatLng(lat: 1.0418186, lng: 103.9691966)</t>
  </si>
  <si>
    <t>SP-25-F0001707</t>
  </si>
  <si>
    <t>ERINA YULDRI YANI SIMANJORANG</t>
  </si>
  <si>
    <t>BP 2517 CU</t>
  </si>
  <si>
    <t>MH1JM3130LK666300</t>
  </si>
  <si>
    <t>JM31E3663275</t>
  </si>
  <si>
    <t>LatLng(lat: 1.0471633, lng: 103.960355)</t>
  </si>
  <si>
    <t>SP-25-F0002649</t>
  </si>
  <si>
    <t>RIO TEGAR SAMUDRA</t>
  </si>
  <si>
    <t>BP 2802 UC</t>
  </si>
  <si>
    <t>MH1JM8117LK319610</t>
  </si>
  <si>
    <t>JM81E1321659</t>
  </si>
  <si>
    <t>LatLng(lat: 1.0475017, lng: 103.9647167)</t>
  </si>
  <si>
    <t>SP-24-F0002687</t>
  </si>
  <si>
    <t>YUNI CARLAN ZEGA</t>
  </si>
  <si>
    <t>BP 2320 GP</t>
  </si>
  <si>
    <t>MH1JFJ112EK029179</t>
  </si>
  <si>
    <t>JFJ1E1033654</t>
  </si>
  <si>
    <t>1.0425864, 103.9828735</t>
  </si>
  <si>
    <t>SP-25-F0001655</t>
  </si>
  <si>
    <t>ARIF PRASETIA</t>
  </si>
  <si>
    <t>BP 3485 II</t>
  </si>
  <si>
    <t>MH1JM0410NK071667</t>
  </si>
  <si>
    <t>JM04E1071698</t>
  </si>
  <si>
    <t>LatLng(lat: 1.033981, lng: 103.9714093)</t>
  </si>
  <si>
    <t>SP-25-F0002268</t>
  </si>
  <si>
    <t>JOGI ROGANTENG SINAGA</t>
  </si>
  <si>
    <t>BP 5370 AM</t>
  </si>
  <si>
    <t>MH3UG0750NK130558</t>
  </si>
  <si>
    <t>G3E6E0670926</t>
  </si>
  <si>
    <t>JUPITER MX KING</t>
  </si>
  <si>
    <t>LatLng(lat: 1.0349952, lng: 103.952356)</t>
  </si>
  <si>
    <t>SP-25-F0002525</t>
  </si>
  <si>
    <t>AGUNG TAUFIQ KS</t>
  </si>
  <si>
    <t>BP 2835 UC</t>
  </si>
  <si>
    <t>MH1JM8116LK149997</t>
  </si>
  <si>
    <t>JM81E1151043</t>
  </si>
  <si>
    <t>LatLng(lat: 1.0340603, lng: 103.9728411)</t>
  </si>
  <si>
    <t>OD-25-F0000641</t>
  </si>
  <si>
    <t>RIZQI ADI WIJAYA</t>
  </si>
  <si>
    <t>BP 5740 BM</t>
  </si>
  <si>
    <t>MH33C1205CK084745</t>
  </si>
  <si>
    <t>3C11084524</t>
  </si>
  <si>
    <t>VIXION OLD</t>
  </si>
  <si>
    <t>LatLng(lat: 1.0347718, lng: 103.9741034)</t>
  </si>
  <si>
    <t>OD-25-F0001956</t>
  </si>
  <si>
    <t>TEGAL ARMAN DIKA</t>
  </si>
  <si>
    <t>BP 2084 MP</t>
  </si>
  <si>
    <t>MH1JFM219EK782773</t>
  </si>
  <si>
    <t>JFM2E1776511</t>
  </si>
  <si>
    <t>LatLng(lat: 1.0330294, lng: 103.9734431)</t>
  </si>
  <si>
    <t>SP-24-F0000977</t>
  </si>
  <si>
    <t>IRFAN</t>
  </si>
  <si>
    <t>BP 3813 CM</t>
  </si>
  <si>
    <t>MH1JFZ123JK949047</t>
  </si>
  <si>
    <t>JFZ1E2948063</t>
  </si>
  <si>
    <t>98b364f6-3d63-49c1-9734-3645a598b42a</t>
  </si>
  <si>
    <t>LatLng(lat: 1.0433135, lng: 103.9794343)</t>
  </si>
  <si>
    <t>OD-25-F0001936</t>
  </si>
  <si>
    <t>PITRA ROHMAN SINAGA</t>
  </si>
  <si>
    <t>BP 3765 HJ</t>
  </si>
  <si>
    <t>MH1JM5116JK036207</t>
  </si>
  <si>
    <t>JM51E1036144</t>
  </si>
  <si>
    <t>VARIO 125 CC</t>
  </si>
  <si>
    <t>Taufik Rahman</t>
  </si>
  <si>
    <t>LatLng(lat: 1.0503357, lng: 103.9693185)</t>
  </si>
  <si>
    <t>SP-25-F0002555</t>
  </si>
  <si>
    <t>ANGGIH SURYA FERDIANSYAH</t>
  </si>
  <si>
    <t>BP 5122 CI</t>
  </si>
  <si>
    <t>MH1JMB11XPK113359</t>
  </si>
  <si>
    <t>JMB1E1113191</t>
  </si>
  <si>
    <t>LatLng(lat: 1.047153, lng: 103.960179)</t>
  </si>
  <si>
    <t>SP-24-F0001787</t>
  </si>
  <si>
    <t>AGUSTINA</t>
  </si>
  <si>
    <t>BP 2348 AC</t>
  </si>
  <si>
    <t>MH1KF0112NK186483</t>
  </si>
  <si>
    <t>KF01E1186239</t>
  </si>
  <si>
    <t>LatLng(lat: 1.0190957, lng: 103.9644012)</t>
  </si>
  <si>
    <t>SP-24-F0001630</t>
  </si>
  <si>
    <t>HENGKI SIBURIAN</t>
  </si>
  <si>
    <t>BP 3186 UE</t>
  </si>
  <si>
    <t>MH1KF4127MK185814</t>
  </si>
  <si>
    <t>KF41E2190723</t>
  </si>
  <si>
    <t>HILANG JEJAK</t>
  </si>
  <si>
    <t>LatLng(lat: 1.0479757, lng: 103.9633422)</t>
  </si>
  <si>
    <t>SP-24-F0002402</t>
  </si>
  <si>
    <t>BAMBANG IRAWAN</t>
  </si>
  <si>
    <t>BP 4803 JE</t>
  </si>
  <si>
    <t>MH354P00ADJ678248</t>
  </si>
  <si>
    <t>54P678310</t>
  </si>
  <si>
    <t>MIO J</t>
  </si>
  <si>
    <t>65c1341a-686d-45fb-810f-7b8814abe13f</t>
  </si>
  <si>
    <t>LatLng(lat: 1.1469946, lng: 104.0268598)</t>
  </si>
  <si>
    <t>OD-25-F0001814</t>
  </si>
  <si>
    <t>LILIAWATI</t>
  </si>
  <si>
    <t>BP 2102 HQ</t>
  </si>
  <si>
    <t>MH1KF1121HK152120</t>
  </si>
  <si>
    <t>KF11E2149292</t>
  </si>
  <si>
    <t>Martin Tri Putra Situmeang</t>
  </si>
  <si>
    <t>LatLng(lat: 1.0375441128571687, lng: 103.95638275891542)</t>
  </si>
  <si>
    <t>OD-25-F0000782</t>
  </si>
  <si>
    <t>MUSTAKIM</t>
  </si>
  <si>
    <t>BP 2230 UR</t>
  </si>
  <si>
    <t>MH1JM6119KK069841</t>
  </si>
  <si>
    <t>JM61E1072167</t>
  </si>
  <si>
    <t>HITAM MERAH</t>
  </si>
  <si>
    <t>LatLng(lat: 1.1224632, lng: 104.0455113)</t>
  </si>
  <si>
    <t>OD-25-F0000396</t>
  </si>
  <si>
    <t>RISKA KARISMAWATI</t>
  </si>
  <si>
    <t>BP 3349 CR</t>
  </si>
  <si>
    <t>MH1KFA115NK111413</t>
  </si>
  <si>
    <t>KFA1E1111377</t>
  </si>
  <si>
    <t>LatLng(lat: 1.0433485, lng: 103.9794553)</t>
  </si>
  <si>
    <t>f0b79403-18b0-47dd-bacc-d76d9d60a28e</t>
  </si>
  <si>
    <t>LatLng(lat: 1.0433448, lng: 103.9794716)</t>
  </si>
  <si>
    <t>05.BOSPA</t>
  </si>
  <si>
    <t>REVAN DAUD MANALU</t>
  </si>
  <si>
    <t>LatLng(lat: 1.0433262, lng: 103.9791734)</t>
  </si>
  <si>
    <t>LatLng(lat: 0.9150548, lng: 104.4968088)</t>
  </si>
  <si>
    <t>TP-25-F0000160</t>
  </si>
  <si>
    <t>NURHAYATI</t>
  </si>
  <si>
    <t>BP 2203 PT</t>
  </si>
  <si>
    <t>02.REY</t>
  </si>
  <si>
    <t>MH1JM312XKK830576</t>
  </si>
  <si>
    <t>JM31E2825840</t>
  </si>
  <si>
    <t>LatLng(lat: 0.9191149, lng: 104.5052379)</t>
  </si>
  <si>
    <t>TP-24-F0000730</t>
  </si>
  <si>
    <t>FARIDAH</t>
  </si>
  <si>
    <t>BP 4190 OW</t>
  </si>
  <si>
    <t>MH3SG5620PK798539</t>
  </si>
  <si>
    <t>G3L8E1684900</t>
  </si>
  <si>
    <t>LatLng(lat: 0.9065239, lng: 104.4746956)</t>
  </si>
  <si>
    <t>TP-25-F0000237</t>
  </si>
  <si>
    <t>RIKO LISTYO AJI</t>
  </si>
  <si>
    <t>BP 2714 PI</t>
  </si>
  <si>
    <t>MH1JM0215LK007267</t>
  </si>
  <si>
    <t>JM02E1007322</t>
  </si>
  <si>
    <t>LatLng(lat: 1.0402924, lng: 103.9828169)</t>
  </si>
  <si>
    <t>14.CALL CENTER</t>
  </si>
  <si>
    <t>LatLng(lat: 1.0402685, lng: 103.9828719)</t>
  </si>
  <si>
    <t>LatLng(lat: 0.90608, lng: 104.4742965)</t>
  </si>
  <si>
    <t>TP-24-F0000353</t>
  </si>
  <si>
    <t>SUPARMAN</t>
  </si>
  <si>
    <t>BP 2520 GW</t>
  </si>
  <si>
    <t>MH1JM3116JK599195</t>
  </si>
  <si>
    <t>JM31E1593994</t>
  </si>
  <si>
    <t>SCOOPY FI</t>
  </si>
  <si>
    <t>LatLng(lat: 1.0486041, lng: 103.9808678)</t>
  </si>
  <si>
    <t>SP-25-F0000122</t>
  </si>
  <si>
    <t>YUSMAIDA SIREGAR</t>
  </si>
  <si>
    <t>BP 2081 HJ</t>
  </si>
  <si>
    <t>MH1JM2114JK855344</t>
  </si>
  <si>
    <t>JM21E1835947</t>
  </si>
  <si>
    <t>b5e5eb90-c13c-42f2-8aa6-fb5964b939de</t>
  </si>
  <si>
    <t>LatLng(lat: 1.0402853, lng: 103.9828519)</t>
  </si>
  <si>
    <t>Firdaus Lature</t>
  </si>
  <si>
    <t>LatLng(lat: 1.0564554, lng: 103.9760193)</t>
  </si>
  <si>
    <t>SP-25-F0000005</t>
  </si>
  <si>
    <t>NGATMI</t>
  </si>
  <si>
    <t>BP 3929 RS</t>
  </si>
  <si>
    <t>MH1JM0419PK493097</t>
  </si>
  <si>
    <t>JM04E1492906</t>
  </si>
  <si>
    <t>LatLng(lat: 1.0562454, lng: 103.9763401)</t>
  </si>
  <si>
    <t>LatLng(lat: 1.0564467, lng: 103.9780284)</t>
  </si>
  <si>
    <t>OD-25-F0000505</t>
  </si>
  <si>
    <t>WAHYUDI</t>
  </si>
  <si>
    <t>BP 3235 QR</t>
  </si>
  <si>
    <t>MH1JM1112HK221874</t>
  </si>
  <si>
    <t>JM11E1203084</t>
  </si>
  <si>
    <t>LatLng(lat: 1.0404343, lng: 103.9828199)</t>
  </si>
  <si>
    <t>OD-24-F0002190</t>
  </si>
  <si>
    <t>ABDI HIDAYAT</t>
  </si>
  <si>
    <t>BP 2520 RS</t>
  </si>
  <si>
    <t>MH1JM8218PK904636</t>
  </si>
  <si>
    <t>JM82E1904151</t>
  </si>
  <si>
    <t>LatLng(lat: 1.0564667, lng: 103.978037)</t>
  </si>
  <si>
    <t>SP-25-F0001720</t>
  </si>
  <si>
    <t>ABDUL MALIK</t>
  </si>
  <si>
    <t>BP 5736 QG</t>
  </si>
  <si>
    <t>MH3SG3120HK365711</t>
  </si>
  <si>
    <t>G3E4E0515454</t>
  </si>
  <si>
    <t>LatLng(lat: 1.0533345, lng: 103.9799179)</t>
  </si>
  <si>
    <t>OD-24-F0002632</t>
  </si>
  <si>
    <t>WAWAN</t>
  </si>
  <si>
    <t>BP 3778 HM</t>
  </si>
  <si>
    <t>MH1JFZ129JK19948</t>
  </si>
  <si>
    <t>JFZ1E2721568</t>
  </si>
  <si>
    <t>LatLng(lat: 1.0432625, lng: 103.9793795)</t>
  </si>
  <si>
    <t>SP-25-F0002285</t>
  </si>
  <si>
    <t>ABBAS ALBAR NIRTAMA</t>
  </si>
  <si>
    <t>BP 2590 AI</t>
  </si>
  <si>
    <t>07.RINTO</t>
  </si>
  <si>
    <t>MH1JM5118KK308547</t>
  </si>
  <si>
    <t>JM51E1308114</t>
  </si>
  <si>
    <t>5a9c7fd1-cce7-4fe3-8276-b4f3c2c3057f</t>
  </si>
  <si>
    <t>LatLng(lat: 1.043336, lng: 103.9793394)</t>
  </si>
  <si>
    <t>Brian Natanael Nainggolan</t>
  </si>
  <si>
    <t>LatLng(lat: 1.0433146, lng: 103.9793418)</t>
  </si>
  <si>
    <t>OD-24-F0002365</t>
  </si>
  <si>
    <t>ABD HALID</t>
  </si>
  <si>
    <t>BP 3293 SW</t>
  </si>
  <si>
    <t>MH1KB1119PK345147</t>
  </si>
  <si>
    <t>KB11E1344673</t>
  </si>
  <si>
    <t>LatLng(lat: 1.052339, lng: 103.9763359)</t>
  </si>
  <si>
    <t>SP-25-F0001590</t>
  </si>
  <si>
    <t>HERU SUPRIADI</t>
  </si>
  <si>
    <t>BP 2295 OU</t>
  </si>
  <si>
    <t>MH1JM8111MK537785</t>
  </si>
  <si>
    <t>JM81E1526642</t>
  </si>
  <si>
    <t>LatLng(lat: 1.0452385, lng: 103.9680503)</t>
  </si>
  <si>
    <t>LatLng(lat: 1.066637, lng: 103.9649593)</t>
  </si>
  <si>
    <t>SP-25-F0002561</t>
  </si>
  <si>
    <t>UCOK TAGOR NST</t>
  </si>
  <si>
    <t>BP 2966 SR</t>
  </si>
  <si>
    <t>MH1JM9135PK189615</t>
  </si>
  <si>
    <t>JM91E3180358</t>
  </si>
  <si>
    <t>BEAT DELUXE</t>
  </si>
  <si>
    <t>LatLng(lat: 1.0650478, lng: 103.9624411)</t>
  </si>
  <si>
    <t>LatLng(lat: 1.0418408, lng: 103.9770158)</t>
  </si>
  <si>
    <t>TP-25-F0000486</t>
  </si>
  <si>
    <t>HERWINDITYA</t>
  </si>
  <si>
    <t>BP 3348 EP</t>
  </si>
  <si>
    <t>MH1JM0419PK739887</t>
  </si>
  <si>
    <t>JM04E1739894</t>
  </si>
  <si>
    <t>LatLng(lat: 1.0615933, lng: 103.9186283)</t>
  </si>
  <si>
    <t>SP-25-F0002335</t>
  </si>
  <si>
    <t>REYN ANDREW JONATHAN</t>
  </si>
  <si>
    <t>BP 2274 AA</t>
  </si>
  <si>
    <t>13.WILFRIN</t>
  </si>
  <si>
    <t>MH1JM8215PK749317</t>
  </si>
  <si>
    <t>JM82E174212</t>
  </si>
  <si>
    <t>LatLng(lat: 1.0625533, lng: 103.9210333)</t>
  </si>
  <si>
    <t>SP-25-F0000686</t>
  </si>
  <si>
    <t>MUHTARUM</t>
  </si>
  <si>
    <t>BP 2311 QO</t>
  </si>
  <si>
    <t>MH1JM2114GK146082</t>
  </si>
  <si>
    <t>JM21E1145909</t>
  </si>
  <si>
    <t>LatLng(lat: 1.052535, lng: 103.9297783)</t>
  </si>
  <si>
    <t>SP-25-F0002495</t>
  </si>
  <si>
    <t>NURDIN SARAGIH</t>
  </si>
  <si>
    <t>BP 4582 HJ</t>
  </si>
  <si>
    <t>MH1JMG114RK012110</t>
  </si>
  <si>
    <t>JMG1E1012334</t>
  </si>
  <si>
    <t>LatLng(lat: 1.0503018, lng: 103.9324409)</t>
  </si>
  <si>
    <t>SP-25-F0002529</t>
  </si>
  <si>
    <t>AGUS EFNUL FATAH</t>
  </si>
  <si>
    <t>BP 2608 IR</t>
  </si>
  <si>
    <t>MH1KF112XHK301172</t>
  </si>
  <si>
    <t>KF11E2297667</t>
  </si>
  <si>
    <t>VARIO 150 ESP</t>
  </si>
  <si>
    <t>LatLng(lat: 1.04882, lng: 103.9532781)</t>
  </si>
  <si>
    <t>SP-25-F0001587</t>
  </si>
  <si>
    <t>M KURNIAWAN</t>
  </si>
  <si>
    <t>BP 5139 QI</t>
  </si>
  <si>
    <t>MH3RG4610JK085817</t>
  </si>
  <si>
    <t>G3E7E0463569</t>
  </si>
  <si>
    <t>V-IXION V2</t>
  </si>
  <si>
    <t>LatLng(lat: 1.0563469, lng: 103.948408)</t>
  </si>
  <si>
    <t>OD-25-F0000864</t>
  </si>
  <si>
    <t>TAKWIM LUBIS</t>
  </si>
  <si>
    <t>BP 5183 AR</t>
  </si>
  <si>
    <t>MH1KC8217HK111112</t>
  </si>
  <si>
    <t>KC82E1109831</t>
  </si>
  <si>
    <t>CB 150 R LED</t>
  </si>
  <si>
    <t>LatLng(lat: 1.0487205, lng: 103.9532709)</t>
  </si>
  <si>
    <t>LatLng(lat: 1.0564004, lng: 103.9484877)</t>
  </si>
  <si>
    <t>OD-25-F0000350</t>
  </si>
  <si>
    <t>DICKY ISWANDI</t>
  </si>
  <si>
    <t>BP 4561 HR</t>
  </si>
  <si>
    <t>MH1JMG11XRK083361</t>
  </si>
  <si>
    <t>JMG1E1083457</t>
  </si>
  <si>
    <t>LatLng(lat: 1.04845, lng: 103.95329)</t>
  </si>
  <si>
    <t>SP-24-F0001806</t>
  </si>
  <si>
    <t>ISRAN MAULUDDIN</t>
  </si>
  <si>
    <t>BP 3457 QH</t>
  </si>
  <si>
    <t>MH1JFZ116GK031437</t>
  </si>
  <si>
    <t>JFZ1E1038367</t>
  </si>
  <si>
    <t>LatLng(lat: 1.0563896, lng: 103.9484525)</t>
  </si>
  <si>
    <t>LatLng(lat: 1.0485017, lng: 103.9533717)</t>
  </si>
  <si>
    <t>OD-25-F0001380</t>
  </si>
  <si>
    <t>EDY PERDIAN</t>
  </si>
  <si>
    <t>BP 6477 HJ</t>
  </si>
  <si>
    <t>MH1JMF211RK060138</t>
  </si>
  <si>
    <t>JMF2E1060248</t>
  </si>
  <si>
    <t>BEAT DLX</t>
  </si>
  <si>
    <t>LatLng(lat: 1.0487097, lng: 103.9533547)</t>
  </si>
  <si>
    <t>LatLng(lat: 1.0487576, lng: 103.9532226)</t>
  </si>
  <si>
    <t>LatLng(lat: 1.0486955, lng: 103.9532481)</t>
  </si>
  <si>
    <t>LatLng(lat: 1.0405528, lng: 103.9930296)</t>
  </si>
  <si>
    <t>SP-25-F0002698</t>
  </si>
  <si>
    <t>ANGGI KURNIA PRATAMA</t>
  </si>
  <si>
    <t>BP 2609 AH</t>
  </si>
  <si>
    <t>MH1JFZ138KK081573</t>
  </si>
  <si>
    <t>JFZ1E3084784</t>
  </si>
  <si>
    <t>LatLng(lat: 1.0563998, lng: 103.9483707)</t>
  </si>
  <si>
    <t>SP-25-F0001254</t>
  </si>
  <si>
    <t>HENDRA SAPUTRA</t>
  </si>
  <si>
    <t>BP 3299 AG</t>
  </si>
  <si>
    <t>MH1KB1116KK204478</t>
  </si>
  <si>
    <t>KB11E1203798</t>
  </si>
  <si>
    <t>LatLng(lat: 1.0484833, lng: 103.9534167)</t>
  </si>
  <si>
    <t>OD-24-F0003609</t>
  </si>
  <si>
    <t>SAMUEL SIAGIAN</t>
  </si>
  <si>
    <t>BP 3827 OI</t>
  </si>
  <si>
    <t>MH1KB1115FK028965</t>
  </si>
  <si>
    <t>KB11E1031125</t>
  </si>
  <si>
    <t>LatLng(lat: 1.0487001, lng: 103.9532329)</t>
  </si>
  <si>
    <t>SP-25-F0002257</t>
  </si>
  <si>
    <t>M ABDUH</t>
  </si>
  <si>
    <t>BP 5217 HI</t>
  </si>
  <si>
    <t>MH1JME111RK155794</t>
  </si>
  <si>
    <t>JME1E1157994</t>
  </si>
  <si>
    <t>LatLng(lat: 1.048465, lng: 103.9534383)</t>
  </si>
  <si>
    <t>LatLng(lat: 1.0552839, lng: 103.9214734)</t>
  </si>
  <si>
    <t>SP-25-F0002626</t>
  </si>
  <si>
    <t>SAIFUL YUSUP</t>
  </si>
  <si>
    <t>BP 3208 AI</t>
  </si>
  <si>
    <t>MH1JFZ138KK196996</t>
  </si>
  <si>
    <t>JFZ1E3196716</t>
  </si>
  <si>
    <t>LatLng(lat: 1.0520274, lng: 103.9691048)</t>
  </si>
  <si>
    <t>OD-24-F0001616</t>
  </si>
  <si>
    <t>DESIAN</t>
  </si>
  <si>
    <t>BP 3498 CM</t>
  </si>
  <si>
    <t>MH1JFZ219JK425813</t>
  </si>
  <si>
    <t>JFZ2E1427915</t>
  </si>
  <si>
    <t>LatLng(lat: 1.0524686, lng: 103.9690792)</t>
  </si>
  <si>
    <t>SP-25-F0001662</t>
  </si>
  <si>
    <t>RIVALDO MANURUNG</t>
  </si>
  <si>
    <t>BP 2282 RC</t>
  </si>
  <si>
    <t>MH1KCD218NK023299</t>
  </si>
  <si>
    <t>KCD2E1023320</t>
  </si>
  <si>
    <t>LatLng(lat: 1.0519232, lng: 103.9688969)</t>
  </si>
  <si>
    <t>LatLng(lat: 1.081961, lng: 103.90751)</t>
  </si>
  <si>
    <t>SP-24-F0002736</t>
  </si>
  <si>
    <t>SYAHIDIN SULAIMAN</t>
  </si>
  <si>
    <t>BP 2049 CU</t>
  </si>
  <si>
    <t>MH1JM8113LK257347</t>
  </si>
  <si>
    <t>JM81E1259267</t>
  </si>
  <si>
    <t>LatLng(lat: 1.0518285, lng: 103.9690574)</t>
  </si>
  <si>
    <t>OD-24-F0001091</t>
  </si>
  <si>
    <t>EDI SAHPUTRA</t>
  </si>
  <si>
    <t>BP 3104 M</t>
  </si>
  <si>
    <t>04.RIZKI A</t>
  </si>
  <si>
    <t>MH1JM811XMK439578</t>
  </si>
  <si>
    <t>JM81E1441251</t>
  </si>
  <si>
    <t>BEAT SPORTY</t>
  </si>
  <si>
    <t>LatLng(lat: 1.081575, lng: 103.911725)</t>
  </si>
  <si>
    <t>SP-25-F0002256</t>
  </si>
  <si>
    <t>SUKI</t>
  </si>
  <si>
    <t>BP 3756 IC</t>
  </si>
  <si>
    <t>MH1JM1111HK493137</t>
  </si>
  <si>
    <t>JM11E1474980</t>
  </si>
  <si>
    <t>LatLng(lat: 1.083474, lng: 103.9091489)</t>
  </si>
  <si>
    <t>SP-25-F0000349</t>
  </si>
  <si>
    <t>OLOAN MARIHOT HUTABARAT</t>
  </si>
  <si>
    <t>BP 3473 GU</t>
  </si>
  <si>
    <t>MH1JM1122LK417864</t>
  </si>
  <si>
    <t>JM11E2400078</t>
  </si>
  <si>
    <t>BIRU-HITAM</t>
  </si>
  <si>
    <t>LatLng(lat: 1.0433256, lng: 103.9793672)</t>
  </si>
  <si>
    <t>OD-25-F0001364</t>
  </si>
  <si>
    <t>TEGUH GUNAWAN</t>
  </si>
  <si>
    <t>BP 2754 II</t>
  </si>
  <si>
    <t>MH1JM0417NK065574</t>
  </si>
  <si>
    <t>JM04E1065610</t>
  </si>
  <si>
    <t>LatLng(lat: 1.0520261, lng: 103.9690558)</t>
  </si>
  <si>
    <t>OD-25-F0001525</t>
  </si>
  <si>
    <t>RAJA MISTRIANA</t>
  </si>
  <si>
    <t>BP 3754 RH</t>
  </si>
  <si>
    <t>MH1KFA113NK003680</t>
  </si>
  <si>
    <t>KFA1E1003793</t>
  </si>
  <si>
    <t>LatLng(lat: 1.0642184, lng: 103.9170042)</t>
  </si>
  <si>
    <t>SP-25-F0002523</t>
  </si>
  <si>
    <t>CHANDRA ADE SHERLY</t>
  </si>
  <si>
    <t>BP 3691 UR</t>
  </si>
  <si>
    <t>MH1JM8110LK146545</t>
  </si>
  <si>
    <t>JM81E1147544</t>
  </si>
  <si>
    <t>LatLng(lat: 1.0519751, lng: 103.9690753)</t>
  </si>
  <si>
    <t>SP-25-F0000756</t>
  </si>
  <si>
    <t>GIYAN PUTRI MEITA RAHAYU</t>
  </si>
  <si>
    <t>BP 2671 IA</t>
  </si>
  <si>
    <t>MH1JFZ115HK765200</t>
  </si>
  <si>
    <t>JFZ1E1779819</t>
  </si>
  <si>
    <t>LatLng(lat: 1.0519573, lng: 103.9690601)</t>
  </si>
  <si>
    <t>LatLng(lat: 1.0478723, lng: 103.9381776)</t>
  </si>
  <si>
    <t>SP-25-F0001162</t>
  </si>
  <si>
    <t>PERDIYANSAH</t>
  </si>
  <si>
    <t>BP 5744 QH</t>
  </si>
  <si>
    <t>MH3RG4710JK050246</t>
  </si>
  <si>
    <t>G3J6E0092632</t>
  </si>
  <si>
    <t>LatLng(lat: 1.04117, lng: 103.91451)</t>
  </si>
  <si>
    <t>SP-25-F0000815</t>
  </si>
  <si>
    <t>MUHAMMAD TEGAR</t>
  </si>
  <si>
    <t>BP 4175 RC</t>
  </si>
  <si>
    <t>MH1JFZ129JK956391</t>
  </si>
  <si>
    <t>JFZ1E2949419</t>
  </si>
  <si>
    <t>LatLng(lat: 1.04116, lng: 103.9145033)</t>
  </si>
  <si>
    <t>SP-25-F0002582</t>
  </si>
  <si>
    <t>JULIANTON SIREGAR</t>
  </si>
  <si>
    <t>BP 5880 QI</t>
  </si>
  <si>
    <t>MH3RG4610JK090203</t>
  </si>
  <si>
    <t>G3E7E0467891</t>
  </si>
  <si>
    <t>VIXION VVA 150 CC</t>
  </si>
  <si>
    <t>LatLng(lat: 1.0406517, lng: 103.914825)</t>
  </si>
  <si>
    <t>SP-25-F0000999</t>
  </si>
  <si>
    <t>IMAM SOLEH MAULANA</t>
  </si>
  <si>
    <t>BP 3723 RU</t>
  </si>
  <si>
    <t>MH1JFZ131KK452587</t>
  </si>
  <si>
    <t>JFZ1E3452447</t>
  </si>
  <si>
    <t>LatLng(lat: 1.0384933, lng: 103.915025)</t>
  </si>
  <si>
    <t>SP-24-F0002133</t>
  </si>
  <si>
    <t>SHEFTIHADI PERMANA</t>
  </si>
  <si>
    <t>BP 5298 CA</t>
  </si>
  <si>
    <t>MH1JM0313PK427839</t>
  </si>
  <si>
    <t>JM03E1427838</t>
  </si>
  <si>
    <t>LatLng(lat: 1.0563386, lng: 103.9485267)</t>
  </si>
  <si>
    <t>OD-24-F0001939</t>
  </si>
  <si>
    <t>SUDAR</t>
  </si>
  <si>
    <t>BP 3091 MQ</t>
  </si>
  <si>
    <t>MH1JFM223FK262062</t>
  </si>
  <si>
    <t>JFM2E2254612</t>
  </si>
  <si>
    <t>WHITE RED</t>
  </si>
  <si>
    <t>LatLng(lat: 1.0321532, lng: 103.9587601)</t>
  </si>
  <si>
    <t>OD-24-F0003506</t>
  </si>
  <si>
    <t>BUDI SETIAWAN</t>
  </si>
  <si>
    <t>BP 6167 GQ</t>
  </si>
  <si>
    <t>MH8DL11AZGJ140650</t>
  </si>
  <si>
    <t>CGA1ID140532</t>
  </si>
  <si>
    <t>LatLng(lat: 1.0433303, lng: 103.9793449)</t>
  </si>
  <si>
    <t>TP-24-F0000103</t>
  </si>
  <si>
    <t>FANI DAMAYANTI</t>
  </si>
  <si>
    <t>BP 2421 FW</t>
  </si>
  <si>
    <t>MH1JM3117HK292306</t>
  </si>
  <si>
    <t>JM31E1297753</t>
  </si>
  <si>
    <t>LatLng(lat: 1.0498279, lng: 103.9528378)</t>
  </si>
  <si>
    <t>SP-25-F0002097</t>
  </si>
  <si>
    <t>ARMANDIA SINURAT</t>
  </si>
  <si>
    <t>BP 3945 SO</t>
  </si>
  <si>
    <t>EVENDI</t>
  </si>
  <si>
    <t>MH1JM8221PK013760</t>
  </si>
  <si>
    <t>JM82E2012962</t>
  </si>
  <si>
    <t>LatLng(lat: 1.0486579, lng: 103.9386395)</t>
  </si>
  <si>
    <t>OD-25-F0000770</t>
  </si>
  <si>
    <t>SAODAH</t>
  </si>
  <si>
    <t>BP 3398 AJ</t>
  </si>
  <si>
    <t>MH1JFZ139KK372986</t>
  </si>
  <si>
    <t>JFZ1E3373066</t>
  </si>
  <si>
    <t>LatLng(lat: 1.0539724, lng: 103.9288122)</t>
  </si>
  <si>
    <t>SP-25-F0001721</t>
  </si>
  <si>
    <t>ABDUL RAHMAN</t>
  </si>
  <si>
    <t>BP 4964 HH</t>
  </si>
  <si>
    <t>MH1JM0316RK738555</t>
  </si>
  <si>
    <t>JM03E1738175</t>
  </si>
  <si>
    <t>SILVER HITAM</t>
  </si>
  <si>
    <t>LatLng(lat: 0.9153915, lng: 104.5196981)</t>
  </si>
  <si>
    <t>TP-24-F0000135</t>
  </si>
  <si>
    <t>MARZUKI</t>
  </si>
  <si>
    <t>BP 2484 HT</t>
  </si>
  <si>
    <t>CX 2024</t>
  </si>
  <si>
    <t>EKSTERNAL</t>
  </si>
  <si>
    <t>MH1JFL119FK182736</t>
  </si>
  <si>
    <t>JFL1E1182843</t>
  </si>
  <si>
    <t>BIRU - KREM</t>
  </si>
  <si>
    <t>LatLng(lat: 1.0486301, lng: 103.9774362)</t>
  </si>
  <si>
    <t>SP-25-F0002315</t>
  </si>
  <si>
    <t>WIRA</t>
  </si>
  <si>
    <t>BP 2538 I</t>
  </si>
  <si>
    <t>MH1KF4121MK304005</t>
  </si>
  <si>
    <t>KF41E2308118</t>
  </si>
  <si>
    <t>VARIO 150 CC KEYLESH</t>
  </si>
  <si>
    <t>LatLng(lat: 1.0461899, lng: 103.9825538)</t>
  </si>
  <si>
    <t>SP-25-F0001829</t>
  </si>
  <si>
    <t>HOT BERGANDA SIPAHUTAR</t>
  </si>
  <si>
    <t>BP 2425 HF</t>
  </si>
  <si>
    <t>MH1JM2116JK852834</t>
  </si>
  <si>
    <t>JM21E1831754</t>
  </si>
  <si>
    <t>LatLng(lat: 0.9231699, lng: 104.4439543)</t>
  </si>
  <si>
    <t>TP-25-F0000138</t>
  </si>
  <si>
    <t>LUSIANA</t>
  </si>
  <si>
    <t>BP 3687 CW</t>
  </si>
  <si>
    <t>01.SYAMSURI</t>
  </si>
  <si>
    <t>MH1JM1113HK206493</t>
  </si>
  <si>
    <t>JM11E1199077</t>
  </si>
  <si>
    <t>LatLng(lat: 1.0455291, lng: 103.9818363)</t>
  </si>
  <si>
    <t>LatLng(lat: 0.9264994, lng: 104.4406626)</t>
  </si>
  <si>
    <t>TP-25-F0000671</t>
  </si>
  <si>
    <t>DAVID ARITONANG</t>
  </si>
  <si>
    <t>BP 3362 RB</t>
  </si>
  <si>
    <t>MH1JM0219MK391393</t>
  </si>
  <si>
    <t>JM02E1393654</t>
  </si>
  <si>
    <t>LatLng(lat: 0.9074424, lng: 104.462444)</t>
  </si>
  <si>
    <t>TP-25-F0000312</t>
  </si>
  <si>
    <t>INDRA SUSANTO</t>
  </si>
  <si>
    <t>BP 2368 RB</t>
  </si>
  <si>
    <t>MH1JM0116MK152062</t>
  </si>
  <si>
    <t>JM01E1151039</t>
  </si>
  <si>
    <t>KREM-COKLAT</t>
  </si>
  <si>
    <t>0787ea2f-240f-4392-bead-e10cba282613</t>
  </si>
  <si>
    <t>LatLng(lat: 1.0433599, lng: 103.979329)</t>
  </si>
  <si>
    <t>OD-25-F0001585</t>
  </si>
  <si>
    <t>TANIA YUNI MONIKA</t>
  </si>
  <si>
    <t>BP 3792 UA</t>
  </si>
  <si>
    <t>MH1KF4121LK056563</t>
  </si>
  <si>
    <t>KF41E2060656</t>
  </si>
  <si>
    <t>VARIO 150 KEYLESS</t>
  </si>
  <si>
    <t>Rizkiii</t>
  </si>
  <si>
    <t>LatLng(lat: 1.036768, lng: 103.9687797)</t>
  </si>
  <si>
    <t>SP-25-F0002360</t>
  </si>
  <si>
    <t>INTO</t>
  </si>
  <si>
    <t>BP 6121 GR</t>
  </si>
  <si>
    <t>MH1JFZ13XKK585882</t>
  </si>
  <si>
    <t>JFZ1E3585765</t>
  </si>
  <si>
    <t>LatLng(lat: 1.0368667, lng: 103.9687994)</t>
  </si>
  <si>
    <t>SP-25-F0002556</t>
  </si>
  <si>
    <t>AUDY DANIEL KALANGIE</t>
  </si>
  <si>
    <t>BP 3288 PU</t>
  </si>
  <si>
    <t>MH1JM8217PK915420</t>
  </si>
  <si>
    <t>JM82E1914889</t>
  </si>
  <si>
    <t>LatLng(lat: 1.0367435, lng: 103.9688)</t>
  </si>
  <si>
    <t>SP-25-F0000918</t>
  </si>
  <si>
    <t>AMIRUDIN</t>
  </si>
  <si>
    <t>BP 3590 U</t>
  </si>
  <si>
    <t>MH1JM041XNK043911</t>
  </si>
  <si>
    <t>JM04E1043959</t>
  </si>
  <si>
    <t>306820e2-08cc-4078-ae54-edf70712dc0f</t>
  </si>
  <si>
    <t>LatLng(lat: 1.043289, lng: 103.9795)</t>
  </si>
  <si>
    <t>Wilfrin samosir</t>
  </si>
  <si>
    <t>LatLng(lat: 1.0433642, lng: 103.9796946)</t>
  </si>
  <si>
    <t>SP-25-F0001362</t>
  </si>
  <si>
    <t>YOHANES PIMAN LIUS WARUWU</t>
  </si>
  <si>
    <t>BP 2786 RG</t>
  </si>
  <si>
    <t>C4</t>
  </si>
  <si>
    <t>MH1JM9124NK030170</t>
  </si>
  <si>
    <t>JM91E2026715</t>
  </si>
  <si>
    <t>LatLng(lat: 1.043243, lng: 103.9798352)</t>
  </si>
  <si>
    <t>SP-23-F0001866</t>
  </si>
  <si>
    <t>FRENGKY HATUAON ALEX CHANDRA SIANTURI</t>
  </si>
  <si>
    <t>BP 2699 HI</t>
  </si>
  <si>
    <t>MH1JFZ129JK562020</t>
  </si>
  <si>
    <t>JFZ1E2572631</t>
  </si>
  <si>
    <t>LatLng(lat: 1.0529453, lng: 103.9686468)</t>
  </si>
  <si>
    <t>SP-25-F0000218</t>
  </si>
  <si>
    <t>M YUNUS</t>
  </si>
  <si>
    <t>BP 4312 CD</t>
  </si>
  <si>
    <t>MH1JFZ119HK467913</t>
  </si>
  <si>
    <t>JFZ1E1448295</t>
  </si>
  <si>
    <t>LatLng(lat: 1.0526273, lng: 103.9751964)</t>
  </si>
  <si>
    <t>OD-24-F0001613</t>
  </si>
  <si>
    <t>AGUS HENDARIN</t>
  </si>
  <si>
    <t>BP 2923 JO</t>
  </si>
  <si>
    <t>MH1JFD226DK663098</t>
  </si>
  <si>
    <t>JFD2E2669746</t>
  </si>
  <si>
    <t>HIJAU PUTIH</t>
  </si>
  <si>
    <t>LatLng(lat: 1.0955386, lng: 104.0356068)</t>
  </si>
  <si>
    <t>SP-24-F0002348</t>
  </si>
  <si>
    <t>RUDI ARIF SULAIMAN</t>
  </si>
  <si>
    <t>BP 2202 J</t>
  </si>
  <si>
    <t>MH1JM8119MK665689</t>
  </si>
  <si>
    <t>JM81E1669211</t>
  </si>
  <si>
    <t>LatLng(lat: 1.0402183, lng: 103.9870906)</t>
  </si>
  <si>
    <t>SP-24-F0000997</t>
  </si>
  <si>
    <t>HERMANTO MADERSON SITORUS</t>
  </si>
  <si>
    <t>BP 2741 RF</t>
  </si>
  <si>
    <t>MH1JM5117MK996138</t>
  </si>
  <si>
    <t>JM51E1995142</t>
  </si>
  <si>
    <t>LatLng(lat: 1.0564667, lng: 103.9484767)</t>
  </si>
  <si>
    <t>SP-24-F0001398</t>
  </si>
  <si>
    <t>SULYANI</t>
  </si>
  <si>
    <t>BP 5404 QH</t>
  </si>
  <si>
    <t>MH3SG3190JJ013983</t>
  </si>
  <si>
    <t>G3E4E0695303</t>
  </si>
  <si>
    <t>N-MAX</t>
  </si>
  <si>
    <t>LatLng(lat: 0.909217, lng: 104.4644222)</t>
  </si>
  <si>
    <t>TP-25-F0000324</t>
  </si>
  <si>
    <t>ARI WIBAWA</t>
  </si>
  <si>
    <t>BP 3812 OW</t>
  </si>
  <si>
    <t>MH1KF4118KK699515</t>
  </si>
  <si>
    <t>KF41E1702182</t>
  </si>
  <si>
    <t>e4173dd7-6d58-43a6-8f0e-8ad94c7a888a</t>
  </si>
  <si>
    <t>LatLng(lat: 1.0563755, lng: 103.9486056)</t>
  </si>
  <si>
    <t>SP-25-F0000916</t>
  </si>
  <si>
    <t>HERSISKA MELIANI SAPUTRI</t>
  </si>
  <si>
    <t>BP 2206 US</t>
  </si>
  <si>
    <t>MH1JM821XPK966023</t>
  </si>
  <si>
    <t>JM82E1965522</t>
  </si>
  <si>
    <t>Bagas dian prayoga</t>
  </si>
  <si>
    <t>LatLng(lat: 1.0564783, lng: 103.9485067)</t>
  </si>
  <si>
    <t>OD-25-F0000512</t>
  </si>
  <si>
    <t>AGNES VETRA SIREGAR</t>
  </si>
  <si>
    <t>BP 2869 PU</t>
  </si>
  <si>
    <t>MH1JBP11XPK986029</t>
  </si>
  <si>
    <t>JBP1E1986187</t>
  </si>
  <si>
    <t>SUPRA X</t>
  </si>
  <si>
    <t>LatLng(lat: 1.0563433, lng: 103.9484994)</t>
  </si>
  <si>
    <t>LatLng(lat: 1.0564483, lng: 103.9484853)</t>
  </si>
  <si>
    <t>SP-25-F0002642</t>
  </si>
  <si>
    <t>DEVI AFRIDA</t>
  </si>
  <si>
    <t>BP 5243 HC</t>
  </si>
  <si>
    <t>MH1KFD116RK070121</t>
  </si>
  <si>
    <t>KFD1E1070054</t>
  </si>
  <si>
    <t>STYLO 160</t>
  </si>
  <si>
    <t>LatLng(lat: 0.9105083, lng: 104.541205)</t>
  </si>
  <si>
    <t>TP-24-F0000195</t>
  </si>
  <si>
    <t>ADINDA ELSA YULIANA PASARIBU</t>
  </si>
  <si>
    <t>BP 3596 PI</t>
  </si>
  <si>
    <t>MH1JM0112MK109774</t>
  </si>
  <si>
    <t>JM01E1108667</t>
  </si>
  <si>
    <t>LatLng(lat: 1.0376065, lng: 103.986832)</t>
  </si>
  <si>
    <t>SP-24-F0002715</t>
  </si>
  <si>
    <t>PARLUHUTAN SIANTURI</t>
  </si>
  <si>
    <t>BP 3484 UG</t>
  </si>
  <si>
    <t>MH1KF412XMK249988</t>
  </si>
  <si>
    <t>KF41E2252575</t>
  </si>
  <si>
    <t>VARIO 150 KEYLESH</t>
  </si>
  <si>
    <t>LatLng(lat: 1.0361424, lng: 103.9861022)</t>
  </si>
  <si>
    <t>OD-25-F0001895</t>
  </si>
  <si>
    <t>INDAH SITOMPUL</t>
  </si>
  <si>
    <t>BP 2964 OM</t>
  </si>
  <si>
    <t>MH1JM8128PK447305</t>
  </si>
  <si>
    <t>JM81E2449418</t>
  </si>
  <si>
    <t>LatLng(lat: 1.0362876, lng: 103.9875463)</t>
  </si>
  <si>
    <t>SP-24-F0001640</t>
  </si>
  <si>
    <t>JAKA SATRIA GEA</t>
  </si>
  <si>
    <t>BP 3451 QI</t>
  </si>
  <si>
    <t>MH1KF1110GK811150</t>
  </si>
  <si>
    <t>KF11E1809259</t>
  </si>
  <si>
    <t>LatLng(lat: 1.0367529, lng: 103.9857036)</t>
  </si>
  <si>
    <t>OD-25-F0000788</t>
  </si>
  <si>
    <t>ASYURAH</t>
  </si>
  <si>
    <t>BP 5202 GU</t>
  </si>
  <si>
    <t>MH1JM8228RK121750</t>
  </si>
  <si>
    <t>JM82E2122557</t>
  </si>
  <si>
    <t>YBS DI DETEKSI DAN UNIT BERHAIS DI BAWA KE KANTOR OLEH BANG PAUL</t>
  </si>
  <si>
    <t>LatLng(lat: 1.0718083, lng: 103.919305)</t>
  </si>
  <si>
    <t>SP-25-F0001285</t>
  </si>
  <si>
    <t>WELHELMUS WASSI</t>
  </si>
  <si>
    <t>BP 2274 HH</t>
  </si>
  <si>
    <t>MH1JFZ133KK519822</t>
  </si>
  <si>
    <t>JFZ1E3519741</t>
  </si>
  <si>
    <t>LatLng(lat: 1.0481136, lng: 103.9537343)</t>
  </si>
  <si>
    <t>OD-25-F0001208</t>
  </si>
  <si>
    <t>ADITYA SAPUTRA</t>
  </si>
  <si>
    <t>BP 3818 HI</t>
  </si>
  <si>
    <t>MH1JM3110JK814781</t>
  </si>
  <si>
    <t>JM31E1810548</t>
  </si>
  <si>
    <t>HITAM-SILVER</t>
  </si>
  <si>
    <t>LatLng(lat: 1.0484914, lng: 103.9533169)</t>
  </si>
  <si>
    <t>OD-25-F0001370</t>
  </si>
  <si>
    <t>MUKHLISIN SUYATNO</t>
  </si>
  <si>
    <t>BP 2347 OS</t>
  </si>
  <si>
    <t>MH1JMD117PK382379</t>
  </si>
  <si>
    <t>JMD1E1382598</t>
  </si>
  <si>
    <t>LatLng(lat: 1.051359, lng: 103.9682278)</t>
  </si>
  <si>
    <t>OD-25-F0001599</t>
  </si>
  <si>
    <t>DESI NILAN SARI POILEMA</t>
  </si>
  <si>
    <t>BP 4380 GU</t>
  </si>
  <si>
    <t>06.ROBEN</t>
  </si>
  <si>
    <t>MH1JM0311RK626455</t>
  </si>
  <si>
    <t>JM03E1626370</t>
  </si>
  <si>
    <t>LatLng(lat: 1.0487099, lng: 103.9533009)</t>
  </si>
  <si>
    <t>OD-25-F0000190</t>
  </si>
  <si>
    <t>MUHAMMAD AL - HAZID</t>
  </si>
  <si>
    <t>BP 4118 OE</t>
  </si>
  <si>
    <t>MH31PA004FK893475</t>
  </si>
  <si>
    <t>1PA891733</t>
  </si>
  <si>
    <t>LatLng(lat: 1.0486283, lng: 103.9532903)</t>
  </si>
  <si>
    <t>OD-24-F0001347</t>
  </si>
  <si>
    <t>BAMBANG CHRISTIANTO</t>
  </si>
  <si>
    <t>BP 2060 GR</t>
  </si>
  <si>
    <t>MH1JBK110EK067303</t>
  </si>
  <si>
    <t>JBK1E1067217</t>
  </si>
  <si>
    <t>REVO</t>
  </si>
  <si>
    <t>LatLng(lat: 1.0487208, lng: 103.9532209)</t>
  </si>
  <si>
    <t>LatLng(lat: 1.0483435, lng: 103.9535613)</t>
  </si>
  <si>
    <t>SP-24-F0001252</t>
  </si>
  <si>
    <t>ANTONI SARAGI</t>
  </si>
  <si>
    <t>BP 3325 CU</t>
  </si>
  <si>
    <t>MH1JM8119LK284844</t>
  </si>
  <si>
    <t>JM81E1286651</t>
  </si>
  <si>
    <t>LatLng(lat: 1.0487492, lng: 103.9532257)</t>
  </si>
  <si>
    <t>OD-25-F0001284</t>
  </si>
  <si>
    <t>MAYURNI</t>
  </si>
  <si>
    <t>BP 3986 UG</t>
  </si>
  <si>
    <t>09.OLOAN</t>
  </si>
  <si>
    <t>MH1JM9118MK555917</t>
  </si>
  <si>
    <t>JM91E1559335</t>
  </si>
  <si>
    <t>LatLng(lat: 1.0486658, lng: 103.9536975)</t>
  </si>
  <si>
    <t>SP-25-F0001774</t>
  </si>
  <si>
    <t>ISTIKOMARIAMAH</t>
  </si>
  <si>
    <t>BP 3673 II</t>
  </si>
  <si>
    <t>MH1JM0411NK078692</t>
  </si>
  <si>
    <t>JM04E1078402</t>
  </si>
  <si>
    <t>LatLng(lat: 1.0485767, lng: 103.9534101)</t>
  </si>
  <si>
    <t>LatLng(lat: 1.0480034, lng: 103.9541012)</t>
  </si>
  <si>
    <t>LatLng(lat: 1.0486129, lng: 103.9534278)</t>
  </si>
  <si>
    <t>SP-25-F0002531</t>
  </si>
  <si>
    <t>IBNU MADHAN</t>
  </si>
  <si>
    <t>BP 4877 CA</t>
  </si>
  <si>
    <t>MH1JM8216PK987631</t>
  </si>
  <si>
    <t>JM82E1987131</t>
  </si>
  <si>
    <t>LatLng(lat: 1.0391555, lng: 103.948225)</t>
  </si>
  <si>
    <t>SP-24-F0000426</t>
  </si>
  <si>
    <t>MITRA INDANATA</t>
  </si>
  <si>
    <t>BP 3475 CR</t>
  </si>
  <si>
    <t>MH1KF0117NK154094</t>
  </si>
  <si>
    <t>KF01E1153603</t>
  </si>
  <si>
    <t>LatLng(lat: 1.0563333, lng: 103.9485122)</t>
  </si>
  <si>
    <t>OD-24-F0002658</t>
  </si>
  <si>
    <t>AZMIL</t>
  </si>
  <si>
    <t>BP 2243 HF</t>
  </si>
  <si>
    <t>MH1JFZ125JK396806</t>
  </si>
  <si>
    <t>JFZ1E2407636</t>
  </si>
  <si>
    <t>LatLng(lat: 1.0623567, lng: 103.9431183)</t>
  </si>
  <si>
    <t>LatLng(lat: 1.056441, lng: 103.9482247)</t>
  </si>
  <si>
    <t>OD-24-F0001940</t>
  </si>
  <si>
    <t>OKTINA ITA PERNAMA SARI</t>
  </si>
  <si>
    <t>BP 2194 IA</t>
  </si>
  <si>
    <t>MH1KF1124HK188349</t>
  </si>
  <si>
    <t>KF11E2185504</t>
  </si>
  <si>
    <t>LatLng(lat: 1.1033833, lng: 103.9517865)</t>
  </si>
  <si>
    <t>SP-25-F0000839</t>
  </si>
  <si>
    <t>PARDEDE</t>
  </si>
  <si>
    <t>BP 2730 CR</t>
  </si>
  <si>
    <t>MH1JM912XNK271781</t>
  </si>
  <si>
    <t>JM91E2270093</t>
  </si>
  <si>
    <t>LatLng(lat: 1.13869, lng: 104.04413)</t>
  </si>
  <si>
    <t>OD-25-F0001516</t>
  </si>
  <si>
    <t>LONIKA MATONDANG</t>
  </si>
  <si>
    <t>BP 3995 RO</t>
  </si>
  <si>
    <t>MH1JM8211NK487437</t>
  </si>
  <si>
    <t>JM82E1485241</t>
  </si>
  <si>
    <t>LatLng(lat: 1.109384, lng: 103.9491975)</t>
  </si>
  <si>
    <t>SP-25-F0002118</t>
  </si>
  <si>
    <t>ANWAR ASH SHIDIQ</t>
  </si>
  <si>
    <t>BP 2027 O</t>
  </si>
  <si>
    <t>MH1JM9117MK473774</t>
  </si>
  <si>
    <t>JM91E1473272</t>
  </si>
  <si>
    <t>LatLng(lat: 1.1092442, lng: 103.9491376)</t>
  </si>
  <si>
    <t>66338f6f-6199-47e8-8fc9-c871a18b6d2c</t>
  </si>
  <si>
    <t>LatLng(lat: 1.0347696, lng: 104.0703214)</t>
  </si>
  <si>
    <t>OD-24-F0001732</t>
  </si>
  <si>
    <t>ANDIKA AHMAD FAUZI</t>
  </si>
  <si>
    <t>BP 2367 LD</t>
  </si>
  <si>
    <t>MH1JFF117DK252894</t>
  </si>
  <si>
    <t>JFF1E1254261</t>
  </si>
  <si>
    <t>WHITE SILVER</t>
  </si>
  <si>
    <t>Daulat sitorus</t>
  </si>
  <si>
    <t>LatLng(lat: 1.0432599, lng: 103.9793776)</t>
  </si>
  <si>
    <t>OD-23-F0000666</t>
  </si>
  <si>
    <t>RUPI ADI YORENSON</t>
  </si>
  <si>
    <t>BP 3277 RG</t>
  </si>
  <si>
    <t>MH1JM6114NK212697</t>
  </si>
  <si>
    <t>JM61E1212648</t>
  </si>
  <si>
    <t>HITAM SILVER</t>
  </si>
  <si>
    <t>OD-25-F0001266</t>
  </si>
  <si>
    <t>AGUNG ADI PRASETYO</t>
  </si>
  <si>
    <t>BP 2890 QG</t>
  </si>
  <si>
    <t>MH1JFV119GK372940</t>
  </si>
  <si>
    <t>JFV1E1382028</t>
  </si>
  <si>
    <t>LatLng(lat: 1.1436431, lng: 104.0289926)</t>
  </si>
  <si>
    <t>SP-25-F0000097</t>
  </si>
  <si>
    <t>NADIA NW NAINGGOLAN</t>
  </si>
  <si>
    <t>BP 5446 AG</t>
  </si>
  <si>
    <t>New C3</t>
  </si>
  <si>
    <t>MH3SG5670MJ011886</t>
  </si>
  <si>
    <t>G3L8E0398021</t>
  </si>
  <si>
    <t>NMAX CONNECTED</t>
  </si>
  <si>
    <t>LatLng(lat: 1.0432307, lng: 103.979383)</t>
  </si>
  <si>
    <t>LatLng(lat: 1.1250995, lng: 103.9279527)</t>
  </si>
  <si>
    <t>SP-24-F0001587</t>
  </si>
  <si>
    <t>M RIAN HIDAYAT</t>
  </si>
  <si>
    <t>BP 4297 QJ</t>
  </si>
  <si>
    <t>MH3SG3180JK018202</t>
  </si>
  <si>
    <t>G3E4E0860022</t>
  </si>
  <si>
    <t>NMAX ABS</t>
  </si>
  <si>
    <t>LatLng(lat: 1.1250428, lng: 103.9276032)</t>
  </si>
  <si>
    <t>LatLng(lat: 0.9311589, lng: 104.4404142)</t>
  </si>
  <si>
    <t>OD-25-F0000103</t>
  </si>
  <si>
    <t>ZULFADLI</t>
  </si>
  <si>
    <t>BP 3925 RC</t>
  </si>
  <si>
    <t>MH1JM912XNK226615</t>
  </si>
  <si>
    <t>JM91E2224943</t>
  </si>
  <si>
    <t>LatLng(lat: 1.0474591, lng: 103.9679897)</t>
  </si>
  <si>
    <t>0200-0198</t>
  </si>
  <si>
    <t>ARLENA AZHARI</t>
  </si>
  <si>
    <t>BP 3260 UM</t>
  </si>
  <si>
    <t>MH1JM0111LK001306</t>
  </si>
  <si>
    <t>JM01E1001247</t>
  </si>
  <si>
    <t>F1CO2N46L2 A/T SCOPPY</t>
  </si>
  <si>
    <t>LatLng(lat: 0.9311468, lng: 104.4403292)</t>
  </si>
  <si>
    <t>TP-25-F0000544</t>
  </si>
  <si>
    <t>SURYADI</t>
  </si>
  <si>
    <t>BP 2588 BY</t>
  </si>
  <si>
    <t>MH1JFP219FK069441</t>
  </si>
  <si>
    <t>JFP2E1071500</t>
  </si>
  <si>
    <t>PUTIH BIRU</t>
  </si>
  <si>
    <t>LatLng(lat: 1.0963773, lng: 103.9628855)</t>
  </si>
  <si>
    <t>SP-25-F0000678</t>
  </si>
  <si>
    <t>VINA SYAHRINA HIDAYAT</t>
  </si>
  <si>
    <t>BP 5783 CG</t>
  </si>
  <si>
    <t>MH3SEK610PJ083858</t>
  </si>
  <si>
    <t>E34KE0083862</t>
  </si>
  <si>
    <t>FILANO</t>
  </si>
  <si>
    <t>JB</t>
  </si>
  <si>
    <t>YBS DI DTEEK TGL 5 NAH RUNAPNYA YBS INI UDAH DI BULAN 10 YBS DI EKSEKUSI LAUNSG DI RUMAH ORNAG TUANYA TETAOI YBS MEMBUAT PERJANJIAN KAUA SEMISLAKAN TGL 8 NOV 2025 TIDKA DI BAYARKAN ANGSURANNYA MAKA TEAM JG BERHAK UNTUK MENARIK MOTORNTA</t>
  </si>
  <si>
    <t>LatLng(lat: 1.0546098, lng: 103.9685774)</t>
  </si>
  <si>
    <t>SP-25-F0001709</t>
  </si>
  <si>
    <t>KURNIAWAN</t>
  </si>
  <si>
    <t>BP 4497 AF</t>
  </si>
  <si>
    <t>MH3SG5620LK029479</t>
  </si>
  <si>
    <t>G3L8E0029731</t>
  </si>
  <si>
    <t>NMAX NON CONNECTED</t>
  </si>
  <si>
    <t>LatLng(lat: 0.9096364, lng: 104.4769112)</t>
  </si>
  <si>
    <t>TP-24-F0000745</t>
  </si>
  <si>
    <t>AL FATHUL FERDIAN</t>
  </si>
  <si>
    <t>BP 2511 BU</t>
  </si>
  <si>
    <t>MH1JFZ216JK451480</t>
  </si>
  <si>
    <t>JFZ2E1451400</t>
  </si>
  <si>
    <t>LatLng(lat: 1.040715, lng: 103.987445)</t>
  </si>
  <si>
    <t>SP-25-F0000027</t>
  </si>
  <si>
    <t>HAERUL BAHRI</t>
  </si>
  <si>
    <t>BP 4108 OA</t>
  </si>
  <si>
    <t>MH1KD1119PK471437</t>
  </si>
  <si>
    <t>KD11E1470632</t>
  </si>
  <si>
    <t>CRF</t>
  </si>
  <si>
    <t>HIJAU HITAM</t>
  </si>
  <si>
    <t>LatLng(lat: 1.0432805, lng: 103.9794255)</t>
  </si>
  <si>
    <t>SP-25-F0001669</t>
  </si>
  <si>
    <t>ADRI KOTO</t>
  </si>
  <si>
    <t>BP 4824 AF</t>
  </si>
  <si>
    <t>MH3SEF320KJ032240</t>
  </si>
  <si>
    <t>E31VE0151762</t>
  </si>
  <si>
    <t>LEXI</t>
  </si>
  <si>
    <t>BIRU TUA</t>
  </si>
  <si>
    <t>6b3dc071-be8e-4fa6-84b3-ef2c87247cf2</t>
  </si>
  <si>
    <t>LatLng(lat: 1.0432886, lng: 103.9793711)</t>
  </si>
  <si>
    <t>OD-25-F0001756</t>
  </si>
  <si>
    <t>M SUBADAR</t>
  </si>
  <si>
    <t>BP 5950 MF</t>
  </si>
  <si>
    <t>MH33C1205DK179967</t>
  </si>
  <si>
    <t>3C11179633</t>
  </si>
  <si>
    <t>Opendi banjarnahor</t>
  </si>
  <si>
    <t>LatLng(lat: 1.1485852, lng: 104.0160377)</t>
  </si>
  <si>
    <t>OD-25-F0001657</t>
  </si>
  <si>
    <t>RONI ROMANSYAH</t>
  </si>
  <si>
    <t>BP 3468 IC</t>
  </si>
  <si>
    <t>MH1JM2118HK553162</t>
  </si>
  <si>
    <t>JM21E1536968</t>
  </si>
  <si>
    <t>LatLng(lat: 1.0330473, lng: 103.976217)</t>
  </si>
  <si>
    <t>SP-24-F0002338</t>
  </si>
  <si>
    <t>SUDARMAN</t>
  </si>
  <si>
    <t>BP 4428 QF</t>
  </si>
  <si>
    <t>MH3SE8860HJ092134</t>
  </si>
  <si>
    <t>E3R2E1336323</t>
  </si>
  <si>
    <t>PUTIH PERAK</t>
  </si>
  <si>
    <t>LatLng(lat: 1.1469891, lng: 104.0268464)</t>
  </si>
  <si>
    <t>OD-24-F0001528</t>
  </si>
  <si>
    <t>HERY ABRIAN</t>
  </si>
  <si>
    <t>BP 2135 QQ</t>
  </si>
  <si>
    <t>MH1JFZ11XGK424406</t>
  </si>
  <si>
    <t>JFZ1E1414646</t>
  </si>
  <si>
    <t>83ca24fc-042d-4a7a-aea3-35465e9db033</t>
  </si>
  <si>
    <t>LatLng(lat: 1.081295, lng: 103.9045047)</t>
  </si>
  <si>
    <t>JUBRAIDER SIANTURI</t>
  </si>
  <si>
    <t>LatLng(lat: 1.0798648, lng: 103.9061619)</t>
  </si>
  <si>
    <t>OD-24-F0001100</t>
  </si>
  <si>
    <t>REFLIZAR</t>
  </si>
  <si>
    <t>BP 2478 ME</t>
  </si>
  <si>
    <t>MH1JFD230EK007652</t>
  </si>
  <si>
    <t>JFD2E2999713</t>
  </si>
  <si>
    <t>BIRU- PUTIH</t>
  </si>
  <si>
    <t>LatLng(lat: 1.0547572, lng: 103.9580988)</t>
  </si>
  <si>
    <t>OD-25-F0001615</t>
  </si>
  <si>
    <t>SAMSIN SIGALINGGING</t>
  </si>
  <si>
    <t>BP 6525 JC</t>
  </si>
  <si>
    <t>MH1KB111XRK352837</t>
  </si>
  <si>
    <t>KB11E1352262</t>
  </si>
  <si>
    <t>LatLng(lat: 1.0458283, lng: 103.9572502)</t>
  </si>
  <si>
    <t>OD-25-F0001853</t>
  </si>
  <si>
    <t>INDRA SAPRIMA</t>
  </si>
  <si>
    <t>BP 5636 AC</t>
  </si>
  <si>
    <t>MH3SEF320JJ024312</t>
  </si>
  <si>
    <t>E31VE0115315</t>
  </si>
  <si>
    <t>LatLng(lat: 1.0564211, lng: 103.9481284)</t>
  </si>
  <si>
    <t>OD-25-F0001260</t>
  </si>
  <si>
    <t>FERY MADANI BUTAR BUTAR</t>
  </si>
  <si>
    <t>BP 2708 QS</t>
  </si>
  <si>
    <t>MH1JM812XPK687620</t>
  </si>
  <si>
    <t>JM81E2687745</t>
  </si>
  <si>
    <t>LatLng(lat: 1.0563805, lng: 103.9479799)</t>
  </si>
  <si>
    <t>SP-24-F0002337</t>
  </si>
  <si>
    <t>SAHRUL IZAM</t>
  </si>
  <si>
    <t>BP 2275 HE</t>
  </si>
  <si>
    <t>MH1JM211XJK724256</t>
  </si>
  <si>
    <t>JM21E1714470</t>
  </si>
  <si>
    <t>LatLng(lat: 1.0563283, lng: 103.948075)</t>
  </si>
  <si>
    <t>OD-24-F0003343</t>
  </si>
  <si>
    <t>EFRIYANSYAH</t>
  </si>
  <si>
    <t>BP 2414 UI</t>
  </si>
  <si>
    <t>MH1JM9116MK714658</t>
  </si>
  <si>
    <t>JM91E1714235</t>
  </si>
  <si>
    <t>BIRU SILVER</t>
  </si>
  <si>
    <t>LatLng(lat: 1.0564275, lng: 103.9480064)</t>
  </si>
  <si>
    <t>SP-25-F0002318</t>
  </si>
  <si>
    <t>SULAIMAN</t>
  </si>
  <si>
    <t>BP 3586 IO</t>
  </si>
  <si>
    <t>MH1JFB115DK635709</t>
  </si>
  <si>
    <t>JFB1E1590193</t>
  </si>
  <si>
    <t>WHITE BLUE</t>
  </si>
  <si>
    <t>SP-25-F0000190</t>
  </si>
  <si>
    <t>MALASARI</t>
  </si>
  <si>
    <t>BP 3367 AE</t>
  </si>
  <si>
    <t>MH1JFZ135KK085211</t>
  </si>
  <si>
    <t>JFZ1E3087373</t>
  </si>
  <si>
    <t>LatLng(lat: 1.0563571, lng: 103.9479854)</t>
  </si>
  <si>
    <t>SP-25-F0000139</t>
  </si>
  <si>
    <t>M RIDWAN</t>
  </si>
  <si>
    <t>BP 2282 RG</t>
  </si>
  <si>
    <t>MH1JM0210NK604555</t>
  </si>
  <si>
    <t>JM02E1604540</t>
  </si>
  <si>
    <t>LatLng(lat: 1.0562732, lng: 103.9480921)</t>
  </si>
  <si>
    <t>SP-25-F0001522</t>
  </si>
  <si>
    <t>ALI MAKMUR</t>
  </si>
  <si>
    <t>BP 5274 AQ</t>
  </si>
  <si>
    <t>MH3SG5670PK281211</t>
  </si>
  <si>
    <t>G3L8E1490474</t>
  </si>
  <si>
    <t>N MAX CONNECTED</t>
  </si>
  <si>
    <t>LatLng(lat: 1.0584853, lng: 103.9633709)</t>
  </si>
  <si>
    <t>SP-25-F0000939</t>
  </si>
  <si>
    <t>WERLIN SAMUEL MALAU</t>
  </si>
  <si>
    <t>BP 3014 IF</t>
  </si>
  <si>
    <t>MH1KCD212NK030684</t>
  </si>
  <si>
    <t>KCD2E1030751</t>
  </si>
  <si>
    <t>JB TGL 10</t>
  </si>
  <si>
    <t>LatLng(lat: 1.051719, lng: 103.9682219)</t>
  </si>
  <si>
    <t>OD-25-F0001837</t>
  </si>
  <si>
    <t>LEGON HUTASOIT</t>
  </si>
  <si>
    <t>BP 3784 UG</t>
  </si>
  <si>
    <t>MH1JM0213MK216699</t>
  </si>
  <si>
    <t>JM02E1216250</t>
  </si>
  <si>
    <t>LatLng(lat: 1.0520326, lng: 103.9690732)</t>
  </si>
  <si>
    <t>SP-25-F0001350</t>
  </si>
  <si>
    <t>IOT PANJAITAN</t>
  </si>
  <si>
    <t>BP 2131 UP</t>
  </si>
  <si>
    <t>MH1JM9137PK103415</t>
  </si>
  <si>
    <t>JM91E3100855</t>
  </si>
  <si>
    <t>LatLng(lat: 1.0518824, lng: 103.9682129)</t>
  </si>
  <si>
    <t>SP-25-F0002295</t>
  </si>
  <si>
    <t>DANIEL LUMBANTORUAN</t>
  </si>
  <si>
    <t>BP 5285 QD</t>
  </si>
  <si>
    <t>MH3RG1810GK281186</t>
  </si>
  <si>
    <t>G3E7E0283656</t>
  </si>
  <si>
    <t>LatLng(lat: 1.0515007, lng: 103.9682181)</t>
  </si>
  <si>
    <t>OD-25-F0001738</t>
  </si>
  <si>
    <t>TUMINI</t>
  </si>
  <si>
    <t>BP 2795 IA</t>
  </si>
  <si>
    <t>MH1JFS115HK398581</t>
  </si>
  <si>
    <t>JFS1E1391303</t>
  </si>
  <si>
    <t>LatLng(lat: 1.0521876, lng: 103.9689996)</t>
  </si>
  <si>
    <t>OD-24-F0003181</t>
  </si>
  <si>
    <t>BP 2399 HE</t>
  </si>
  <si>
    <t>MH1KC8118JK180799</t>
  </si>
  <si>
    <t>KC81E1174484</t>
  </si>
  <si>
    <t>LatLng(lat: 1.0562153, lng: 103.9490615)</t>
  </si>
  <si>
    <t>OD-25-F0001943</t>
  </si>
  <si>
    <t>HANDA ALPIAN</t>
  </si>
  <si>
    <t>BP 2988 OH</t>
  </si>
  <si>
    <t>MH1JFP211FK147890</t>
  </si>
  <si>
    <t>JFP2E1147875</t>
  </si>
  <si>
    <t>LatLng(lat: 1.0541788, lng: 103.9692092)</t>
  </si>
  <si>
    <t>SP-25-F0002449</t>
  </si>
  <si>
    <t>SARIHON MANULLANG</t>
  </si>
  <si>
    <t>BP 4750 CF</t>
  </si>
  <si>
    <t>MH1JFD221EK854302</t>
  </si>
  <si>
    <t>JFD2E2849240</t>
  </si>
  <si>
    <t>LatLng(lat: 1.0541765, lng: 103.9692067)</t>
  </si>
  <si>
    <t>SP-25-F0002460</t>
  </si>
  <si>
    <t>DANI HERWANSYAH</t>
  </si>
  <si>
    <t>BP 5537 CG</t>
  </si>
  <si>
    <t>MH1JM0419RK791734</t>
  </si>
  <si>
    <t>JM04E1791745</t>
  </si>
  <si>
    <t>LatLng(lat: 1.0546284, lng: 104.0098479)</t>
  </si>
  <si>
    <t>OD-25-F0001341</t>
  </si>
  <si>
    <t>YONDIAN FIRMAN ANUGRAH UTAMA</t>
  </si>
  <si>
    <t>BP 2409 HP</t>
  </si>
  <si>
    <t>MH1JFZ120JK963102</t>
  </si>
  <si>
    <t>JFZ1E2961295</t>
  </si>
  <si>
    <t>LatLng(lat: 1.0407402, lng: 103.9874656)</t>
  </si>
  <si>
    <t>SP-25-F0001715</t>
  </si>
  <si>
    <t>HERI SUSANTO</t>
  </si>
  <si>
    <t>BP 3012 RG</t>
  </si>
  <si>
    <t>MH1JM8118NK856084</t>
  </si>
  <si>
    <t>JM81E1858065</t>
  </si>
  <si>
    <t>MERAH-HITAM</t>
  </si>
  <si>
    <t>LatLng(lat: 1.0407419, lng: 103.9874658)</t>
  </si>
  <si>
    <t>OD-25-F0000998</t>
  </si>
  <si>
    <t>IMAM SAFI I</t>
  </si>
  <si>
    <t>BP 2789 HI</t>
  </si>
  <si>
    <t>MH1KF4110JK025437</t>
  </si>
  <si>
    <t>KF41E1026285</t>
  </si>
  <si>
    <t>LatLng(lat: 1.0403301, lng: 103.9873201)</t>
  </si>
  <si>
    <t>LatLng(lat: 1.0407427, lng: 103.9874669)</t>
  </si>
  <si>
    <t>SP-25-F0002116</t>
  </si>
  <si>
    <t>ONDIHON MANURUNG</t>
  </si>
  <si>
    <t>BP 6313 HJ</t>
  </si>
  <si>
    <t>MH1KB111XRK350165</t>
  </si>
  <si>
    <t>KB11E1349707</t>
  </si>
  <si>
    <t>LatLng(lat: 1.0563531, lng: 103.9484302)</t>
  </si>
  <si>
    <t>LatLng(lat: 1.0563545, lng: 103.9484065)</t>
  </si>
  <si>
    <t>OD-25-F0000183</t>
  </si>
  <si>
    <t>DESI HANDAYANI</t>
  </si>
  <si>
    <t>BP 3121 JU</t>
  </si>
  <si>
    <t>MH1JM3138LK389704</t>
  </si>
  <si>
    <t>JM31E3385284</t>
  </si>
  <si>
    <t>LatLng(lat: 1.0432998, lng: 103.954679)</t>
  </si>
  <si>
    <t>SP-25-F0001141</t>
  </si>
  <si>
    <t>INDRA YANTO</t>
  </si>
  <si>
    <t>BP 3509 AO</t>
  </si>
  <si>
    <t>MH1KF4116KK675844</t>
  </si>
  <si>
    <t>KF41E1678537</t>
  </si>
  <si>
    <t>LatLng(lat: 1.0423536, lng: 103.9830536)</t>
  </si>
  <si>
    <t>LatLng(lat: 1.0441464, lng: 103.9541995)</t>
  </si>
  <si>
    <t>LatLng(lat: 1.0432791, lng: 103.9793803)</t>
  </si>
  <si>
    <t>SP-25-F0001049</t>
  </si>
  <si>
    <t>ALDI HALASSON SILITONGA</t>
  </si>
  <si>
    <t>BP 2231 AI</t>
  </si>
  <si>
    <t>MH1JFZ139KK284228</t>
  </si>
  <si>
    <t>JFZ1E3284351</t>
  </si>
  <si>
    <t>LatLng(lat: 1.0563295, lng: 103.9484423)</t>
  </si>
  <si>
    <t>OD-25-F0000540</t>
  </si>
  <si>
    <t>TUTY YAMAHANI</t>
  </si>
  <si>
    <t>BP 5767 HR</t>
  </si>
  <si>
    <t>MH1JMD110RK649039</t>
  </si>
  <si>
    <t>JMD1E1648641</t>
  </si>
  <si>
    <t>LatLng(lat: 1.0564986, lng: 103.9484634)</t>
  </si>
  <si>
    <t>LatLng(lat: 1.0563576, lng: 103.9479919)</t>
  </si>
  <si>
    <t>LatLng(lat: 1.0563588, lng: 103.9484684)</t>
  </si>
  <si>
    <t>LatLng(lat: 1.0425781, lng: 103.9526373)</t>
  </si>
  <si>
    <t>OD-24-F0000100</t>
  </si>
  <si>
    <t>TEUKU ANANDA</t>
  </si>
  <si>
    <t>BP 3119 HJ</t>
  </si>
  <si>
    <t>MH1JM2118JK957102</t>
  </si>
  <si>
    <t>JM21E1937286</t>
  </si>
  <si>
    <t>SALAH KETIK</t>
  </si>
  <si>
    <t>LatLng(lat: 1.0563625, lng: 103.9485143)</t>
  </si>
  <si>
    <t>LatLng(lat: 1.0432451, lng: 103.9796069)</t>
  </si>
  <si>
    <t>OD-25-F0001412</t>
  </si>
  <si>
    <t>MAISAROH</t>
  </si>
  <si>
    <t>BP 2589 IR</t>
  </si>
  <si>
    <t>MH1JM2112HK581491</t>
  </si>
  <si>
    <t>JM21E1566278</t>
  </si>
  <si>
    <t>LatLng(lat: 1.0427365, lng: 103.9525177)</t>
  </si>
  <si>
    <t>SP-25-F0002173</t>
  </si>
  <si>
    <t>HERNIYATI TANJUNG</t>
  </si>
  <si>
    <t>BP 3675 RR</t>
  </si>
  <si>
    <t>MH1JFZ138KK458077</t>
  </si>
  <si>
    <t>JFZ1E3457905</t>
  </si>
  <si>
    <t>LatLng(lat: 1.0427046, lng: 103.952523)</t>
  </si>
  <si>
    <t>2d9d422f-1d0e-4451-8950-dc9e388e3850</t>
  </si>
  <si>
    <t>LatLng(lat: 1.0463422, lng: 103.975031)</t>
  </si>
  <si>
    <t>OD-24-F0001877</t>
  </si>
  <si>
    <t>BP 4913 RG</t>
  </si>
  <si>
    <t>MH31PA002DK112748</t>
  </si>
  <si>
    <t>1PA112222</t>
  </si>
  <si>
    <t>TITANIUM GOLD</t>
  </si>
  <si>
    <t>Efendi Lim</t>
  </si>
  <si>
    <t>LatLng(lat: 1.044837, lng: 103.9769326)</t>
  </si>
  <si>
    <t>OD-24-F0003134</t>
  </si>
  <si>
    <t>LUKMAN FARID</t>
  </si>
  <si>
    <t>BP 6373 HE</t>
  </si>
  <si>
    <t>C6</t>
  </si>
  <si>
    <t>MH8DL11AZHJ151721</t>
  </si>
  <si>
    <t>CGA1ID151759</t>
  </si>
  <si>
    <t>LatLng(lat: 1.0570103, lng: 103.9445794)</t>
  </si>
  <si>
    <t>LatLng(lat: 1.1076514, lng: 103.9534109)</t>
  </si>
  <si>
    <t>OD-25-F0001947</t>
  </si>
  <si>
    <t>MANGARANAP BUDI SILABAN</t>
  </si>
  <si>
    <t>BP 3356 UG</t>
  </si>
  <si>
    <t>MH1JM8113MK538064</t>
  </si>
  <si>
    <t>JM81E1539953</t>
  </si>
  <si>
    <t>LatLng(lat: 1.1067206, lng: 103.9525505)</t>
  </si>
  <si>
    <t>LatLng(lat: 1.1095844, lng: 103.9505976)</t>
  </si>
  <si>
    <t>SP-25-F0001291</t>
  </si>
  <si>
    <t>NUNING</t>
  </si>
  <si>
    <t>BP 2593 OJ</t>
  </si>
  <si>
    <t>MH1JFW119FK261860</t>
  </si>
  <si>
    <t>JFW1E1256950</t>
  </si>
  <si>
    <t>SCOOPY F1 CW</t>
  </si>
  <si>
    <t>LatLng(lat: 1.1085463, lng: 103.9568102)</t>
  </si>
  <si>
    <t>OD-24-F0002509</t>
  </si>
  <si>
    <t>PAUL SISWANTO</t>
  </si>
  <si>
    <t>BP 5045 CD</t>
  </si>
  <si>
    <t>MH1JFM211EK817404</t>
  </si>
  <si>
    <t>JFM2E1798667</t>
  </si>
  <si>
    <t>LatLng(lat: 1.1142117, lng: 103.9545317)</t>
  </si>
  <si>
    <t>SP-24-F0002260</t>
  </si>
  <si>
    <t>AHMAD AL FAUZI PUTRA PERDANA</t>
  </si>
  <si>
    <t>BP 3282 QF</t>
  </si>
  <si>
    <t>MH1KB1118GK058429</t>
  </si>
  <si>
    <t>KB11E1059854</t>
  </si>
  <si>
    <t>LatLng(lat: 1.1127754, lng: 103.9547483)</t>
  </si>
  <si>
    <t>SP-25-F0000370</t>
  </si>
  <si>
    <t>SAMA SIMANULLANG</t>
  </si>
  <si>
    <t>BP 3716 QC</t>
  </si>
  <si>
    <t>MH1JM0314PK197390</t>
  </si>
  <si>
    <t>JM03E1197392</t>
  </si>
  <si>
    <t>LatLng(lat: 1.1067461, lng: 103.9545752)</t>
  </si>
  <si>
    <t>OD-25-F0000528</t>
  </si>
  <si>
    <t>DARIMI TANJUNG</t>
  </si>
  <si>
    <t>BP 2441 AH</t>
  </si>
  <si>
    <t>MH1JM3125KK602338</t>
  </si>
  <si>
    <t>JM31E2596401</t>
  </si>
  <si>
    <t>LatLng(lat: 1.1108808, lng: 103.9494689)</t>
  </si>
  <si>
    <t>SP-25-F0001232</t>
  </si>
  <si>
    <t>KASMINI SITANGGANG</t>
  </si>
  <si>
    <t>BP 3890 CA</t>
  </si>
  <si>
    <t>MH1JM0214NK925126</t>
  </si>
  <si>
    <t>JM02E1925265</t>
  </si>
  <si>
    <t>LatLng(lat: 1.1071083, lng: 103.9566665)</t>
  </si>
  <si>
    <t>OD-25-F0001493</t>
  </si>
  <si>
    <t>MUSTIKA SUGIARTI</t>
  </si>
  <si>
    <t>BP 4606 HI</t>
  </si>
  <si>
    <t>MH1JMD119RK696792</t>
  </si>
  <si>
    <t>JMD1E1696298</t>
  </si>
  <si>
    <t>LatLng(lat: 1.1217412, lng: 104.0573668)</t>
  </si>
  <si>
    <t>SP-25-F0002329</t>
  </si>
  <si>
    <t>REZA DAMARA</t>
  </si>
  <si>
    <t>BP 2625 UA</t>
  </si>
  <si>
    <t>MH1JM3138LK607124</t>
  </si>
  <si>
    <t>JM31E3605406</t>
  </si>
  <si>
    <t>LatLng(lat: 1.0486785, lng: 103.9532844)</t>
  </si>
  <si>
    <t>LatLng(lat: 1.1098701, lng: 103.9706314)</t>
  </si>
  <si>
    <t>OD-24-F0002112</t>
  </si>
  <si>
    <t>R. HUSNUL MAAB</t>
  </si>
  <si>
    <t>BP 3160 QA</t>
  </si>
  <si>
    <t>MH1KF1117GK561129</t>
  </si>
  <si>
    <t>KF11E1562276</t>
  </si>
  <si>
    <t>LatLng(lat: 1.1137269, lng: 103.9619115)</t>
  </si>
  <si>
    <t>OD-25-F0001858</t>
  </si>
  <si>
    <t>ANDREAS DOMINGGOS</t>
  </si>
  <si>
    <t>BP 3618 JU</t>
  </si>
  <si>
    <t>MH1KCA216LK080001</t>
  </si>
  <si>
    <t>KCA2E1075623</t>
  </si>
  <si>
    <t>CB LED</t>
  </si>
  <si>
    <t>LatLng(lat: 1.11511, lng: 103.97186)</t>
  </si>
  <si>
    <t>OD-25-F0001819</t>
  </si>
  <si>
    <t>ADI NINGRAT</t>
  </si>
  <si>
    <t>BP 4391 JR</t>
  </si>
  <si>
    <t>MH31PA004EK566079</t>
  </si>
  <si>
    <t>1PA566301</t>
  </si>
  <si>
    <t>VIXION KS</t>
  </si>
  <si>
    <t>LatLng(lat: 1.1157367, lng: 103.97404)</t>
  </si>
  <si>
    <t>OD-24-F0002704</t>
  </si>
  <si>
    <t>DIAN NOVITA SARI</t>
  </si>
  <si>
    <t>BP 3614 OI</t>
  </si>
  <si>
    <t>MH1JFV115FK248470</t>
  </si>
  <si>
    <t>JFV1E1248022</t>
  </si>
  <si>
    <t>LatLng(lat: 1.0460126, lng: 103.9529305)</t>
  </si>
  <si>
    <t>SP-25-F0002197</t>
  </si>
  <si>
    <t>M FAISAL</t>
  </si>
  <si>
    <t>BP 4155 RI</t>
  </si>
  <si>
    <t>MH1JMH212SK153283</t>
  </si>
  <si>
    <t>JMH2E1153589</t>
  </si>
  <si>
    <t>LatLng(lat: 1.0430236, lng: 103.9517625)</t>
  </si>
  <si>
    <t>SP-25-F0001732</t>
  </si>
  <si>
    <t>SURIYONO</t>
  </si>
  <si>
    <t>BP 3815 IA</t>
  </si>
  <si>
    <t>MH1JFU117HK951498</t>
  </si>
  <si>
    <t>JFU1E1954597</t>
  </si>
  <si>
    <t>LatLng(lat: 1.1150535, lng: 104.0906048)</t>
  </si>
  <si>
    <t>OD-25-F0001087</t>
  </si>
  <si>
    <t>AHMAD SOFIYAN</t>
  </si>
  <si>
    <t>BP 3603 HI</t>
  </si>
  <si>
    <t>MH1JFZ129JK447059</t>
  </si>
  <si>
    <t>JFZ1E2457006</t>
  </si>
  <si>
    <t>LatLng(lat: 1.0360081, lng: 103.9552496)</t>
  </si>
  <si>
    <t>SP-24-F0001257</t>
  </si>
  <si>
    <t>SUSWANTO</t>
  </si>
  <si>
    <t>BP 3281 QR</t>
  </si>
  <si>
    <t>MH1JFZ116HK602703</t>
  </si>
  <si>
    <t>JFZ1E1609376</t>
  </si>
  <si>
    <t>LatLng(lat: 0.9080152, lng: 104.46166)</t>
  </si>
  <si>
    <t>TP-25-F0000297</t>
  </si>
  <si>
    <t>ANDI AFRIYANTO</t>
  </si>
  <si>
    <t>BP 6198 UB</t>
  </si>
  <si>
    <t>MH1JM8227RK169997</t>
  </si>
  <si>
    <t>JM82E2170824</t>
  </si>
  <si>
    <t>LatLng(lat: 1.0432396, lng: 103.9793955)</t>
  </si>
  <si>
    <t>SP-25-F0001594</t>
  </si>
  <si>
    <t>RIKO ANWARDI</t>
  </si>
  <si>
    <t>BP 2564 QC</t>
  </si>
  <si>
    <t>MH1JM9129PK854412</t>
  </si>
  <si>
    <t>JM91E2852196</t>
  </si>
  <si>
    <t>LatLng(lat: 1.0432744, lng: 103.9793708)</t>
  </si>
  <si>
    <t>LatLng(lat: 1.0283262, lng: 104.0599353)</t>
  </si>
  <si>
    <t>OD-25-F0001031</t>
  </si>
  <si>
    <t>OKTAVIANUS PARULIAN HUTAGALUNG</t>
  </si>
  <si>
    <t>BP  4624 RC</t>
  </si>
  <si>
    <t>MH1JFZ219KK732075</t>
  </si>
  <si>
    <t>JFZ2E1730876</t>
  </si>
  <si>
    <t>LatLng(lat: 1.0515443, lng: 103.9727732)</t>
  </si>
  <si>
    <t>LatLng(lat: 1.0417019, lng: 103.9562888)</t>
  </si>
  <si>
    <t>SP-25-F0002581</t>
  </si>
  <si>
    <t>SHOUM WAL AKRA BILNA</t>
  </si>
  <si>
    <t>BP 3620 UJ</t>
  </si>
  <si>
    <t>MH1KF7115PK48995</t>
  </si>
  <si>
    <t>KF71E1549008</t>
  </si>
  <si>
    <t>LatLng(lat: 1.0485472, lng: 103.9532656)</t>
  </si>
  <si>
    <t>LatLng(lat: 1.0999067, lng: 103.9624033)</t>
  </si>
  <si>
    <t>OD-25-F0001344</t>
  </si>
  <si>
    <t>RISKA SAFITRI</t>
  </si>
  <si>
    <t>BP 6513 CG</t>
  </si>
  <si>
    <t>MJAP17MP3PJ100021</t>
  </si>
  <si>
    <t>KV249FMMR1001592</t>
  </si>
  <si>
    <t>BENELLI</t>
  </si>
  <si>
    <t>KEEWAY SCR 250</t>
  </si>
  <si>
    <t>ABU-ABU</t>
  </si>
  <si>
    <t>LatLng(lat: 1.0433345, lng: 103.9794496)</t>
  </si>
  <si>
    <t>OD-24-F0001351</t>
  </si>
  <si>
    <t>BP 2993 GJ</t>
  </si>
  <si>
    <t>MH1JFB11XCK194397</t>
  </si>
  <si>
    <t>JFB1E1193042</t>
  </si>
  <si>
    <t>LatLng(lat: 1.0432729, lng: 103.9794236)</t>
  </si>
  <si>
    <t>OD-25-F0001534</t>
  </si>
  <si>
    <t>YOSEF BESA</t>
  </si>
  <si>
    <t>BP 3823 CA</t>
  </si>
  <si>
    <t>MH1JM0214NK940905</t>
  </si>
  <si>
    <t>JM02E1940822</t>
  </si>
  <si>
    <t>240e927b-449f-4469-8c98-e687f0b41cf8</t>
  </si>
  <si>
    <t>LatLng(lat: 1.126455, lng: 104.099415)</t>
  </si>
  <si>
    <t>OD-24-F0002374</t>
  </si>
  <si>
    <t>ARWAN LESMANA</t>
  </si>
  <si>
    <t>BP 3814 AP</t>
  </si>
  <si>
    <t>MH1KB2211PK031755</t>
  </si>
  <si>
    <t>KB22E1031672</t>
  </si>
  <si>
    <t>SUPRA</t>
  </si>
  <si>
    <t>Rintoeriksonsiburian</t>
  </si>
  <si>
    <t>LatLng(lat: 1.0485929, lng: 103.9532741)</t>
  </si>
  <si>
    <t>SP-25-F0000959</t>
  </si>
  <si>
    <t>RATRI WULANDARI</t>
  </si>
  <si>
    <t>BP 4406 J</t>
  </si>
  <si>
    <t>MH1JME111RK277765</t>
  </si>
  <si>
    <t>JME1E1278072</t>
  </si>
  <si>
    <t>LatLng(lat: 1.0492632, lng: 103.9441545)</t>
  </si>
  <si>
    <t>OD-25-F0000894</t>
  </si>
  <si>
    <t>ABD. RAHMAN</t>
  </si>
  <si>
    <t>BP 4810 QJ</t>
  </si>
  <si>
    <t>MH3SEE410JJ046627</t>
  </si>
  <si>
    <t>E3R2E1868361</t>
  </si>
  <si>
    <t>MIO S</t>
  </si>
  <si>
    <t>6334c9e2-f39a-47fc-883e-dc49b291c247</t>
  </si>
  <si>
    <t>LatLng(lat: 1.0400486, lng: 103.9871249)</t>
  </si>
  <si>
    <t>OD-25-F0000337</t>
  </si>
  <si>
    <t>HERIYANTO</t>
  </si>
  <si>
    <t>BP 3021 UH</t>
  </si>
  <si>
    <t>MH1JM3123KK995434</t>
  </si>
  <si>
    <t>JM31E2990940</t>
  </si>
  <si>
    <t>Willy Tambunan</t>
  </si>
  <si>
    <t>LatLng(lat: 1.058173, lng: 103.9645338)</t>
  </si>
  <si>
    <t>SP-25-F0002566</t>
  </si>
  <si>
    <t>YULI WIDIASTUTI</t>
  </si>
  <si>
    <t>BP 6177 CG</t>
  </si>
  <si>
    <t>MH1JM031XRK567311</t>
  </si>
  <si>
    <t>JM03E1567332</t>
  </si>
  <si>
    <t>LatLng(lat: 1.1128801, lng: 103.9777821)</t>
  </si>
  <si>
    <t>OD-25-F0001869</t>
  </si>
  <si>
    <t>RENOL YEHEZKIEL MALAU</t>
  </si>
  <si>
    <t>BP 6897 CI</t>
  </si>
  <si>
    <t>MH1JM0412RK775648</t>
  </si>
  <si>
    <t>JM04E1775660</t>
  </si>
  <si>
    <t>LatLng(lat: 1.0368283, lng: 103.9688144)</t>
  </si>
  <si>
    <t>OD-24-F0003330</t>
  </si>
  <si>
    <t>DIAN TANTRI</t>
  </si>
  <si>
    <t>BP 3766 QU</t>
  </si>
  <si>
    <t>MH1KF4119LK954383</t>
  </si>
  <si>
    <t>KF41E1956793</t>
  </si>
  <si>
    <t>AMAN</t>
  </si>
  <si>
    <t>702dc462-24c0-4894-b1c2-8bb9fe7a2806</t>
  </si>
  <si>
    <t>LatLng(lat: 1.0350676, lng: 103.9988364)</t>
  </si>
  <si>
    <t>SP-25-F0002011</t>
  </si>
  <si>
    <t>SIMON SIAGIAN</t>
  </si>
  <si>
    <t>BP 3922 PR</t>
  </si>
  <si>
    <t>MH1JM9137PK101082</t>
  </si>
  <si>
    <t>JM91E3096944</t>
  </si>
  <si>
    <t>Pantom Togi gabriel</t>
  </si>
  <si>
    <t>e3a70ada-a915-4680-aaa7-28e4b7d6722b</t>
  </si>
  <si>
    <t>LatLng(lat: 1.147087, lng: 104.0268409)</t>
  </si>
  <si>
    <t>SP-25-F0002248</t>
  </si>
  <si>
    <t>ROBBY PATRIYO</t>
  </si>
  <si>
    <t>BP 2202 UH</t>
  </si>
  <si>
    <t>MH1JM1127KK337796</t>
  </si>
  <si>
    <t>JM11E2319938</t>
  </si>
  <si>
    <t>Romroben sihombing</t>
  </si>
  <si>
    <t>LatLng(lat: 1.0468759, lng: 103.9543045)</t>
  </si>
  <si>
    <t>OD-25-F0000049</t>
  </si>
  <si>
    <t>RUDI NASIB PASARIBU</t>
  </si>
  <si>
    <t>BP 6598 CA</t>
  </si>
  <si>
    <t>MH1JMC110RK305754</t>
  </si>
  <si>
    <t>JMC1E1304677</t>
  </si>
  <si>
    <t>LatLng(lat: 1.0475333, lng: 103.9643767)</t>
  </si>
  <si>
    <t>OD-25-F0000556</t>
  </si>
  <si>
    <t>EFRISON</t>
  </si>
  <si>
    <t>BP 4740 CD</t>
  </si>
  <si>
    <t>MH1JM1122KK135299</t>
  </si>
  <si>
    <t>JM11E2117520</t>
  </si>
  <si>
    <t>LatLng(lat: 1.0407279, lng: 103.9416449)</t>
  </si>
  <si>
    <t>SP-25-F0001283</t>
  </si>
  <si>
    <t>ZURDINATA SIKUMBANG</t>
  </si>
  <si>
    <t>BP 2849 RI</t>
  </si>
  <si>
    <t>MH1JM0119NK546995</t>
  </si>
  <si>
    <t>JM01E1546508</t>
  </si>
  <si>
    <t>LatLng(lat: 1.0414333, lng: 103.9830014)</t>
  </si>
  <si>
    <t>SP-23-F0002226</t>
  </si>
  <si>
    <t>GUSTI BAGUS URGANATA</t>
  </si>
  <si>
    <t>BP 2866 UD</t>
  </si>
  <si>
    <t>MH1JFZ130KK574079</t>
  </si>
  <si>
    <t>JFZ1E3573944</t>
  </si>
  <si>
    <t>ALAMAT DIKETAHUI</t>
  </si>
  <si>
    <t>YBS DI DETEK PADA TANGGAL 16 BULAN OKTOBER 2025 OLEH TIM INTENRAL CEKUNIT NAMANYA ITU PAK PHANTOM, NAH KARNA YBS KATEGORY DN AKHIRNYA DI TEMUKAN ALAMAT YBS YANG BARU</t>
  </si>
  <si>
    <t>LatLng(lat: 1.0414699, lng: 103.9826812)</t>
  </si>
  <si>
    <t>OD-25-F0000466</t>
  </si>
  <si>
    <t>ALI</t>
  </si>
  <si>
    <t>BP 3224 IA</t>
  </si>
  <si>
    <t>MH1JFU115HK972575</t>
  </si>
  <si>
    <t>JFU1E1975930</t>
  </si>
  <si>
    <t>LatLng(lat: 1.04085, lng: 103.9421314)</t>
  </si>
  <si>
    <t>SP-25-F0000836</t>
  </si>
  <si>
    <t>AFDHAL RIZKYA JERNALIS</t>
  </si>
  <si>
    <t>BP 3855 QR</t>
  </si>
  <si>
    <t>MH1JFZ112HK646570</t>
  </si>
  <si>
    <t>JFZ1E1655085</t>
  </si>
  <si>
    <t>LatLng(lat: 1.0419196, lng: 103.9373305)</t>
  </si>
  <si>
    <t>OD-25-F0001379</t>
  </si>
  <si>
    <t>DONI BINTORO</t>
  </si>
  <si>
    <t>BP 2204 P</t>
  </si>
  <si>
    <t>MH1KF0117PK577759</t>
  </si>
  <si>
    <t>KF01E1577783</t>
  </si>
  <si>
    <t>LatLng(lat: 1.0487206, lng: 103.942745)</t>
  </si>
  <si>
    <t>SP-25-F0002193</t>
  </si>
  <si>
    <t>RIDHO HANAFI POHAN</t>
  </si>
  <si>
    <t>BP 5312 UA</t>
  </si>
  <si>
    <t>MH1JMA11XRK150456</t>
  </si>
  <si>
    <t>JMA1E1150240</t>
  </si>
  <si>
    <t>HITAM-MERAH</t>
  </si>
  <si>
    <t>LatLng(lat: 1.071481, lng: 103.9193976)</t>
  </si>
  <si>
    <t>SP-25-F0000803</t>
  </si>
  <si>
    <t>HENDRIZAL</t>
  </si>
  <si>
    <t>BP 2596 US</t>
  </si>
  <si>
    <t>MH1JM8123PK705617</t>
  </si>
  <si>
    <t>JM81E2705877</t>
  </si>
  <si>
    <t>b5022170-5138-4d36-a599-749fef2d3ebb</t>
  </si>
  <si>
    <t>LatLng(lat: 1.1042225, lng: 104.0688847)</t>
  </si>
  <si>
    <t>SP-25-F0001286</t>
  </si>
  <si>
    <t>SUDIRA MUABDA</t>
  </si>
  <si>
    <t>BP 2420 AH</t>
  </si>
  <si>
    <t>MH1JFZ13XKK251688</t>
  </si>
  <si>
    <t>JFZ1E3252670</t>
  </si>
  <si>
    <t>Oloan Sitanggang</t>
  </si>
  <si>
    <t>LatLng(lat: 1.0446455, lng: 103.9813727)</t>
  </si>
  <si>
    <t>OD-24-F0002807</t>
  </si>
  <si>
    <t>RIZKY MAULANA RIDWAN</t>
  </si>
  <si>
    <t>BP 4837 QI</t>
  </si>
  <si>
    <t>MH3RG4810HK005732</t>
  </si>
  <si>
    <t>G3J6E0041843</t>
  </si>
  <si>
    <t>SUDAH JB</t>
  </si>
  <si>
    <t>LatLng(lat: 1.053002, lng: 103.9676243)</t>
  </si>
  <si>
    <t>SP-24-F0001597</t>
  </si>
  <si>
    <t>EDUARDUS NAHAK</t>
  </si>
  <si>
    <t>BP 2372 AP</t>
  </si>
  <si>
    <t>MH1JM8127PK396136</t>
  </si>
  <si>
    <t>JM81E2399735</t>
  </si>
  <si>
    <t>SILVER-HITAM</t>
  </si>
  <si>
    <t>LatLng(lat: 1.0527824, lng: 103.9676753)</t>
  </si>
  <si>
    <t>SP-25-F0000925</t>
  </si>
  <si>
    <t>JEPRY HARIANJA</t>
  </si>
  <si>
    <t>BP 2987 CU</t>
  </si>
  <si>
    <t>MH1JM9116LK282278</t>
  </si>
  <si>
    <t>JM91E1283112</t>
  </si>
  <si>
    <t>LatLng(lat: 1.0533126, lng: 103.9668432)</t>
  </si>
  <si>
    <t>OD-24-F0002661</t>
  </si>
  <si>
    <t>EGIDHEA NIRMA SAVITRI</t>
  </si>
  <si>
    <t>BP 4153 HE</t>
  </si>
  <si>
    <t>MH3SEK610PJ051580</t>
  </si>
  <si>
    <t>E34KE0051581</t>
  </si>
  <si>
    <t>LatLng(lat: 1.0285135, lng: 103.9653544)</t>
  </si>
  <si>
    <t>OD-25-F0001712</t>
  </si>
  <si>
    <t>AGUNG VERNANDO</t>
  </si>
  <si>
    <t>BP 2562 AR</t>
  </si>
  <si>
    <t>MH1JM2113HK648048</t>
  </si>
  <si>
    <t>JM21E1635871</t>
  </si>
  <si>
    <t>LatLng(lat: 1.0699598, lng: 104.0243472)</t>
  </si>
  <si>
    <t>SP-24-F0002564</t>
  </si>
  <si>
    <t>ISMAN</t>
  </si>
  <si>
    <t>BP 2480 UC</t>
  </si>
  <si>
    <t>MH1KF4116LK991603</t>
  </si>
  <si>
    <t>KF41E1993910</t>
  </si>
  <si>
    <t>LatLng(lat: 1.0421685, lng: 103.9809209)</t>
  </si>
  <si>
    <t>SP-24-F0002804</t>
  </si>
  <si>
    <t>DANIEL PARLINGGOMAN SIMBOLON</t>
  </si>
  <si>
    <t>BP 3965 RR</t>
  </si>
  <si>
    <t>MH1JFZ132KK464781</t>
  </si>
  <si>
    <t>JFZ1E3464688</t>
  </si>
  <si>
    <t>LatLng(lat: 1.0433576, lng: 103.9795071)</t>
  </si>
  <si>
    <t>SP-25-F0002010</t>
  </si>
  <si>
    <t>MARIA DIANA MALIDA PENGO</t>
  </si>
  <si>
    <t>BP 3415 PR</t>
  </si>
  <si>
    <t>MH1JM0317PK334872</t>
  </si>
  <si>
    <t>JM03E1334782</t>
  </si>
  <si>
    <t>LatLng(lat: 1.0474205, lng: 103.9657442)</t>
  </si>
  <si>
    <t>LatLng(lat: 1.0475596, lng: 103.963883)</t>
  </si>
  <si>
    <t>SP-25-F0001348</t>
  </si>
  <si>
    <t>PARIT JUNAIDI</t>
  </si>
  <si>
    <t>BP 3740 JC</t>
  </si>
  <si>
    <t>MH1KC4110EK274075</t>
  </si>
  <si>
    <t>KC41E1272063</t>
  </si>
  <si>
    <t>CB 150 R OLD</t>
  </si>
  <si>
    <t>LatLng(lat: 1.04754, lng: 103.9639933)</t>
  </si>
  <si>
    <t>LatLng(lat: 1.02944, lng: 103.9589153)</t>
  </si>
  <si>
    <t>LatLng(lat: 1.0367733, lng: 103.9629717)</t>
  </si>
  <si>
    <t>SP-25-F0000656</t>
  </si>
  <si>
    <t>WIJANARKO</t>
  </si>
  <si>
    <t>BP 2052 FR</t>
  </si>
  <si>
    <t>MH1JM1117HK523290</t>
  </si>
  <si>
    <t>JM11E1506067</t>
  </si>
  <si>
    <t>LatLng(lat: 1.04172, lng: 103.983755)</t>
  </si>
  <si>
    <t>SP-24-F0001856</t>
  </si>
  <si>
    <t>AHMAD IBRAHIM</t>
  </si>
  <si>
    <t>BP 3497 EG</t>
  </si>
  <si>
    <t>MH1JM0314PK277286</t>
  </si>
  <si>
    <t>JM03E1277072</t>
  </si>
  <si>
    <t>LatLng(lat: 1.0425564, lng: 103.9828581)</t>
  </si>
  <si>
    <t>SP-25-F0000006</t>
  </si>
  <si>
    <t>WINORA INDRIYANI</t>
  </si>
  <si>
    <t>BP 3236 UP</t>
  </si>
  <si>
    <t>MH1JM8127PK594263</t>
  </si>
  <si>
    <t>JM81E2597072</t>
  </si>
  <si>
    <t>LatLng(lat: 1.0694785, lng: 104.0278666)</t>
  </si>
  <si>
    <t>SP-25-F0000254</t>
  </si>
  <si>
    <t>ELIDA RISNA WATI SIRAIT</t>
  </si>
  <si>
    <t>BP 2803 AQ</t>
  </si>
  <si>
    <t>MH1JM2125JK246823</t>
  </si>
  <si>
    <t>JM21E2230443</t>
  </si>
  <si>
    <t>BIRU-PUTIH</t>
  </si>
  <si>
    <t>LatLng(lat: 1.1153502, lng: 104.0912458)</t>
  </si>
  <si>
    <t>OD-24-F0002116</t>
  </si>
  <si>
    <t>MULYADI</t>
  </si>
  <si>
    <t>BP 3674 QG</t>
  </si>
  <si>
    <t>MH1JFR115GK355091</t>
  </si>
  <si>
    <t>JFR1E1349997</t>
  </si>
  <si>
    <t>BEAT CW F1</t>
  </si>
  <si>
    <t>LatLng(lat: 1.1381469, lng: 104.0277003)</t>
  </si>
  <si>
    <t>OD-24-F0003070</t>
  </si>
  <si>
    <t>BP 2825 IG</t>
  </si>
  <si>
    <t>MH1JF5134CK871429</t>
  </si>
  <si>
    <t>JF51E3859536</t>
  </si>
  <si>
    <t>LatLng(lat: 1.1381282, lng: 104.0276304)</t>
  </si>
  <si>
    <t>SP-25-F0001038</t>
  </si>
  <si>
    <t>BILLI ADITIA</t>
  </si>
  <si>
    <t>BP 3474 J</t>
  </si>
  <si>
    <t>MH1JM0211MK362650</t>
  </si>
  <si>
    <t>JM02E1362627</t>
  </si>
  <si>
    <t>3841b94e-9a4f-4b53-a473-36560f4d9a4f</t>
  </si>
  <si>
    <t>LatLng(lat: 1.05778, lng: 103.9623817)</t>
  </si>
  <si>
    <t>OD-24-F0001267</t>
  </si>
  <si>
    <t>KARMILA</t>
  </si>
  <si>
    <t>BP 2356 RO</t>
  </si>
  <si>
    <t>MH1JM811XNK959524</t>
  </si>
  <si>
    <t>JM81E1961003</t>
  </si>
  <si>
    <t>Miduk situmeangmiduk</t>
  </si>
  <si>
    <t>LatLng(lat: 1.1583824, lng: 104.0256655)</t>
  </si>
  <si>
    <t>SP-25-F0001989</t>
  </si>
  <si>
    <t>REDY EKO PRABOWO</t>
  </si>
  <si>
    <t>BP 6707 GQ</t>
  </si>
  <si>
    <t>MH8DL23ANHJ110322</t>
  </si>
  <si>
    <t>CGA2ID110490</t>
  </si>
  <si>
    <t>GSX</t>
  </si>
  <si>
    <t>LatLng(lat: 1.1587299, lng: 104.025891)</t>
  </si>
  <si>
    <t>LatLng(lat: 1.1582867, lng: 104.0250117)</t>
  </si>
  <si>
    <t>LatLng(lat: 1.1468738, lng: 104.0270414)</t>
  </si>
  <si>
    <t>SP-25-F0001668</t>
  </si>
  <si>
    <t>MITA HATIJAH</t>
  </si>
  <si>
    <t>BP 2982 GU</t>
  </si>
  <si>
    <t>MH1JM9115LK016136</t>
  </si>
  <si>
    <t>JM91E1016329</t>
  </si>
  <si>
    <t>LatLng(lat: 1.1601903, lng: 104.0323367)</t>
  </si>
  <si>
    <t>SP-25-F0001954</t>
  </si>
  <si>
    <t>NICHOLA ROSY PUTRA</t>
  </si>
  <si>
    <t>BP 5877 AU</t>
  </si>
  <si>
    <t>MH1JMD114RK602662</t>
  </si>
  <si>
    <t>JMD1E1602244</t>
  </si>
  <si>
    <t>VARIO 125 KEYLESS</t>
  </si>
  <si>
    <t>LatLng(lat: 1.1590581, lng: 104.0336755)</t>
  </si>
  <si>
    <t>OD-24-F0003453</t>
  </si>
  <si>
    <t>NOFERIANI GEA</t>
  </si>
  <si>
    <t>BP 3483 AH</t>
  </si>
  <si>
    <t>MH1JFZ219KK573266</t>
  </si>
  <si>
    <t>JFZ2E1573036</t>
  </si>
  <si>
    <t>LatLng(lat: 1.1590072, lng: 104.0269785)</t>
  </si>
  <si>
    <t>SP-25-F0000103</t>
  </si>
  <si>
    <t>KARDIONO</t>
  </si>
  <si>
    <t>BP 2852 UC</t>
  </si>
  <si>
    <t>MH1JM313XLK773600</t>
  </si>
  <si>
    <t>JM31E3771125</t>
  </si>
  <si>
    <t>LatLng(lat: 1.1485221, lng: 104.0305682)</t>
  </si>
  <si>
    <t>OD-24-F0002239</t>
  </si>
  <si>
    <t>AGUSMAN</t>
  </si>
  <si>
    <t>BP 5264 QM</t>
  </si>
  <si>
    <t>MH3SE88F0JJ031469</t>
  </si>
  <si>
    <t>E3W6E0147171</t>
  </si>
  <si>
    <t>LatLng(lat: 1.1489809, lng: 104.0302987)</t>
  </si>
  <si>
    <t>LatLng(lat: 1.1487185, lng: 104.0304085)</t>
  </si>
  <si>
    <t>LatLng(lat: 1.1587491, lng: 104.0303078)</t>
  </si>
  <si>
    <t>OD-25-F0000238</t>
  </si>
  <si>
    <t>PUTRI SARI AYU HASIBUAN</t>
  </si>
  <si>
    <t>BP 3714 SU</t>
  </si>
  <si>
    <t>MH1JM8217PK981420</t>
  </si>
  <si>
    <t>JM82E1980854</t>
  </si>
  <si>
    <t>LatLng(lat: 1.1608972, lng: 104.0304131)</t>
  </si>
  <si>
    <t>SP-25-F0001611</t>
  </si>
  <si>
    <t>ELIDA MEGAWATI MARPAUNG</t>
  </si>
  <si>
    <t>BP 3015 RI</t>
  </si>
  <si>
    <t>MH1JM9125NK110626</t>
  </si>
  <si>
    <t>JM91E2110414</t>
  </si>
  <si>
    <t>LatLng(lat: 1.1634506, lng: 104.0306869)</t>
  </si>
  <si>
    <t>SP-25-F0001631</t>
  </si>
  <si>
    <t>ANISA FEBRIANI</t>
  </si>
  <si>
    <t>BP 3065 OJ</t>
  </si>
  <si>
    <t>MH1JFP114FK846674</t>
  </si>
  <si>
    <t>JFP1E1864574</t>
  </si>
  <si>
    <t>LatLng(lat: 1.1600751, lng: 104.0361026)</t>
  </si>
  <si>
    <t>OD-25-F0001927</t>
  </si>
  <si>
    <t>SAID FIDLI</t>
  </si>
  <si>
    <t>BP 4517 QI</t>
  </si>
  <si>
    <t>MH3SG4610HJ008887</t>
  </si>
  <si>
    <t>G3J1E0011399</t>
  </si>
  <si>
    <t>AEROX</t>
  </si>
  <si>
    <t>LatLng(lat: 1.0551613, lng: 103.9777325)</t>
  </si>
  <si>
    <t>LatLng(lat: 1.1547129, lng: 104.0408998)</t>
  </si>
  <si>
    <t>OD-24-F0003117</t>
  </si>
  <si>
    <t>MEI SANDI PRATAMA</t>
  </si>
  <si>
    <t>BP 4201 CH</t>
  </si>
  <si>
    <t>MH1JFZ121JK944994</t>
  </si>
  <si>
    <t>JFZ1E2951259</t>
  </si>
  <si>
    <t>LatLng(lat: 1.1531409, lng: 104.040436)</t>
  </si>
  <si>
    <t>SP-25-F0001501</t>
  </si>
  <si>
    <t>RINI SRIWAHYUNI</t>
  </si>
  <si>
    <t>BP 2212 IF</t>
  </si>
  <si>
    <t>MH1JM8128PK498156</t>
  </si>
  <si>
    <t>JM81E2501277</t>
  </si>
  <si>
    <t>LatLng(lat: 1.1535063, lng: 104.0406501)</t>
  </si>
  <si>
    <t>LatLng(lat: 1.1582788, lng: 104.0286967)</t>
  </si>
  <si>
    <t>SP-25-F0000148</t>
  </si>
  <si>
    <t>RAMZI</t>
  </si>
  <si>
    <t>BP 3589 UF</t>
  </si>
  <si>
    <t>MH1JFZ214KK769177</t>
  </si>
  <si>
    <t>JFZ2E1767998</t>
  </si>
  <si>
    <t>LatLng(lat: 1.1578283, lng: 104.0285317)</t>
  </si>
  <si>
    <t>LatLng(lat: 1.1523415, lng: 104.0397195)</t>
  </si>
  <si>
    <t>SP-25-F0001375</t>
  </si>
  <si>
    <t>FIRDA AULIA PUTRI</t>
  </si>
  <si>
    <t>BP 2757 J</t>
  </si>
  <si>
    <t>MH1JM0218MK325921</t>
  </si>
  <si>
    <t>JM02E1325551</t>
  </si>
  <si>
    <t>HTAM</t>
  </si>
  <si>
    <t>LatLng(lat: 1.1563467, lng: 104.02871)</t>
  </si>
  <si>
    <t>SP-25-F0002310</t>
  </si>
  <si>
    <t>RIFAI</t>
  </si>
  <si>
    <t>BP 3887 HM</t>
  </si>
  <si>
    <t>MH1JBP11XJK653790</t>
  </si>
  <si>
    <t>JBP1E1654021</t>
  </si>
  <si>
    <t>SUPRA X 125</t>
  </si>
  <si>
    <t>LatLng(lat: 1.1536953, lng: 104.0394315)</t>
  </si>
  <si>
    <t>OD-25-F0001667</t>
  </si>
  <si>
    <t>JIMI REGE</t>
  </si>
  <si>
    <t>BP 3134 RH</t>
  </si>
  <si>
    <t>MH1JM8111NK871428</t>
  </si>
  <si>
    <t>JM81E1873173</t>
  </si>
  <si>
    <t>LatLng(lat: 1.16502, lng: 104.0356317)</t>
  </si>
  <si>
    <t>OD-24-F0002536</t>
  </si>
  <si>
    <t>YOPI MAILULU</t>
  </si>
  <si>
    <t>BP 2952 RP</t>
  </si>
  <si>
    <t>MH1JM8213PK891374</t>
  </si>
  <si>
    <t>JM82E1891095</t>
  </si>
  <si>
    <t>LatLng(lat: 1.1656783, lng: 104.0373533)</t>
  </si>
  <si>
    <t>SP-25-F0000498</t>
  </si>
  <si>
    <t>WAHYU RAMADHAN</t>
  </si>
  <si>
    <t>BP 4536 HH</t>
  </si>
  <si>
    <t>MH1JM0315RK740202</t>
  </si>
  <si>
    <t>JM03E1740226</t>
  </si>
  <si>
    <t>LatLng(lat: 1.1517097, lng: 104.0392565)</t>
  </si>
  <si>
    <t>OD-24-F0003352</t>
  </si>
  <si>
    <t>ANWAR JANISAR</t>
  </si>
  <si>
    <t>BP 3265 AQ</t>
  </si>
  <si>
    <t>MH1JBK315JK229837</t>
  </si>
  <si>
    <t>JBK3E1228227</t>
  </si>
  <si>
    <t>REVO X</t>
  </si>
  <si>
    <t>3677fb97-4982-45ef-bdd0-66ca3ee452fd</t>
  </si>
  <si>
    <t>LatLng(lat: 1.0422297, lng: 103.9787609)</t>
  </si>
  <si>
    <t>OD-25-F0001261</t>
  </si>
  <si>
    <t>MOHAMAD ALI</t>
  </si>
  <si>
    <t>BP 2074 OC</t>
  </si>
  <si>
    <t>MH1KF1112FK075360</t>
  </si>
  <si>
    <t>KF11E1079209</t>
  </si>
  <si>
    <t>riduwankhafidi</t>
  </si>
  <si>
    <t>OD-25-F0000180</t>
  </si>
  <si>
    <t>SUPADI</t>
  </si>
  <si>
    <t>BP 2588 RE</t>
  </si>
  <si>
    <t>MH1KCD111NK010671</t>
  </si>
  <si>
    <t>KCD1E1010736</t>
  </si>
  <si>
    <t>LatLng(lat: 1.1664026, lng: 104.0381239)</t>
  </si>
  <si>
    <t>SP-24-F0002786</t>
  </si>
  <si>
    <t>IMUS</t>
  </si>
  <si>
    <t>BP 6025 HE</t>
  </si>
  <si>
    <t>MH8DL23ANHJ121827</t>
  </si>
  <si>
    <t>CGA2ID121828</t>
  </si>
  <si>
    <t>LatLng(lat: 1.1517182, lng: 104.0384896)</t>
  </si>
  <si>
    <t>OD-24-F0003104</t>
  </si>
  <si>
    <t>EKO WAHYUDI</t>
  </si>
  <si>
    <t>BP 4816 AI</t>
  </si>
  <si>
    <t>MH3SG5620MK439306</t>
  </si>
  <si>
    <t>G3L8E0857116</t>
  </si>
  <si>
    <t>LatLng(lat: 1.1518171, lng: 104.0384363)</t>
  </si>
  <si>
    <t>LatLng(lat: 0.9166492, lng: 104.5047425)</t>
  </si>
  <si>
    <t>TP-23-F0000399</t>
  </si>
  <si>
    <t>EDWAR PRIYANTO</t>
  </si>
  <si>
    <t>BP 4599 BU</t>
  </si>
  <si>
    <t>MH3SG5620LJ088177</t>
  </si>
  <si>
    <t>G3L8E0097380</t>
  </si>
  <si>
    <t>ALL NEW NMAX</t>
  </si>
  <si>
    <t>LatLng(lat: 0.9167917, lng: 104.5085682)</t>
  </si>
  <si>
    <t>TP-25-F0000567</t>
  </si>
  <si>
    <t>ZAMZAMI</t>
  </si>
  <si>
    <t>BP 4282 AT</t>
  </si>
  <si>
    <t>MH3SG3110HK078651</t>
  </si>
  <si>
    <t>G3E4E0411227</t>
  </si>
  <si>
    <t>LatLng(lat: 1.0448391, lng: 104.051753)</t>
  </si>
  <si>
    <t>SP-25-F0000509</t>
  </si>
  <si>
    <t>DEDE SULAIMAN</t>
  </si>
  <si>
    <t>BP 2737 QF</t>
  </si>
  <si>
    <t>MH1KB1116GK062947</t>
  </si>
  <si>
    <t>KB11E1062194</t>
  </si>
  <si>
    <t>PINK PUTIH</t>
  </si>
  <si>
    <t>LatLng(lat: 0.9168481, lng: 104.5085865)</t>
  </si>
  <si>
    <t>TP-25-F0000347</t>
  </si>
  <si>
    <t>LASMAIDA. S</t>
  </si>
  <si>
    <t>BP 3272 PQ</t>
  </si>
  <si>
    <t>MH1KF0110PK312844</t>
  </si>
  <si>
    <t>KF01E1312785</t>
  </si>
  <si>
    <t>LatLng(lat: 1.1594669, lng: 104.0326188)</t>
  </si>
  <si>
    <t>LatLng(lat: 1.1594606, lng: 104.0326322)</t>
  </si>
  <si>
    <t>LatLng(lat: 1.1684209, lng: 104.0321864)</t>
  </si>
  <si>
    <t>SP-25-F0002054</t>
  </si>
  <si>
    <t>SONIMANTIK IBI</t>
  </si>
  <si>
    <t>BP 2766 AE</t>
  </si>
  <si>
    <t>MH1JFZ134KK081571</t>
  </si>
  <si>
    <t>JFZ1E3084782</t>
  </si>
  <si>
    <t>LatLng(lat: 1.0422314, lng: 103.9783982)</t>
  </si>
  <si>
    <t>LatLng(lat: 1.1436449, lng: 104.0289937)</t>
  </si>
  <si>
    <t>LatLng(lat: 1.0490405, lng: 103.9355417)</t>
  </si>
  <si>
    <t>LatLng(lat: 1.1693042, lng: 104.0336681)</t>
  </si>
  <si>
    <t>OD-24-F0002485</t>
  </si>
  <si>
    <t>FITRIANI</t>
  </si>
  <si>
    <t>BP 3933 UQ</t>
  </si>
  <si>
    <t>MH1JM911XMK911610</t>
  </si>
  <si>
    <t>JM91E1911310</t>
  </si>
  <si>
    <t>LatLng(lat: 1.1694969, lng: 104.0336895)</t>
  </si>
  <si>
    <t>LatLng(lat: 1.1700047, lng: 104.0341003)</t>
  </si>
  <si>
    <t>SP-25-F0002063</t>
  </si>
  <si>
    <t>TARISA BUTAR-BUTAR</t>
  </si>
  <si>
    <t>BP 3562 UR</t>
  </si>
  <si>
    <t>MH1JM4119LK621165</t>
  </si>
  <si>
    <t>JM41E1620967</t>
  </si>
  <si>
    <t>LatLng(lat: 0.9174521, lng: 104.5041786)</t>
  </si>
  <si>
    <t>TP-25-F0000030</t>
  </si>
  <si>
    <t>FERRIL WILIANZA</t>
  </si>
  <si>
    <t>BP 2935 AW</t>
  </si>
  <si>
    <t>MH1KC8112GK143904</t>
  </si>
  <si>
    <t>KC81E1141312</t>
  </si>
  <si>
    <t>CBR 150</t>
  </si>
  <si>
    <t>STAY</t>
  </si>
  <si>
    <t>LatLng(lat: 1.1687595, lng: 104.0335489)</t>
  </si>
  <si>
    <t>LatLng(lat: 1.1575454, lng: 104.0271345)</t>
  </si>
  <si>
    <t>OD-24-F0001729</t>
  </si>
  <si>
    <t>KRISTIANI PANDIANGAN</t>
  </si>
  <si>
    <t>BP 4194 QD</t>
  </si>
  <si>
    <t>MH3RG4110GK022815</t>
  </si>
  <si>
    <t>G3H2E0022835</t>
  </si>
  <si>
    <t>PENDING</t>
  </si>
  <si>
    <t>LatLng(lat: 1.1542549, lng: 104.0271637)</t>
  </si>
  <si>
    <t>OD-25-F0000148</t>
  </si>
  <si>
    <t>NASRUDDIN</t>
  </si>
  <si>
    <t>BP 2912 UH</t>
  </si>
  <si>
    <t>MH1KF4111KK713903</t>
  </si>
  <si>
    <t>KF41E1716496</t>
  </si>
  <si>
    <t>UNIT DI DETECT DAN RUPANYA UNIT ID EKSEKUSI LAUNSG DI AMANKAN OLEH PIC RISKY ANDERSON, NAH RUPANYA BAN MARTIN MITORNT TERTHAN DAN SUDHA AMAN SMEUANAY DAN UNIT BERHAISL DI EKSEKUSI</t>
  </si>
  <si>
    <t>LatLng(lat: 1.1614054, lng: 104.042475)</t>
  </si>
  <si>
    <t>OD-24-F0002542</t>
  </si>
  <si>
    <t>BP 5153 AF</t>
  </si>
  <si>
    <t>MH3SG3190KK610480</t>
  </si>
  <si>
    <t>G3E4E1494375</t>
  </si>
  <si>
    <t>LatLng(lat: 1.1597651, lng: 104.0390496)</t>
  </si>
  <si>
    <t>SP-25-F0001533</t>
  </si>
  <si>
    <t>WAGIMAN USMAN</t>
  </si>
  <si>
    <t>BP 2616 QM</t>
  </si>
  <si>
    <t>MH1JFZ119GK333031</t>
  </si>
  <si>
    <t>JFZ1E1342428</t>
  </si>
  <si>
    <t>LatLng(lat: 1.1521233, lng: 104.03958)</t>
  </si>
  <si>
    <t>LatLng(lat: 1.1481, lng: 104.037705)</t>
  </si>
  <si>
    <t>SP-25-F0000152</t>
  </si>
  <si>
    <t>NUR KURNIA DEWI</t>
  </si>
  <si>
    <t>BP 4521 AE</t>
  </si>
  <si>
    <t>MH3SG3190KJ835328</t>
  </si>
  <si>
    <t>G3E4E1810199</t>
  </si>
  <si>
    <t>LatLng(lat: 0.9167004, lng: 104.5092175)</t>
  </si>
  <si>
    <t>TP-24-F0000341</t>
  </si>
  <si>
    <t>YATNA KUSUMAH</t>
  </si>
  <si>
    <t>BP 2965 PP</t>
  </si>
  <si>
    <t>MH1JM8216NK684202</t>
  </si>
  <si>
    <t>JM82E1682307</t>
  </si>
  <si>
    <t>LatLng(lat: 1.1540183, lng: 104.0270725)</t>
  </si>
  <si>
    <t>LatLng(lat: 1.1600484, lng: 104.0361453)</t>
  </si>
  <si>
    <t>SP-25-F0001531</t>
  </si>
  <si>
    <t>YULIARDI</t>
  </si>
  <si>
    <t>BP 3041 UC</t>
  </si>
  <si>
    <t>MH1JM3130LK768115</t>
  </si>
  <si>
    <t>JM31E3765206</t>
  </si>
  <si>
    <t>LatLng(lat: 1.1535265, lng: 104.0257613)</t>
  </si>
  <si>
    <t>OD-25-F0000969</t>
  </si>
  <si>
    <t>MUHIDIN BAKIR</t>
  </si>
  <si>
    <t>BP 4071 CM</t>
  </si>
  <si>
    <t>MH3RG4710JK060468</t>
  </si>
  <si>
    <t>G3J6E018978</t>
  </si>
  <si>
    <t>LatLng(lat: 1.1601932, lng: 104.0359924)</t>
  </si>
  <si>
    <t>SP-25-F0002485</t>
  </si>
  <si>
    <t>PARYONO</t>
  </si>
  <si>
    <t>BP 3470 RC</t>
  </si>
  <si>
    <t>MH1JM8212NK584498</t>
  </si>
  <si>
    <t>JM82E1582505</t>
  </si>
  <si>
    <t>LatLng(lat: 1.160094, lng: 104.0360543)</t>
  </si>
  <si>
    <t>LatLng(lat: 1.1600983, lng: 104.03587)</t>
  </si>
  <si>
    <t>LatLng(lat: 1.1601762, lng: 104.0358992)</t>
  </si>
  <si>
    <t>LatLng(lat: 1.1083752, lng: 103.9655811)</t>
  </si>
  <si>
    <t>OD-24-F0003155</t>
  </si>
  <si>
    <t>FRITI PURNAMA SARI SIHOLE</t>
  </si>
  <si>
    <t>BP 5631 OE</t>
  </si>
  <si>
    <t>MH33C1205FK234168</t>
  </si>
  <si>
    <t>3C11233853</t>
  </si>
  <si>
    <t>LatLng(lat: 1.0894967, lng: 104.0342067)</t>
  </si>
  <si>
    <t>OD-24-F0003151</t>
  </si>
  <si>
    <t>MUHAROM ANTON WIJAYA</t>
  </si>
  <si>
    <t>BP 5894 QE</t>
  </si>
  <si>
    <t>MH3SE9010HJ281420</t>
  </si>
  <si>
    <t>E3R4E0380162</t>
  </si>
  <si>
    <t>SOUL GT</t>
  </si>
  <si>
    <t>LatLng(lat: 1.0335184, lng: 103.9589666)</t>
  </si>
  <si>
    <t>SP-25-F0001138</t>
  </si>
  <si>
    <t>TUTI KARTISA</t>
  </si>
  <si>
    <t>BP 2312 HM</t>
  </si>
  <si>
    <t>MH1KF4114JK136833</t>
  </si>
  <si>
    <t>KF41E1137602</t>
  </si>
  <si>
    <t>LatLng(lat: 1.1584774, lng: 104.0266893)</t>
  </si>
  <si>
    <t>LatLng(lat: 1.1500882, lng: 104.024668)</t>
  </si>
  <si>
    <t>OD-25-F0000459</t>
  </si>
  <si>
    <t>BIMA EKO JAYA SINAGA</t>
  </si>
  <si>
    <t>BP 5045 QG</t>
  </si>
  <si>
    <t>MH3SG4620HK006410</t>
  </si>
  <si>
    <t>G3J1E0020283</t>
  </si>
  <si>
    <t>LatLng(lat: 1.1235105038265265, lng: 104.00714178793096)</t>
  </si>
  <si>
    <t>OD-25-F0001953</t>
  </si>
  <si>
    <t>RIKO SAHPUTRA</t>
  </si>
  <si>
    <t>BP 4548 QJ</t>
  </si>
  <si>
    <t>MH3RG4710JK059138</t>
  </si>
  <si>
    <t>G3J6E0107338</t>
  </si>
  <si>
    <t>LatLng(lat: 1.0540323, lng: 103.9690657)</t>
  </si>
  <si>
    <t>SP-25-F0002211</t>
  </si>
  <si>
    <t>SRI WAHYUNDA</t>
  </si>
  <si>
    <t>BP 2907 OU</t>
  </si>
  <si>
    <t>MH1JM0118MK244256</t>
  </si>
  <si>
    <t>JM01E1240299</t>
  </si>
  <si>
    <t>ba657a68-b66f-46bc-ab98-51a43899d1f9</t>
  </si>
  <si>
    <t>LatLng(lat: 1.1004039, lng: 104.0619259)</t>
  </si>
  <si>
    <t>SP-25-F0001642</t>
  </si>
  <si>
    <t>MUZAKI</t>
  </si>
  <si>
    <t>BP 2144 MU</t>
  </si>
  <si>
    <t>MH1JM0112LK020740</t>
  </si>
  <si>
    <t>JM01E1020853</t>
  </si>
  <si>
    <t>Andre</t>
  </si>
  <si>
    <t>LatLng(lat: 1.0340142, lng: 103.9712314)</t>
  </si>
  <si>
    <t>LatLng(lat: 1.0340509, lng: 103.9729461)</t>
  </si>
  <si>
    <t>OD-25-F0001302</t>
  </si>
  <si>
    <t>FREDDY JOSUA GULTOM</t>
  </si>
  <si>
    <t>BP 2138 HI</t>
  </si>
  <si>
    <t>MH1KC8210JK207699</t>
  </si>
  <si>
    <t>KC82E1200903</t>
  </si>
  <si>
    <t>LatLng(lat: 1.0344728, lng: 103.9728228)</t>
  </si>
  <si>
    <t>SP-24-F0000812</t>
  </si>
  <si>
    <t>MUHAMMAD REZA</t>
  </si>
  <si>
    <t>BP 2430 OA</t>
  </si>
  <si>
    <t>MH1JFP210FK003814</t>
  </si>
  <si>
    <t>JFP2E1003617</t>
  </si>
  <si>
    <t>LatLng(lat: 1.0433629, lng: 103.9794408)</t>
  </si>
  <si>
    <t>SP-25-F0000320</t>
  </si>
  <si>
    <t>ZAIDUN</t>
  </si>
  <si>
    <t>BP 2522 II</t>
  </si>
  <si>
    <t>MH1JMA110NK054586</t>
  </si>
  <si>
    <t>JMA1E1054582</t>
  </si>
  <si>
    <t>fb0bf344-260b-448c-b9d1-41fee67eb951</t>
  </si>
  <si>
    <t>LatLng(lat: 1.0429953, lng: 103.9797192)</t>
  </si>
  <si>
    <t>Rizky Anderson Hutagalung</t>
  </si>
  <si>
    <t>LatLng(lat: 1.0224855, lng: 104.0670638)</t>
  </si>
  <si>
    <t>SP-24-F0002801</t>
  </si>
  <si>
    <t>SUDARNO</t>
  </si>
  <si>
    <t>BP 3320 UC</t>
  </si>
  <si>
    <t>MH1JM3130LK707458</t>
  </si>
  <si>
    <t>JM31E3704977</t>
  </si>
  <si>
    <t>LatLng(lat: 1.0438177, lng: 103.980265)</t>
  </si>
  <si>
    <t>OD-25-F0001421</t>
  </si>
  <si>
    <t>RIKI MARTIN MEHA</t>
  </si>
  <si>
    <t>BP 4723 JQ</t>
  </si>
  <si>
    <t>MH31PA002DK243280</t>
  </si>
  <si>
    <t>1PA241338</t>
  </si>
  <si>
    <t>LatLng(lat: 1.0237026, lng: 104.0690348)</t>
  </si>
  <si>
    <t>OD-25-F0000876</t>
  </si>
  <si>
    <t>AF LAHAL MUKMINUN</t>
  </si>
  <si>
    <t>BP 5650 HI</t>
  </si>
  <si>
    <t>MH1KB2216RK050501</t>
  </si>
  <si>
    <t>KB22E1050433</t>
  </si>
  <si>
    <t>SUPRA GTR</t>
  </si>
  <si>
    <t>LatLng(lat: 0.9116257, lng: 104.4934594)</t>
  </si>
  <si>
    <t>LatLng(lat: 1.0257867, lng: 104.0646478)</t>
  </si>
  <si>
    <t>OD-24-F0001428</t>
  </si>
  <si>
    <t>LEGIANTO</t>
  </si>
  <si>
    <t>BP 2355 QI</t>
  </si>
  <si>
    <t>MH1JFZ112GK081686</t>
  </si>
  <si>
    <t>JFZ1E1077215</t>
  </si>
  <si>
    <t>LatLng(lat: 1.0291077, lng: 104.0615401)</t>
  </si>
  <si>
    <t>SP-23-F0001163</t>
  </si>
  <si>
    <t>UPIK SETYONINGSIH</t>
  </si>
  <si>
    <t>BP 2566 AU</t>
  </si>
  <si>
    <t>MH1JM3130LK535609</t>
  </si>
  <si>
    <t>JM31E3530756</t>
  </si>
  <si>
    <t>LatLng(lat: 1.0695984, lng: 104.0258509)</t>
  </si>
  <si>
    <t>SP-24-F0000643</t>
  </si>
  <si>
    <t>PAHRUDDIN</t>
  </si>
  <si>
    <t>BP 2265 HQ</t>
  </si>
  <si>
    <t>MH1KF1125HK107634</t>
  </si>
  <si>
    <t>KF11E2105134</t>
  </si>
  <si>
    <t>LatLng(lat: 1.0431823, lng: 103.9797386)</t>
  </si>
  <si>
    <t>OD-24-F0002468</t>
  </si>
  <si>
    <t>ELISABET ONA</t>
  </si>
  <si>
    <t>BP 3614 CC</t>
  </si>
  <si>
    <t>MH1JM0417PK200670</t>
  </si>
  <si>
    <t>JM04E1212317</t>
  </si>
  <si>
    <t>LatLng(lat: 1.0333286, lng: 104.0681089)</t>
  </si>
  <si>
    <t>OD-25-F0000438</t>
  </si>
  <si>
    <t>SABARUDDIN</t>
  </si>
  <si>
    <t>BP 5376 JR</t>
  </si>
  <si>
    <t>MH32PK001FK051452</t>
  </si>
  <si>
    <t>2PK051521</t>
  </si>
  <si>
    <t xml:space="preserve">R15
</t>
  </si>
  <si>
    <t>LatLng(lat: 1.0291665, lng: 104.0677134)</t>
  </si>
  <si>
    <t>SP-25-F0000933</t>
  </si>
  <si>
    <t>MUHAMMAD IQBAL HERIYANTO</t>
  </si>
  <si>
    <t>BP 3424 HF</t>
  </si>
  <si>
    <t>MH1JFZ122JK473664</t>
  </si>
  <si>
    <t>JFZ1E2481358</t>
  </si>
  <si>
    <t>LatLng(lat: 1.0272372, lng: 104.0593163)</t>
  </si>
  <si>
    <t>LatLng(lat: 1.023685, lng: 104.06493)</t>
  </si>
  <si>
    <t>SP-25-F0002682</t>
  </si>
  <si>
    <t>IRSYAHDUL FIKRI</t>
  </si>
  <si>
    <t>BP 5914 J</t>
  </si>
  <si>
    <t>MH1KB1118RK353694</t>
  </si>
  <si>
    <t>KB11E1353220</t>
  </si>
  <si>
    <t>LatLng(lat: 1.0251212, lng: 104.063874)</t>
  </si>
  <si>
    <t>OD-25-F0000117</t>
  </si>
  <si>
    <t>TAUFIK SETIANTORO</t>
  </si>
  <si>
    <t>BP 4624 AE</t>
  </si>
  <si>
    <t>MH3SG3190KK889855</t>
  </si>
  <si>
    <t>G3E4E1885359</t>
  </si>
  <si>
    <t>NMAX 155</t>
  </si>
  <si>
    <t>LatLng(lat: 1.1341119, lng: 104.013369)</t>
  </si>
  <si>
    <t>OD-24-F0002322</t>
  </si>
  <si>
    <t>SAMILENI ZALUKHU</t>
  </si>
  <si>
    <t>BP 4458 CJ</t>
  </si>
  <si>
    <t>MH31PA002DK247234</t>
  </si>
  <si>
    <t>1PA249667</t>
  </si>
  <si>
    <t>LatLng(lat: 0.9837667, lng: 104.0987069)</t>
  </si>
  <si>
    <t>SP-25-F0001242</t>
  </si>
  <si>
    <t>ISMAIL</t>
  </si>
  <si>
    <t>BP 3653 RO</t>
  </si>
  <si>
    <t>MH1JFZ137KK289539</t>
  </si>
  <si>
    <t>JFZ1E3289651</t>
  </si>
  <si>
    <t>LatLng(lat: 1.0381219, lng: 104.0556281)</t>
  </si>
  <si>
    <t>SP-25-F0001936</t>
  </si>
  <si>
    <t>FEDRICO SURYA</t>
  </si>
  <si>
    <t>BP 5051 QG</t>
  </si>
  <si>
    <t>MH3SG3120HK340720</t>
  </si>
  <si>
    <t>G3E4E0479174</t>
  </si>
  <si>
    <t>LatLng(lat: 1.0271666, lng: 104.0527487)</t>
  </si>
  <si>
    <t>SP-24-F0001611</t>
  </si>
  <si>
    <t>AIDIL FITRIANSYAH</t>
  </si>
  <si>
    <t>BP 3088 RU</t>
  </si>
  <si>
    <t>MH1JFZ131KK476971</t>
  </si>
  <si>
    <t>JFZ1E3476892</t>
  </si>
  <si>
    <t>LatLng(lat: 1.0433525, lng: 103.9794058)</t>
  </si>
  <si>
    <t>SP-24-F0002408</t>
  </si>
  <si>
    <t>ROJI PANDAPOTAN SIAHAAN</t>
  </si>
  <si>
    <t>BP 3247 CU</t>
  </si>
  <si>
    <t>MH1JM3130LK741822</t>
  </si>
  <si>
    <t>JM31E3739209</t>
  </si>
  <si>
    <t>LatLng(lat: 1.0537067, lng: 103.9746811)</t>
  </si>
  <si>
    <t>SP-25-F0002728</t>
  </si>
  <si>
    <t>ANARIA</t>
  </si>
  <si>
    <t>BP 5376 AI</t>
  </si>
  <si>
    <t>MH3RG4760NK033134</t>
  </si>
  <si>
    <t>G3S7E0004796</t>
  </si>
  <si>
    <t>LatLng(lat: 1.0254239, lng: 104.0637718)</t>
  </si>
  <si>
    <t>SP-25-F0000642</t>
  </si>
  <si>
    <t>MUDIN DAULAY</t>
  </si>
  <si>
    <t>BP 3512 RE</t>
  </si>
  <si>
    <t>MH1JM821XNK616310</t>
  </si>
  <si>
    <t>JM82E1614528</t>
  </si>
  <si>
    <t>LatLng(lat: 1.0276201, lng: 104.0598589)</t>
  </si>
  <si>
    <t>OD-24-F0001851</t>
  </si>
  <si>
    <t>CHINDI CINORA SITINJAK</t>
  </si>
  <si>
    <t>BP 2447 RO</t>
  </si>
  <si>
    <t>MH1JM8116NK964168</t>
  </si>
  <si>
    <t>JM81E1965773</t>
  </si>
  <si>
    <t>LatLng(lat: 1.0254677, lng: 104.0636284)</t>
  </si>
  <si>
    <t>SP-25-F0002534</t>
  </si>
  <si>
    <t>MISWADI</t>
  </si>
  <si>
    <t>BP 3522 HU</t>
  </si>
  <si>
    <t>MH1JFZ216JK420522</t>
  </si>
  <si>
    <t>JFZ2E1420685</t>
  </si>
  <si>
    <t>LatLng(lat: 1.043044, lng: 104.0553089)</t>
  </si>
  <si>
    <t>SP-25-F0002271</t>
  </si>
  <si>
    <t>ZIGO TRI SEPTIAWAN</t>
  </si>
  <si>
    <t>BP 2650 HU</t>
  </si>
  <si>
    <t>MH1KCA112JK007996</t>
  </si>
  <si>
    <t>KCA1E1007982</t>
  </si>
  <si>
    <t>LatLng(lat: 1.0433007, lng: 104.0547627)</t>
  </si>
  <si>
    <t>OD-24-F0001749</t>
  </si>
  <si>
    <t>ERWIN ARITONANG</t>
  </si>
  <si>
    <t>BP 3975 HU</t>
  </si>
  <si>
    <t>MH1JM111XJK943809</t>
  </si>
  <si>
    <t>JM11E1926110</t>
  </si>
  <si>
    <t>LatLng(lat: 1.0395367, lng: 104.0572917)</t>
  </si>
  <si>
    <t>LatLng(lat: 1.030527, lng: 104.0526368)</t>
  </si>
  <si>
    <t>OD-24-F0002780</t>
  </si>
  <si>
    <t>MUHAMMAD RAJAB</t>
  </si>
  <si>
    <t>BP 2834 IR</t>
  </si>
  <si>
    <t>MH1JM2115HK627539</t>
  </si>
  <si>
    <t>JM21E1615362</t>
  </si>
  <si>
    <t>LatLng(lat: 1.0297871, lng: 104.0528726)</t>
  </si>
  <si>
    <t>OD-24-F0002113</t>
  </si>
  <si>
    <t>RIANSHA</t>
  </si>
  <si>
    <t>BP 3580 UC</t>
  </si>
  <si>
    <t>MH1JM8112LK318820</t>
  </si>
  <si>
    <t>JM81E1320981</t>
  </si>
  <si>
    <t>LatLng(lat: 1.0347902, lng: 104.0579004)</t>
  </si>
  <si>
    <t>LatLng(lat: 1.0466158, lng: 104.005569)</t>
  </si>
  <si>
    <t>OD-25-F0001694</t>
  </si>
  <si>
    <t>AREP RAMADANI</t>
  </si>
  <si>
    <t>BP 3863 RE</t>
  </si>
  <si>
    <t>MH1JM8112NK999628</t>
  </si>
  <si>
    <t>JM81E2001291</t>
  </si>
  <si>
    <t>LatLng(lat: 1.0421515, lng: 103.9914119)</t>
  </si>
  <si>
    <t>SP-24-F0002008</t>
  </si>
  <si>
    <t>SINDAWATI SAMOSIR</t>
  </si>
  <si>
    <t>BP 4793 GU</t>
  </si>
  <si>
    <t>MH1JM8134RK012762</t>
  </si>
  <si>
    <t>JM81E3009154</t>
  </si>
  <si>
    <t>LatLng(lat: 1.0279681, lng: 104.0679429)</t>
  </si>
  <si>
    <t>OD-25-F0001834</t>
  </si>
  <si>
    <t>SUSI SUSANTI</t>
  </si>
  <si>
    <t>BP 2565 US</t>
  </si>
  <si>
    <t>MH1KF0116PK543053</t>
  </si>
  <si>
    <t>KF01E1543033</t>
  </si>
  <si>
    <t>VARIO 160 CC</t>
  </si>
  <si>
    <t>OD-25-F0001890</t>
  </si>
  <si>
    <t>EKO PRASETYA</t>
  </si>
  <si>
    <t>BP 6773 RJ</t>
  </si>
  <si>
    <t>MH1KFC115SK148470</t>
  </si>
  <si>
    <t>KFC1E1147891</t>
  </si>
  <si>
    <t>STYLO</t>
  </si>
  <si>
    <t>LatLng(lat: 0.9300564, lng: 104.4398237)</t>
  </si>
  <si>
    <t>BT-KD-24-00045</t>
  </si>
  <si>
    <t>LatLng(lat: 0.9300583, lng: 104.43982)</t>
  </si>
  <si>
    <t>BT-KD-24-00365</t>
  </si>
  <si>
    <t>LatLng(lat: 1.0432709, lng: 103.9793784)</t>
  </si>
  <si>
    <t>OD-24-F0001063</t>
  </si>
  <si>
    <t>WALTERIUS KELULI</t>
  </si>
  <si>
    <t>BP 2283 HO</t>
  </si>
  <si>
    <t>MH1JM3117JK987245</t>
  </si>
  <si>
    <t>JM31E1980947</t>
  </si>
  <si>
    <t>LatLng(lat: 0.9303665, lng: 104.4384594)</t>
  </si>
  <si>
    <t>TP-24-F0000612</t>
  </si>
  <si>
    <t>SUMARTOYO</t>
  </si>
  <si>
    <t>BP 3973 CP</t>
  </si>
  <si>
    <t>MH1JM8120PK789430</t>
  </si>
  <si>
    <t>JM81E2790032</t>
  </si>
  <si>
    <t>LatLng(lat: 0.9301761, lng: 104.4385758)</t>
  </si>
  <si>
    <t>TU-KD-23-00321</t>
  </si>
  <si>
    <t>LatLng(lat: 0.929331, lng: 104.4381946)</t>
  </si>
  <si>
    <t>SK-KD-25-00006</t>
  </si>
  <si>
    <t>LatLng(lat: 1.0378111, lng: 103.9567021)</t>
  </si>
  <si>
    <t>LatLng(lat: 1.0439181, lng: 103.9575792)</t>
  </si>
  <si>
    <t>SP-25-F0002059</t>
  </si>
  <si>
    <t>NURCA DELIMA LUBIS</t>
  </si>
  <si>
    <t>BP 3870 RR</t>
  </si>
  <si>
    <t>MH1JM3129KK887111</t>
  </si>
  <si>
    <t>JM31E2882122</t>
  </si>
  <si>
    <t>LatLng(lat: 1.0525908, lng: 103.9304464)</t>
  </si>
  <si>
    <t>SP-25-F0001646</t>
  </si>
  <si>
    <t>YOSEP JAELANI</t>
  </si>
  <si>
    <t>BP 2611 RS</t>
  </si>
  <si>
    <t>MH1JM821XPK934706</t>
  </si>
  <si>
    <t>JM82E1934171</t>
  </si>
  <si>
    <t>LatLng(lat: 1.0528207, lng: 103.9302242)</t>
  </si>
  <si>
    <t>LatLng(lat: 1.0481372, lng: 103.9388556)</t>
  </si>
  <si>
    <t>SP-25-F0000460</t>
  </si>
  <si>
    <t>AHMAD ZAINUR RIFA I</t>
  </si>
  <si>
    <t>BP 3405 RP</t>
  </si>
  <si>
    <t>MH1JM8128PK581960</t>
  </si>
  <si>
    <t>JM81E2583155</t>
  </si>
  <si>
    <t>LatLng(lat: 1.0579578, lng: 103.9650068)</t>
  </si>
  <si>
    <t>OD-24-F0002256</t>
  </si>
  <si>
    <t>NINOI YULISTARO</t>
  </si>
  <si>
    <t>BP 2429 P</t>
  </si>
  <si>
    <t>MH1JM0419PK707585</t>
  </si>
  <si>
    <t>JM04E1707918</t>
  </si>
  <si>
    <t>LatLng(lat: 1.0567449, lng: 103.9620183)</t>
  </si>
  <si>
    <t>LatLng(lat: 1.0519038, lng: 103.9514357)</t>
  </si>
  <si>
    <t>SP-25-F0001582</t>
  </si>
  <si>
    <t>ROMI SILITONGA</t>
  </si>
  <si>
    <t>BP 3959 AG</t>
  </si>
  <si>
    <t>MH1KF4115KK527295</t>
  </si>
  <si>
    <t>KF41E1527693</t>
  </si>
  <si>
    <t>LatLng(lat: 1.1018617, lng: 104.038395)</t>
  </si>
  <si>
    <t>SP-25-F0002303</t>
  </si>
  <si>
    <t>M SALEH</t>
  </si>
  <si>
    <t>BP 6506 JE</t>
  </si>
  <si>
    <t>MH1JMG117RK200202</t>
  </si>
  <si>
    <t>JMG1E1200291</t>
  </si>
  <si>
    <t>LatLng(lat: 1.0566219, lng: 103.9604281)</t>
  </si>
  <si>
    <t>LatLng(lat: 1.0593177, lng: 103.9654976)</t>
  </si>
  <si>
    <t>SP-25-F0002576</t>
  </si>
  <si>
    <t>XSR</t>
  </si>
  <si>
    <t>LatLng(lat: 1.0560236, lng: 103.9490238)</t>
  </si>
  <si>
    <t>LatLng(lat: 1.0564041, lng: 103.9481521)</t>
  </si>
  <si>
    <t>LatLng(lat: 1.0564524, lng: 103.9481843)</t>
  </si>
  <si>
    <t>SP-24-F0002220</t>
  </si>
  <si>
    <t>ISTINGADAH</t>
  </si>
  <si>
    <t>BP 2710 HF</t>
  </si>
  <si>
    <t>MH1JFZ120JK372218</t>
  </si>
  <si>
    <t>JFZ1E2387836</t>
  </si>
  <si>
    <t>LatLng(lat: 1.0565221, lng: 103.9481574)</t>
  </si>
  <si>
    <t>SP-24-F0002205</t>
  </si>
  <si>
    <t>NINIK TRI DARYANI</t>
  </si>
  <si>
    <t>BP 2107 UR</t>
  </si>
  <si>
    <t>MH1JM8113LK130503</t>
  </si>
  <si>
    <t>JM81E1131524</t>
  </si>
  <si>
    <t>LatLng(lat: 1.124783, lng: 103.9676847)</t>
  </si>
  <si>
    <t>OD-24-F0002939</t>
  </si>
  <si>
    <t>ARY HIDAYAH</t>
  </si>
  <si>
    <t>BP 2762 AR</t>
  </si>
  <si>
    <t>MH1KF1122HK332707</t>
  </si>
  <si>
    <t>KF11E2329181</t>
  </si>
  <si>
    <t>LatLng(lat: 1.0565275, lng: 103.9481467)</t>
  </si>
  <si>
    <t>SP-25-F0002655</t>
  </si>
  <si>
    <t>SAUT SIBARANI</t>
  </si>
  <si>
    <t>BP 2610 AU</t>
  </si>
  <si>
    <t>MH1JM3134LK523852</t>
  </si>
  <si>
    <t>JM31E3521276</t>
  </si>
  <si>
    <t>LatLng(lat: 1.0451817, lng: 103.978225)</t>
  </si>
  <si>
    <t>OD-25-F0001935</t>
  </si>
  <si>
    <t>JOSRI SIJABAT</t>
  </si>
  <si>
    <t>BP 3503 OD</t>
  </si>
  <si>
    <t>MH1JM911XMK901000</t>
  </si>
  <si>
    <t>JM91E1900395</t>
  </si>
  <si>
    <t>LatLng(lat: 1.1238606, lng: 103.9675972)</t>
  </si>
  <si>
    <t>OD-25-F0000713</t>
  </si>
  <si>
    <t>GILANG AL FARIZI</t>
  </si>
  <si>
    <t>BP 2522 PR</t>
  </si>
  <si>
    <t>MH1JM9133PK054472</t>
  </si>
  <si>
    <t>JM91E3053529</t>
  </si>
  <si>
    <t>LatLng(lat: 1.0565329, lng: 103.9481413)</t>
  </si>
  <si>
    <t>OD-24-F0003228</t>
  </si>
  <si>
    <t>JOVI VARIAN</t>
  </si>
  <si>
    <t>BP 2533 AJ</t>
  </si>
  <si>
    <t>MH1JM4113KK331454</t>
  </si>
  <si>
    <t>JM41E1330477</t>
  </si>
  <si>
    <t>LatLng(lat: 1.0531037, lng: 103.9519247)</t>
  </si>
  <si>
    <t>LatLng(lat: 1.0564112, lng: 103.9479184)</t>
  </si>
  <si>
    <t>LatLng(lat: 1.0563382, lng: 103.9479706)</t>
  </si>
  <si>
    <t>SP-25-F0001071</t>
  </si>
  <si>
    <t>JUMBERI AFRIDO</t>
  </si>
  <si>
    <t>BP 4571 JC</t>
  </si>
  <si>
    <t>MH3SG9220RK024520</t>
  </si>
  <si>
    <t>G3V4E0037631</t>
  </si>
  <si>
    <t>LatLng(lat: 1.0563275, lng: 103.9480358)</t>
  </si>
  <si>
    <t>SP-25-F0000384</t>
  </si>
  <si>
    <t>BUDI PANJAITAN</t>
  </si>
  <si>
    <t>BP 3873 UD</t>
  </si>
  <si>
    <t>MH1JM6113KK071844</t>
  </si>
  <si>
    <t>JM61E1071909</t>
  </si>
  <si>
    <t>LatLng(lat: 0.9288565, lng: 104.4377992)</t>
  </si>
  <si>
    <t>BT-KD-24-00172</t>
  </si>
  <si>
    <t>LatLng(lat: 1.0541864, lng: 103.9692124)</t>
  </si>
  <si>
    <t>SP-25-F0001635</t>
  </si>
  <si>
    <t>LAMTIAR PURBA</t>
  </si>
  <si>
    <t>BP 3668 HM</t>
  </si>
  <si>
    <t>MH1JM1113JK842966</t>
  </si>
  <si>
    <t>JM11E1826022</t>
  </si>
  <si>
    <t>LatLng(lat: 1.1323642, lng: 104.0103435)</t>
  </si>
  <si>
    <t>OD-25-F0001406</t>
  </si>
  <si>
    <t>MISGIARTO</t>
  </si>
  <si>
    <t>BP 2465 MU</t>
  </si>
  <si>
    <t>MH1JM0116LK000135</t>
  </si>
  <si>
    <t>JM01E1000107</t>
  </si>
  <si>
    <t>LatLng(lat: 1.0646098, lng: 103.9170246)</t>
  </si>
  <si>
    <t>SP-25-F0002688</t>
  </si>
  <si>
    <t>PAHOTAN DAMANIK</t>
  </si>
  <si>
    <t>BP 3144 RJ</t>
  </si>
  <si>
    <t>MH1JM8115NK938032</t>
  </si>
  <si>
    <t>JM81E1939868</t>
  </si>
  <si>
    <t>LatLng(lat: 1.0569704, lng: 103.9464391)</t>
  </si>
  <si>
    <t>0200-1329</t>
  </si>
  <si>
    <t>ROZY PRATAMA</t>
  </si>
  <si>
    <t>BP 3027 UJ</t>
  </si>
  <si>
    <t>MH1JM0210MK402278</t>
  </si>
  <si>
    <t>JM02E1402380</t>
  </si>
  <si>
    <t xml:space="preserve">SCOOPY
</t>
  </si>
  <si>
    <t>LatLng(lat: 1.0471765, lng: 103.9390436)</t>
  </si>
  <si>
    <t>LatLng(lat: 1.0524082, lng: 103.9769475)</t>
  </si>
  <si>
    <t>SP-25-F0001045</t>
  </si>
  <si>
    <t>RIKI MULYANTO</t>
  </si>
  <si>
    <t>BP 2807 HE</t>
  </si>
  <si>
    <t>MH1JFZ129JK353053</t>
  </si>
  <si>
    <t>JFZ1E2348182</t>
  </si>
  <si>
    <t>LatLng(lat: 1.0571558, lng: 104.0110085)</t>
  </si>
  <si>
    <t>OD-25-F0000671</t>
  </si>
  <si>
    <t>FAUZAN AKBAR</t>
  </si>
  <si>
    <t>BP 3952 AM</t>
  </si>
  <si>
    <t>MH1JM3120KK767567</t>
  </si>
  <si>
    <t>JM31E2762824</t>
  </si>
  <si>
    <t>LatLng(lat: 1.04072, lng: 103.9874717)</t>
  </si>
  <si>
    <t>LatLng(lat: 1.0407517, lng: 103.9875383)</t>
  </si>
  <si>
    <t>SP-25-F0001534</t>
  </si>
  <si>
    <t>HENDRA SETIAWAN</t>
  </si>
  <si>
    <t>BP 3913 RA</t>
  </si>
  <si>
    <t>MH1KF0119NK179496</t>
  </si>
  <si>
    <t>KF01E1179276</t>
  </si>
  <si>
    <t>LatLng(lat: 1.0433469, lng: 103.9795216)</t>
  </si>
  <si>
    <t>SP-25-F0001705</t>
  </si>
  <si>
    <t>ZAENUDIN</t>
  </si>
  <si>
    <t>BP 4379 AE</t>
  </si>
  <si>
    <t>MH3RG4710KK127700</t>
  </si>
  <si>
    <t>G3J6E0239101</t>
  </si>
  <si>
    <t>LatLng(lat: 1.0501482, lng: 103.9611636)</t>
  </si>
  <si>
    <t>0100-1246</t>
  </si>
  <si>
    <t>ELZA SYAFRIYATI</t>
  </si>
  <si>
    <t>BP 5256 AF</t>
  </si>
  <si>
    <t>MH3SEF540KJ006624</t>
  </si>
  <si>
    <t>E31XE0027825</t>
  </si>
  <si>
    <t>FREEGO B5D - IA A/T</t>
  </si>
  <si>
    <t>LatLng(lat: 1.0432484, lng: 103.9793671)</t>
  </si>
  <si>
    <t>SP-25-F0000914</t>
  </si>
  <si>
    <t>TUGIANTO</t>
  </si>
  <si>
    <t>BP 3310 QF</t>
  </si>
  <si>
    <t>MH1JFP121GK550862</t>
  </si>
  <si>
    <t>JFP1E2569067</t>
  </si>
  <si>
    <t>LatLng(lat: 1.0432726, lng: 103.9793649)</t>
  </si>
  <si>
    <t>OD-25-F0001155</t>
  </si>
  <si>
    <t>MUHAMMAD ADI PUTRA KURNIAWAN</t>
  </si>
  <si>
    <t>BP 2096 CE</t>
  </si>
  <si>
    <t>B</t>
  </si>
  <si>
    <t>MH1KF1111FK171657</t>
  </si>
  <si>
    <t>KF11E1175794</t>
  </si>
  <si>
    <t>LatLng(lat: 0.9120333, lng: 104.4937967)</t>
  </si>
  <si>
    <t>TP-24-F0000593</t>
  </si>
  <si>
    <t>IRENE ALFONS</t>
  </si>
  <si>
    <t>BP 5295 GT</t>
  </si>
  <si>
    <t>MH3SG3190KJ450074</t>
  </si>
  <si>
    <t>G3E4E1282376</t>
  </si>
  <si>
    <t>LatLng(lat: 1.0425539, lng: 103.9829203)</t>
  </si>
  <si>
    <t>SP-25-F0002487</t>
  </si>
  <si>
    <t>PITTO DOLI SIJABAT</t>
  </si>
  <si>
    <t>BP 3474 SQ</t>
  </si>
  <si>
    <t>MH1JM8124PK635335</t>
  </si>
  <si>
    <t>JM81E2635650</t>
  </si>
  <si>
    <t>LatLng(lat: 1.0358729, lng: 103.9971028)</t>
  </si>
  <si>
    <t>OD-25-F0001620</t>
  </si>
  <si>
    <t>RAHMAT HIDAYAT</t>
  </si>
  <si>
    <t>BP 6513 RC</t>
  </si>
  <si>
    <t>MH34NS00H2K638012</t>
  </si>
  <si>
    <t>4WH313668</t>
  </si>
  <si>
    <t>FIZR POSWAN</t>
  </si>
  <si>
    <t>LatLng(lat: 1.0319097, lng: 104.0469827)</t>
  </si>
  <si>
    <t>OD-25-F0001486</t>
  </si>
  <si>
    <t>WIDIANTO</t>
  </si>
  <si>
    <t>BP 3412 MP</t>
  </si>
  <si>
    <t>MH1JFK118FK310569</t>
  </si>
  <si>
    <t>JFK1E1302772</t>
  </si>
  <si>
    <t>VARIO 125 TECHNO</t>
  </si>
  <si>
    <t>LatLng(lat: 1.0408833, lng: 103.9873733)</t>
  </si>
  <si>
    <t>SP-25-F0002357</t>
  </si>
  <si>
    <t>KARTINA DARMA PUTRI</t>
  </si>
  <si>
    <t>BP 2446 M</t>
  </si>
  <si>
    <t>MH1JM0110MK140487</t>
  </si>
  <si>
    <t>JM01E1143036</t>
  </si>
  <si>
    <t>LatLng(lat: 1.039976, lng: 103.9934725)</t>
  </si>
  <si>
    <t>LatLng(lat: 1.0494807, lng: 103.9479414)</t>
  </si>
  <si>
    <t>SP-25-F0001259</t>
  </si>
  <si>
    <t>NURAINUN LUBIS</t>
  </si>
  <si>
    <t>BP 2887 AJ</t>
  </si>
  <si>
    <t>MH1JFZ136KK347141</t>
  </si>
  <si>
    <t>JFZ1E3347175</t>
  </si>
  <si>
    <t>LatLng(lat: 1.040455, lng: 103.993805)</t>
  </si>
  <si>
    <t>0100-1370</t>
  </si>
  <si>
    <t>HENDRA TRINO NABABAN</t>
  </si>
  <si>
    <t>BP 3886 QJ</t>
  </si>
  <si>
    <t>MH1KB1117GK087369</t>
  </si>
  <si>
    <t>KB11E1086601</t>
  </si>
  <si>
    <t xml:space="preserve">Y3B02R17L0 M/T SONIC
</t>
  </si>
  <si>
    <t>LatLng(lat: 1.0630347, lng: 104.0160525)</t>
  </si>
  <si>
    <t>TP-24-F0000431</t>
  </si>
  <si>
    <t>FAL SAHRUL</t>
  </si>
  <si>
    <t>BP 3409 PI</t>
  </si>
  <si>
    <t>MH1JM711XMK162277</t>
  </si>
  <si>
    <t>JM71E1162105</t>
  </si>
  <si>
    <t>LatLng(lat: 1.12503, lng: 104.018385)</t>
  </si>
  <si>
    <t>OD-25-F0000604</t>
  </si>
  <si>
    <t>MHD FARIBY AKBAR</t>
  </si>
  <si>
    <t>BP 2787 UM</t>
  </si>
  <si>
    <t>MH1JM5114LK700734</t>
  </si>
  <si>
    <t>JM51E1700441</t>
  </si>
  <si>
    <t>LatLng(lat: 1.125133, lng: 104.0262473)</t>
  </si>
  <si>
    <t>LatLng(lat: 1.1380776, lng: 104.0273775)</t>
  </si>
  <si>
    <t>LatLng(lat: 1.1348925, lng: 104.0233005)</t>
  </si>
  <si>
    <t>LatLng(lat: 1.1516241, lng: 104.0259035)</t>
  </si>
  <si>
    <t>OD-24-F0001200</t>
  </si>
  <si>
    <t>ANGGA DAPIT</t>
  </si>
  <si>
    <t>BP 2118 HR</t>
  </si>
  <si>
    <t>MH1JFZ129JK739469</t>
  </si>
  <si>
    <t>JFZ1E2741147</t>
  </si>
  <si>
    <t>LatLng(lat: 1.1524467, lng: 104.027287)</t>
  </si>
  <si>
    <t>OD-24-F0002833</t>
  </si>
  <si>
    <t>ALI KUNARTO</t>
  </si>
  <si>
    <t>BP 2872 AH</t>
  </si>
  <si>
    <t>MH1JM2120KK327519</t>
  </si>
  <si>
    <t>JM21E2304934</t>
  </si>
  <si>
    <t>LatLng(lat: 1.1522984, lng: 104.027048)</t>
  </si>
  <si>
    <t>LatLng(lat: 1.1522863, lng: 104.0269814)</t>
  </si>
  <si>
    <t>LatLng(lat: 1.1514838, lng: 104.0257035)</t>
  </si>
  <si>
    <t>LatLng(lat: 1.1520531, lng: 104.0265275)</t>
  </si>
  <si>
    <t>LatLng(lat: 1.1520733, lng: 104.02766)</t>
  </si>
  <si>
    <t>SP-25-F0002481</t>
  </si>
  <si>
    <t>ALHADI DJAHILAPE</t>
  </si>
  <si>
    <t>BP 2247 RC</t>
  </si>
  <si>
    <t>MH1KCD212NK023203</t>
  </si>
  <si>
    <t>KCD2E1023131</t>
  </si>
  <si>
    <t>LatLng(lat: 1.1479149, lng: 104.0248134)</t>
  </si>
  <si>
    <t>SP-25-F0001563</t>
  </si>
  <si>
    <t>RIKIYANTO</t>
  </si>
  <si>
    <t>BP 2575 HQ</t>
  </si>
  <si>
    <t>MH1JM1112HK334076</t>
  </si>
  <si>
    <t>JM11E1323241</t>
  </si>
  <si>
    <t>38fa4eda-b9a3-44ff-9898-d074c99008b7</t>
  </si>
  <si>
    <t>LatLng(lat: 1.0438861, lng: 103.9751927)</t>
  </si>
  <si>
    <t>OD-24-F0002080</t>
  </si>
  <si>
    <t>EWAN SAPUTRA</t>
  </si>
  <si>
    <t>BP 3724 GO</t>
  </si>
  <si>
    <t>MH1JF5135CK640295</t>
  </si>
  <si>
    <t>JF51E3637286</t>
  </si>
  <si>
    <t>Zaen</t>
  </si>
  <si>
    <t>LatLng(lat: 1.1561941, lng: 104.0283443)</t>
  </si>
  <si>
    <t>OD-24-F0000321</t>
  </si>
  <si>
    <t>BP 3704 MG</t>
  </si>
  <si>
    <t>MH1JFM215EK446991</t>
  </si>
  <si>
    <t>JFM2E1440170</t>
  </si>
  <si>
    <t>LatLng(lat: 1.1536683, lng: 104.0266833)</t>
  </si>
  <si>
    <t>OD-24-F0003332</t>
  </si>
  <si>
    <t>EMANUEL IBI HURINT</t>
  </si>
  <si>
    <t>BP 2769 UQ</t>
  </si>
  <si>
    <t>MH1JM8116MK762946</t>
  </si>
  <si>
    <t>JM81E1764895</t>
  </si>
  <si>
    <t>LatLng(lat: 1.1525185, lng: 104.0253137)</t>
  </si>
  <si>
    <t>SP-25-F0000858</t>
  </si>
  <si>
    <t>YULIUS TELEMBANUA</t>
  </si>
  <si>
    <t>BP 3385 FU</t>
  </si>
  <si>
    <t>MH1JFZ13XKK632313</t>
  </si>
  <si>
    <t>JFZ1E3632228</t>
  </si>
  <si>
    <t>LatLng(lat: 1.1581167, lng: 104.0262681)</t>
  </si>
  <si>
    <t>SP-25-F0001601</t>
  </si>
  <si>
    <t>ANGGI BERTA ANDRIANI</t>
  </si>
  <si>
    <t>BP 2655 UM</t>
  </si>
  <si>
    <t>MH1JM0215LK014901</t>
  </si>
  <si>
    <t>JM02E1015033</t>
  </si>
  <si>
    <t>LatLng(lat: 1.1569706, lng: 104.0104367)</t>
  </si>
  <si>
    <t>SP-25-F0002338</t>
  </si>
  <si>
    <t>ALDI PHIRAWANDI</t>
  </si>
  <si>
    <t>BP 2391 RH</t>
  </si>
  <si>
    <t>MH1JM0117NK507421</t>
  </si>
  <si>
    <t>JM01E1504246</t>
  </si>
  <si>
    <t>HITAM-ORANGE</t>
  </si>
  <si>
    <t>LatLng(lat: 1.1576984, lng: 104.0106847)</t>
  </si>
  <si>
    <t>LatLng(lat: 1.1517558, lng: 104.0099555)</t>
  </si>
  <si>
    <t>LatLng(lat: 1.1588027, lng: 104.0276779)</t>
  </si>
  <si>
    <t>LatLng(lat: 1.1607403, lng: 104.0310845)</t>
  </si>
  <si>
    <t>OD-25-F0001577</t>
  </si>
  <si>
    <t>HENDRY NICHOLAS SIMANJUNTAK</t>
  </si>
  <si>
    <t>BP 3343 ER</t>
  </si>
  <si>
    <t>MH1JFZ139KK451672</t>
  </si>
  <si>
    <t>JFZ1E3451582</t>
  </si>
  <si>
    <t>LatLng(lat: 1.1579987, lng: 104.0351322)</t>
  </si>
  <si>
    <t>OD-24-F0002598</t>
  </si>
  <si>
    <t>SYAHDIAL DJUNIT</t>
  </si>
  <si>
    <t>BP 2234 RG</t>
  </si>
  <si>
    <t>MH1JM0114MK485814</t>
  </si>
  <si>
    <t>JM01E1484907</t>
  </si>
  <si>
    <t>LatLng(lat: 1.1556217, lng: 104.0320567)</t>
  </si>
  <si>
    <t>SP-25-F0002705</t>
  </si>
  <si>
    <t>OHAN HERMAWAN</t>
  </si>
  <si>
    <t>BP 3114 UO</t>
  </si>
  <si>
    <t>MH1JM8112MK615247</t>
  </si>
  <si>
    <t>JM81E1617072</t>
  </si>
  <si>
    <t>LatLng(lat: 1.1552307, lng: 104.0314963)</t>
  </si>
  <si>
    <t>LatLng(lat: 1.1552909, lng: 104.0286134)</t>
  </si>
  <si>
    <t>SP-25-F0000709</t>
  </si>
  <si>
    <t>SURYA DARMA</t>
  </si>
  <si>
    <t>BP 3996 OR</t>
  </si>
  <si>
    <t>MH1JFZ219HK099196</t>
  </si>
  <si>
    <t>JFZ2E1104087</t>
  </si>
  <si>
    <t>LatLng(lat: 1.1815607, lng: 104.0154654)</t>
  </si>
  <si>
    <t>OD-25-F0000267</t>
  </si>
  <si>
    <t>MAHARANI</t>
  </si>
  <si>
    <t>BP 4390 AO</t>
  </si>
  <si>
    <t>MH3SEJ710NJ099355</t>
  </si>
  <si>
    <t>E33WE0106863</t>
  </si>
  <si>
    <t>FAZZIO</t>
  </si>
  <si>
    <t>LatLng(lat: 1.1828646, lng: 104.0165718)</t>
  </si>
  <si>
    <t>SP-25-F0002316</t>
  </si>
  <si>
    <t>VINSENSIUS GORAN JUMAD</t>
  </si>
  <si>
    <t>BP 3794 JP</t>
  </si>
  <si>
    <t>MH1JFM210EK437406</t>
  </si>
  <si>
    <t>JFM2E1429578</t>
  </si>
  <si>
    <t>LatLng(lat: 1.1695483, lng: 104.0117067)</t>
  </si>
  <si>
    <t>SP-25-F0002479</t>
  </si>
  <si>
    <t>YOHANIS KRISOSTOMUS WANGGE</t>
  </si>
  <si>
    <t>BP 6653 RF</t>
  </si>
  <si>
    <t>MH1JFZ211JK361671</t>
  </si>
  <si>
    <t>JFZ2E1361483</t>
  </si>
  <si>
    <t>LatLng(lat: 1.0346917, lng: 104.0536707)</t>
  </si>
  <si>
    <t>SP-25-F0002526</t>
  </si>
  <si>
    <t>JUNAEDI</t>
  </si>
  <si>
    <t>BP 2619 HF</t>
  </si>
  <si>
    <t>MH1JM3117JK656732</t>
  </si>
  <si>
    <t>JM31E1653905</t>
  </si>
  <si>
    <t>LatLng(lat: 0.9094633, lng: 104.477685)</t>
  </si>
  <si>
    <t>LatLng(lat: 1.1291767, lng: 103.956585)</t>
  </si>
  <si>
    <t>OD-25-F0001848</t>
  </si>
  <si>
    <t>SYAMSIR EVENDI</t>
  </si>
  <si>
    <t>BP 6454 HE</t>
  </si>
  <si>
    <t>MH4EX250MHJP03613</t>
  </si>
  <si>
    <t>EX250LEAE1515</t>
  </si>
  <si>
    <t>KAWASAКІ</t>
  </si>
  <si>
    <t>EX250M</t>
  </si>
  <si>
    <t>LatLng(lat: 1.1512961, lng: 104.0249444)</t>
  </si>
  <si>
    <t>SP-24-F0002126</t>
  </si>
  <si>
    <t>SANDI FIRDIANSYAH</t>
  </si>
  <si>
    <t>BP 2324 RO</t>
  </si>
  <si>
    <t>MH1JM8110NK961430</t>
  </si>
  <si>
    <t>JM81E1962896</t>
  </si>
  <si>
    <t>LatLng(lat: 1.1467353, lng: 104.0237414)</t>
  </si>
  <si>
    <t>SP-24-F0001792</t>
  </si>
  <si>
    <t>AFRIANTI</t>
  </si>
  <si>
    <t>BP 5937 OF</t>
  </si>
  <si>
    <t>MH3SE8810FJ213774</t>
  </si>
  <si>
    <t>E3R2E0221019</t>
  </si>
  <si>
    <t>MERAH MUDA</t>
  </si>
  <si>
    <t>LatLng(lat: 1.1500583, lng: 104.0266317)</t>
  </si>
  <si>
    <t>OD-25-F0000212</t>
  </si>
  <si>
    <t>ABDURRAHMAN</t>
  </si>
  <si>
    <t>BP 2493 MI</t>
  </si>
  <si>
    <t>MH1JFM216EK702412</t>
  </si>
  <si>
    <t>JFM2E1695074</t>
  </si>
  <si>
    <t>LatLng(lat: 1.1500017, lng: 104.0278942)</t>
  </si>
  <si>
    <t>LatLng(lat: 1.0709354, lng: 104.0245295)</t>
  </si>
  <si>
    <t>SP-25-F0002050</t>
  </si>
  <si>
    <t>SIVANI REYSA</t>
  </si>
  <si>
    <t>BP 5491 QJ</t>
  </si>
  <si>
    <t>MH3SE8850JJ030415</t>
  </si>
  <si>
    <t>E3W6E0083724</t>
  </si>
  <si>
    <t>LatLng(lat: 1.1482376, lng: 104.0274017)</t>
  </si>
  <si>
    <t>OD-24-F0001038</t>
  </si>
  <si>
    <t>AGUSMAN ZEGA</t>
  </si>
  <si>
    <t>BP 2167 US</t>
  </si>
  <si>
    <t>MH1JM8128PK721828</t>
  </si>
  <si>
    <t>JM81E2723848</t>
  </si>
  <si>
    <t>LatLng(lat: 1.1452962, lng: 104.0288077)</t>
  </si>
  <si>
    <t>LatLng(lat: 1.1492267, lng: 104.0296017)</t>
  </si>
  <si>
    <t>OD-25-F0001566</t>
  </si>
  <si>
    <t>HENGKI SAPUTRA</t>
  </si>
  <si>
    <t>BP 2129 CO</t>
  </si>
  <si>
    <t>MH1JM0314NK028676</t>
  </si>
  <si>
    <t>JM03E1002091</t>
  </si>
  <si>
    <t>LatLng(lat: 1.1491071, lng: 104.0294867)</t>
  </si>
  <si>
    <t>LatLng(lat: 1.1667301, lng: 104.0315671)</t>
  </si>
  <si>
    <t>OD-25-F0000311</t>
  </si>
  <si>
    <t>NANDA GALUH SUBEKTI</t>
  </si>
  <si>
    <t>BP 4209 AF</t>
  </si>
  <si>
    <t>MH3UG0750LK056051</t>
  </si>
  <si>
    <t>G3E6E0564537</t>
  </si>
  <si>
    <t>MX KING</t>
  </si>
  <si>
    <t>LatLng(lat: 1.1601929, lng: 104.0348221)</t>
  </si>
  <si>
    <t>SP-25-F0002205</t>
  </si>
  <si>
    <t>AGUNG WIJAYANTO</t>
  </si>
  <si>
    <t>BP 4067 AC</t>
  </si>
  <si>
    <t>MH3RG4610JK103120</t>
  </si>
  <si>
    <t>G3E7E0480706</t>
  </si>
  <si>
    <t>ALL NEW VIXION</t>
  </si>
  <si>
    <t>LatLng(lat: 1.1444688, lng: 104.0279711)</t>
  </si>
  <si>
    <t>OD-25-F0001728</t>
  </si>
  <si>
    <t>HELISANTI GULO</t>
  </si>
  <si>
    <t>BP 3931 AQ</t>
  </si>
  <si>
    <t>MH1JM1120KK028736</t>
  </si>
  <si>
    <t>JM11E2011762</t>
  </si>
  <si>
    <t>LatLng(lat: 1.1466154, lng: 104.0277747)</t>
  </si>
  <si>
    <t>OD-24-F0002952</t>
  </si>
  <si>
    <t>DELVINO GIFARI PRADANSYAH</t>
  </si>
  <si>
    <t>BP 2485 MU</t>
  </si>
  <si>
    <t>MH1JM8119MK356000</t>
  </si>
  <si>
    <t>JM81E1355837</t>
  </si>
  <si>
    <t>LatLng(lat: 1.1430926, lng: 104.0279958)</t>
  </si>
  <si>
    <t>OD-24-F0003267</t>
  </si>
  <si>
    <t>DJEMBRES REINHART WADU</t>
  </si>
  <si>
    <t>BP 3559 OW</t>
  </si>
  <si>
    <t>C3</t>
  </si>
  <si>
    <t>MH1KF411XKK578453</t>
  </si>
  <si>
    <t>KF41E1578872</t>
  </si>
  <si>
    <t>e55e0695-655d-4783-ad52-79cb919e345d</t>
  </si>
  <si>
    <t>LatLng(lat: 1.1349055, lng: 103.9995688)</t>
  </si>
  <si>
    <t>OD-24-F0002933</t>
  </si>
  <si>
    <t>YOBIYANTO DANG WAANG</t>
  </si>
  <si>
    <t>BP 5660 JP</t>
  </si>
  <si>
    <t>MH31PA004EK567854</t>
  </si>
  <si>
    <t>1PA568108</t>
  </si>
  <si>
    <t>Novrida Fransisca Situmorang</t>
  </si>
  <si>
    <t>LatLng(lat: 1.143149, lng: 104.0280266)</t>
  </si>
  <si>
    <t>LatLng(lat: 1.1437235, lng: 104.0332905)</t>
  </si>
  <si>
    <t>SP-24-F0001412</t>
  </si>
  <si>
    <t>SLAMET MARYADI</t>
  </si>
  <si>
    <t>BP 3121 UE</t>
  </si>
  <si>
    <t>MH1JM0219MK116994</t>
  </si>
  <si>
    <t>JM02E1118216</t>
  </si>
  <si>
    <t>LatLng(lat: 1.143144, lng: 104.0279756)</t>
  </si>
  <si>
    <t>OD-25-F0001644</t>
  </si>
  <si>
    <t>NOVA ANANTA BR GINTING</t>
  </si>
  <si>
    <t>BP 2832 OA</t>
  </si>
  <si>
    <t>MH1JFP115FK092121</t>
  </si>
  <si>
    <t>JFP1E1098234</t>
  </si>
  <si>
    <t>LatLng(lat: 1.1456629, lng: 104.0276869)</t>
  </si>
  <si>
    <t>ac63d112-8c59-4edb-b75b-75ebcb97a513</t>
  </si>
  <si>
    <t>LatLng(lat: 0.9599309, lng: 104.5229807)</t>
  </si>
  <si>
    <t>BT-KD-25-00020</t>
  </si>
  <si>
    <t>Rendy falentyno</t>
  </si>
  <si>
    <t>LatLng(lat: 1.1400322, lng: 104.0382056)</t>
  </si>
  <si>
    <t>OD-23-F0000842</t>
  </si>
  <si>
    <t>SEBASTIAN KELANA ROMAWAN</t>
  </si>
  <si>
    <t>BP 2236 HJ</t>
  </si>
  <si>
    <t>MH1JM4114JK010456</t>
  </si>
  <si>
    <t>JM41E1011307</t>
  </si>
  <si>
    <t>LatLng(lat: 1.1219015, lng: 104.0438413)</t>
  </si>
  <si>
    <t>LatLng(lat: 1.145065, lng: 104.0305869)</t>
  </si>
  <si>
    <t>SP-25-F0000046</t>
  </si>
  <si>
    <t>AJI SUPRAYOGA</t>
  </si>
  <si>
    <t>BP 4045 AC</t>
  </si>
  <si>
    <t>MH31PA002DK314483</t>
  </si>
  <si>
    <t>1PA315828</t>
  </si>
  <si>
    <t>LatLng(lat: 1.151369, lng: 104.0283075)</t>
  </si>
  <si>
    <t>OD-25-F0001495</t>
  </si>
  <si>
    <t>NOVI DIYANTI</t>
  </si>
  <si>
    <t>BP 2740 MQ</t>
  </si>
  <si>
    <t>MH1JFL119EK143630</t>
  </si>
  <si>
    <t>JFL1E1146614</t>
  </si>
  <si>
    <t>SCOOPY CW</t>
  </si>
  <si>
    <t>MERAH KREM</t>
  </si>
  <si>
    <t>LatLng(lat: 1.1467955, lng: 104.0281842)</t>
  </si>
  <si>
    <t>OD-24-F0002230</t>
  </si>
  <si>
    <t>BP 3106 AA</t>
  </si>
  <si>
    <t>MH1JM8122PK335227</t>
  </si>
  <si>
    <t>JM81E2337105</t>
  </si>
  <si>
    <t>LatLng(lat: 1.1428175, lng: 104.0368804)</t>
  </si>
  <si>
    <t>SP-25-F0000755</t>
  </si>
  <si>
    <t>HENDRA SITORUS</t>
  </si>
  <si>
    <t>BP 3978 JU</t>
  </si>
  <si>
    <t>MH1JM6112KK071060</t>
  </si>
  <si>
    <t>JM61E1071065</t>
  </si>
  <si>
    <t>LatLng(lat: 1.1478898, lng: 104.0276526)</t>
  </si>
  <si>
    <t>OD-25-F0000099</t>
  </si>
  <si>
    <t>YANTO</t>
  </si>
  <si>
    <t>BP 3170 FR</t>
  </si>
  <si>
    <t>MH1JFZ210JK234880</t>
  </si>
  <si>
    <t>JFZ2E1236238</t>
  </si>
  <si>
    <t>LatLng(lat: 1.1525625, lng: 104.0279348)</t>
  </si>
  <si>
    <t>LatLng(lat: 1.1416538, lng: 104.0367787)</t>
  </si>
  <si>
    <t>LatLng(lat: 1.1219774, lng: 104.0437892)</t>
  </si>
  <si>
    <t>LatLng(lat: 1.1442279, lng: 104.0336096)</t>
  </si>
  <si>
    <t>SP-24-F0002769</t>
  </si>
  <si>
    <t>RAFLIAN RUSDY</t>
  </si>
  <si>
    <t>BP 2517 MR</t>
  </si>
  <si>
    <t>MH1JM8212NK529503</t>
  </si>
  <si>
    <t>JM82E1527555</t>
  </si>
  <si>
    <t>LatLng(lat: 1.0441554, lng: 103.9742852)</t>
  </si>
  <si>
    <t>SP-25-F0001058</t>
  </si>
  <si>
    <t>PELI ANDRILA</t>
  </si>
  <si>
    <t>BP 4705 QO</t>
  </si>
  <si>
    <t>MH3RG4610KK110665</t>
  </si>
  <si>
    <t>G3E7E0488310</t>
  </si>
  <si>
    <t>VIXION VVA</t>
  </si>
  <si>
    <t>LatLng(lat: 1.1364333, lng: 104.027645)</t>
  </si>
  <si>
    <t>SP-25-F0002052</t>
  </si>
  <si>
    <t>ALFET SUSENO</t>
  </si>
  <si>
    <t>BP 2985 CO</t>
  </si>
  <si>
    <t>MH1JM0412NK012765</t>
  </si>
  <si>
    <t>JM04E1012794</t>
  </si>
  <si>
    <t>LatLng(lat: 1.0995983, lng: 103.93149)</t>
  </si>
  <si>
    <t>SP-25-F0002533</t>
  </si>
  <si>
    <t>MUHAMMAD RIFAI</t>
  </si>
  <si>
    <t>BP 2900 MU</t>
  </si>
  <si>
    <t>MH1JM812XPK408473</t>
  </si>
  <si>
    <t>JM81E2409669</t>
  </si>
  <si>
    <t>LatLng(lat: 1.0478567, lng: 103.9604367)</t>
  </si>
  <si>
    <t>LatLng(lat: 1.0475767, lng: 103.9638633)</t>
  </si>
  <si>
    <t>LatLng(lat: 0.9146833, lng: 104.43685)</t>
  </si>
  <si>
    <t>TP-24-F0000234</t>
  </si>
  <si>
    <t>HARRY PUTRA AKTAMA</t>
  </si>
  <si>
    <t>BP 2858 PC</t>
  </si>
  <si>
    <t>MH1KF4117KK825394</t>
  </si>
  <si>
    <t>KF41E1827891</t>
  </si>
  <si>
    <t>LatLng(lat: 1.049794, lng: 103.9459165)</t>
  </si>
  <si>
    <t>SP-25-F0001245</t>
  </si>
  <si>
    <t>DOHARMIN MANUTURI MANIK</t>
  </si>
  <si>
    <t>BP 2647 AA</t>
  </si>
  <si>
    <t>MH1KD1115PK356611</t>
  </si>
  <si>
    <t>KD11E1356130</t>
  </si>
  <si>
    <t>CRF 150</t>
  </si>
  <si>
    <t>LatLng(lat: 0.9064957, lng: 104.4588769)</t>
  </si>
  <si>
    <t>LatLng(lat: 1.0367288, lng: 103.9687934)</t>
  </si>
  <si>
    <t>SP-25-F0000493</t>
  </si>
  <si>
    <t>BP 4431 CU</t>
  </si>
  <si>
    <t>MH1JMC119PK289437</t>
  </si>
  <si>
    <t>JMC1E1289345</t>
  </si>
  <si>
    <t>LatLng(lat: 1.036789, lng: 103.9688303)</t>
  </si>
  <si>
    <t>LatLng(lat: 0.8969558, lng: 104.4795951)</t>
  </si>
  <si>
    <t>TP-25-F0000272</t>
  </si>
  <si>
    <t>M. SYARIFUDDIN</t>
  </si>
  <si>
    <t>BP 5727 GT</t>
  </si>
  <si>
    <t>MH3SG3190KK580197</t>
  </si>
  <si>
    <t>G3E4E1457429</t>
  </si>
  <si>
    <t>LatLng(lat: 1.1437957, lng: 104.0289385)</t>
  </si>
  <si>
    <t>OD-24-F0001779</t>
  </si>
  <si>
    <t>AYU MUTIARA</t>
  </si>
  <si>
    <t>BP 6177 CI</t>
  </si>
  <si>
    <t>MH3SG5670RJ434429</t>
  </si>
  <si>
    <t>G3L8E1997556</t>
  </si>
  <si>
    <t>N MAX</t>
  </si>
  <si>
    <t>LatLng(lat: 1.0368314, lng: 103.9687329)</t>
  </si>
  <si>
    <t>LatLng(lat: 1.1221063, lng: 104.0438767)</t>
  </si>
  <si>
    <t>LatLng(lat: 1.034037, lng: 103.9712876)</t>
  </si>
  <si>
    <t>LatLng(lat: 0.9116983, lng: 104.4934483)</t>
  </si>
  <si>
    <t>TP-25-F0000393</t>
  </si>
  <si>
    <t>HARDINATA</t>
  </si>
  <si>
    <t>BP 2209 CW</t>
  </si>
  <si>
    <t>MH1JFW110GK714927</t>
  </si>
  <si>
    <t>JFW1E1717603</t>
  </si>
  <si>
    <t>HITAM COKLAT</t>
  </si>
  <si>
    <t>LatLng(lat: 1.0342286, lng: 103.9764033)</t>
  </si>
  <si>
    <t>SP-25-F0002560</t>
  </si>
  <si>
    <t>SOFIAN ARIF</t>
  </si>
  <si>
    <t>BP 2802 IR</t>
  </si>
  <si>
    <t>MH1KC8218HK173344</t>
  </si>
  <si>
    <t>KC82E1169456</t>
  </si>
  <si>
    <t>LatLng(lat: 1.0451467, lng: 103.970155)</t>
  </si>
  <si>
    <t>OD-24-F0001197</t>
  </si>
  <si>
    <t>YOHANES HENDRIKUS BHURU</t>
  </si>
  <si>
    <t>BP 2947 JU</t>
  </si>
  <si>
    <t>MH1JM821XLK037430</t>
  </si>
  <si>
    <t>JM82E1037456</t>
  </si>
  <si>
    <t>LatLng(lat: 1.0644917, lng: 103.9168845)</t>
  </si>
  <si>
    <t>LatLng(lat: 1.0336269, lng: 104.1311433)</t>
  </si>
  <si>
    <t>SP-24-F0002705</t>
  </si>
  <si>
    <t>IMAH LESTIANA</t>
  </si>
  <si>
    <t>BP 2549 UF</t>
  </si>
  <si>
    <t>MH1JFZ137KK632348</t>
  </si>
  <si>
    <t>JFZ1E3632269</t>
  </si>
  <si>
    <t>LatLng(lat: 1.0474733, lng: 103.964485)</t>
  </si>
  <si>
    <t>LatLng(lat: 1.0450412, lng: 103.9658467)</t>
  </si>
  <si>
    <t>SP-24-F0002634</t>
  </si>
  <si>
    <t>RIZKY PRATAMA SIRAIT</t>
  </si>
  <si>
    <t>BP 2447 MU</t>
  </si>
  <si>
    <t>MH1JM8111LK270646</t>
  </si>
  <si>
    <t>JM81E1272610</t>
  </si>
  <si>
    <t>LatLng(lat: 1.0451116, lng: 103.9661631)</t>
  </si>
  <si>
    <t>OD-24-F0002157</t>
  </si>
  <si>
    <t>ZULIANA RAMBE</t>
  </si>
  <si>
    <t>BP 3597 HI</t>
  </si>
  <si>
    <t>MH1KC0210JK013935</t>
  </si>
  <si>
    <t>KC02E1013762</t>
  </si>
  <si>
    <t>CB VERZA</t>
  </si>
  <si>
    <t>LatLng(lat: 1.0679552, lng: 104.2051842)</t>
  </si>
  <si>
    <t>TP-24-F0000373</t>
  </si>
  <si>
    <t>MASRI DERITA</t>
  </si>
  <si>
    <t>BP 3275 RB</t>
  </si>
  <si>
    <t>MH1JM0115MK332617</t>
  </si>
  <si>
    <t>JM01E1330883</t>
  </si>
  <si>
    <t>LatLng(lat: 0.9071313, lng: 104.564373)</t>
  </si>
  <si>
    <t>TP-24-F0000184</t>
  </si>
  <si>
    <t>LASMI ROMAULI SIMANULLANG</t>
  </si>
  <si>
    <t>BP 3870 GW</t>
  </si>
  <si>
    <t>MH1JFZ218JK287939</t>
  </si>
  <si>
    <t>JFZ2E1287916</t>
  </si>
  <si>
    <t>LatLng(lat: 0.9126505, lng: 104.5326873)</t>
  </si>
  <si>
    <t>BT-KD-24-00155</t>
  </si>
  <si>
    <t>LatLng(lat: 0.9152078, lng: 104.5199814)</t>
  </si>
  <si>
    <t>LatLng(lat: 1.0971953, lng: 104.0363162)</t>
  </si>
  <si>
    <t>OD-25-F0001598</t>
  </si>
  <si>
    <t>TRI SANDI PRAYUGO</t>
  </si>
  <si>
    <t>BP 3533 HJ</t>
  </si>
  <si>
    <t>MH1JFZ215JK335347</t>
  </si>
  <si>
    <t>JFZ2E1335354</t>
  </si>
  <si>
    <t>LatLng(lat: 1.0402558, lng: 103.9879161)</t>
  </si>
  <si>
    <t>LatLng(lat: 1.0630106, lng: 104.0161338)</t>
  </si>
  <si>
    <t>SP-25-F0002570</t>
  </si>
  <si>
    <t>E RUDIYANDI</t>
  </si>
  <si>
    <t>BP 5541 UO</t>
  </si>
  <si>
    <t>MH1JMD114RK531124</t>
  </si>
  <si>
    <t>JMD1E1530020</t>
  </si>
  <si>
    <t>LatLng(lat: 1.0814465, lng: 104.0280781)</t>
  </si>
  <si>
    <t>OD-25-F0000866</t>
  </si>
  <si>
    <t>DAVIT PRIDINOLO</t>
  </si>
  <si>
    <t>BP 2214 QA</t>
  </si>
  <si>
    <t>MH1KC8213GK009062</t>
  </si>
  <si>
    <t>KC82E1005462</t>
  </si>
  <si>
    <t>LatLng(lat: 1.0413744, lng: 103.9935388)</t>
  </si>
  <si>
    <t>SP-25-F0001839</t>
  </si>
  <si>
    <t>GIDION ENDRISON SIMANJUNTAK</t>
  </si>
  <si>
    <t>BP 2729 RS</t>
  </si>
  <si>
    <t>MH1JM812XPK635002</t>
  </si>
  <si>
    <t>JM81E2635326</t>
  </si>
  <si>
    <t>LatLng(lat: 1.0392904, lng: 103.9946639)</t>
  </si>
  <si>
    <t>LatLng(lat: 1.0396835, lng: 104.0002686)</t>
  </si>
  <si>
    <t>SP-24-F0002676</t>
  </si>
  <si>
    <t>NILA YENI</t>
  </si>
  <si>
    <t>BP 2940 RF</t>
  </si>
  <si>
    <t>MH1JM8114MK845159</t>
  </si>
  <si>
    <t>JM81E1847836</t>
  </si>
  <si>
    <t>LatLng(lat: 1.143747, lng: 104.0280191)</t>
  </si>
  <si>
    <t>LatLng(lat: 1.1446509, lng: 104.0279824)</t>
  </si>
  <si>
    <t>LatLng(lat: 1.13827, lng: 104.02739)</t>
  </si>
  <si>
    <t>LatLng(lat: 1.1546595, lng: 104.0320224)</t>
  </si>
  <si>
    <t>SP-25-F0000598</t>
  </si>
  <si>
    <t>DESVI ANDI S</t>
  </si>
  <si>
    <t>BP 2343 IF</t>
  </si>
  <si>
    <t>MH1JF5133CK849082</t>
  </si>
  <si>
    <t>JF51E3837092</t>
  </si>
  <si>
    <t>LatLng(lat: 1.1595717, lng: 104.0258717)</t>
  </si>
  <si>
    <t>SP-25-F0002599</t>
  </si>
  <si>
    <t>CINDY SEPTYANI SITANGGANG</t>
  </si>
  <si>
    <t>BP 2870 QS</t>
  </si>
  <si>
    <t>MH1JM0319PK420801</t>
  </si>
  <si>
    <t>JM03E1421036</t>
  </si>
  <si>
    <t>LatLng(lat: 1.15952, lng: 104.0245067)</t>
  </si>
  <si>
    <t>OD-25-F0001246</t>
  </si>
  <si>
    <t>YOSEF FREIDAMETZ HORE</t>
  </si>
  <si>
    <t>BP 2604 UM</t>
  </si>
  <si>
    <t>MH1JM0213LK038212</t>
  </si>
  <si>
    <t>JM02E1038159</t>
  </si>
  <si>
    <t>LatLng(lat: 1.15442, lng: 104.0364667)</t>
  </si>
  <si>
    <t>SP-25-F0001175</t>
  </si>
  <si>
    <t>TOTOK SUBIYANTO</t>
  </si>
  <si>
    <t>BP 5508 AG</t>
  </si>
  <si>
    <t>MH3SG5620MJ283838</t>
  </si>
  <si>
    <t>G3L8E0527014</t>
  </si>
  <si>
    <t>NMAX NON CONECTED</t>
  </si>
  <si>
    <t>LatLng(lat: 1.1490017, lng: 104.0364401)</t>
  </si>
  <si>
    <t>OD-24-F0000948</t>
  </si>
  <si>
    <t>KARTIKA RATNA SARI</t>
  </si>
  <si>
    <t>BP 3797 MU</t>
  </si>
  <si>
    <t>MH1JM9111MK377073</t>
  </si>
  <si>
    <t>JM91E1371399</t>
  </si>
  <si>
    <t>LatLng(lat: 1.1544392, lng: 104.0314221)</t>
  </si>
  <si>
    <t>LatLng(lat: 1.1545414, lng: 104.0318571)</t>
  </si>
  <si>
    <t>LatLng(lat: 1.1623494, lng: 104.0245708)</t>
  </si>
  <si>
    <t>OD-24-F0001456</t>
  </si>
  <si>
    <t>LARASATI</t>
  </si>
  <si>
    <t>BP 3995 UE</t>
  </si>
  <si>
    <t>MH1JM9116MK392930</t>
  </si>
  <si>
    <t>JM91E1394320</t>
  </si>
  <si>
    <t>LatLng(lat: 1.1487141, lng: 104.0357144)</t>
  </si>
  <si>
    <t>SP-25-F0002657</t>
  </si>
  <si>
    <t>WAHYU KRISNANTO</t>
  </si>
  <si>
    <t>BP 4258 QM</t>
  </si>
  <si>
    <t>MH3SG3190JK318966</t>
  </si>
  <si>
    <t>G3E4E1108849</t>
  </si>
  <si>
    <t>LatLng(lat: 1.1510404, lng: 104.0364401)</t>
  </si>
  <si>
    <t>SP-25-F0002375</t>
  </si>
  <si>
    <t>ANGGI AFRIANDO</t>
  </si>
  <si>
    <t>BP 2861 P</t>
  </si>
  <si>
    <t>MH1JM8222PK015114</t>
  </si>
  <si>
    <t>JM82E2014609</t>
  </si>
  <si>
    <t>LatLng(lat: 1.1583461, lng: 104.0260462)</t>
  </si>
  <si>
    <t>LatLng(lat: 1.152127, lng: 104.0339569)</t>
  </si>
  <si>
    <t>OD-24-F0003191</t>
  </si>
  <si>
    <t>ROMI GUNAWAN</t>
  </si>
  <si>
    <t>BP 2873 HE</t>
  </si>
  <si>
    <t>MH1JFV117JK834595</t>
  </si>
  <si>
    <t>JFV1E1839664</t>
  </si>
  <si>
    <t>LatLng(lat: 1.1519309, lng: 104.0339193)</t>
  </si>
  <si>
    <t>LatLng(lat: 1.1501484, lng: 104.0400685)</t>
  </si>
  <si>
    <t>OD-25-F0001250</t>
  </si>
  <si>
    <t>NUR LAELA</t>
  </si>
  <si>
    <t>BP 2701 OU</t>
  </si>
  <si>
    <t>MH1JM8115MK549468</t>
  </si>
  <si>
    <t>JM81E1551375</t>
  </si>
  <si>
    <t>LatLng(lat: 1.1425696, lng: 104.0380813)</t>
  </si>
  <si>
    <t>LatLng(lat: 1.1503967, lng: 104.0368616)</t>
  </si>
  <si>
    <t>SP-25-F0002630</t>
  </si>
  <si>
    <t>ANDIKA RAHMAN</t>
  </si>
  <si>
    <t>BP 4396 EJ</t>
  </si>
  <si>
    <t>MH3UG0750PK165871</t>
  </si>
  <si>
    <t>G3E6E0706312</t>
  </si>
  <si>
    <t>LatLng(lat: 1.1404249, lng: 104.0380104)</t>
  </si>
  <si>
    <t>SP-25-F0002689</t>
  </si>
  <si>
    <t>BP 3020 HE</t>
  </si>
  <si>
    <t>MH1JFV11XJK815698</t>
  </si>
  <si>
    <t>JFV1E1821247</t>
  </si>
  <si>
    <t>LatLng(lat: 1.15074, lng: 104.0382543)</t>
  </si>
  <si>
    <t>LatLng(lat: 1.1361845, lng: 104.0366068)</t>
  </si>
  <si>
    <t>SP-24-F0000148</t>
  </si>
  <si>
    <t>IAN MUSTAKIM</t>
  </si>
  <si>
    <t>BP 5157 IR</t>
  </si>
  <si>
    <t>MH31PA004EK671695</t>
  </si>
  <si>
    <t>1PA669364</t>
  </si>
  <si>
    <t>LatLng(lat: 1.136122, lng: 104.0362968)</t>
  </si>
  <si>
    <t>LatLng(lat: 1.1542279, lng: 104.0397057)</t>
  </si>
  <si>
    <t>OD-25-F0001435</t>
  </si>
  <si>
    <t>HENDRICK</t>
  </si>
  <si>
    <t>BP 6972 GI</t>
  </si>
  <si>
    <t>MH8BG41EAFJ414650</t>
  </si>
  <si>
    <t>G427ID415543</t>
  </si>
  <si>
    <t>LatLng(lat: 1.1448113, lng: 104.0472288)</t>
  </si>
  <si>
    <t>SP-23-F0000621</t>
  </si>
  <si>
    <t>LORENTINUS KOTA</t>
  </si>
  <si>
    <t>BP 2843 GI</t>
  </si>
  <si>
    <t>MH1JBH118CK225077</t>
  </si>
  <si>
    <t>JBH1E1218487</t>
  </si>
  <si>
    <t>BLADE</t>
  </si>
  <si>
    <t>ORANGE HITAM</t>
  </si>
  <si>
    <t>LatLng(lat: 1.1593328, lng: 104.0223654)</t>
  </si>
  <si>
    <t>OD-25-F0000823</t>
  </si>
  <si>
    <t>SUPRIO HERNANDOS</t>
  </si>
  <si>
    <t>BP 4159 AE</t>
  </si>
  <si>
    <t>MH3SEF310KJ186221</t>
  </si>
  <si>
    <t>E31VE0247347</t>
  </si>
  <si>
    <t>LatLng(lat: 0.9154418, lng: 104.4938598)</t>
  </si>
  <si>
    <t>OD-24-F0003171</t>
  </si>
  <si>
    <t>YOGI RIZKY MARCELLIE</t>
  </si>
  <si>
    <t>BP 6544 HG</t>
  </si>
  <si>
    <t>MH8DL11AZKJ201152</t>
  </si>
  <si>
    <t>CGA1ID201100</t>
  </si>
  <si>
    <t>LatLng(lat: 1.1472076, lng: 104.0382636)</t>
  </si>
  <si>
    <t>SP-24-F0002691</t>
  </si>
  <si>
    <t>HENY JUNIAR SAPUTRI</t>
  </si>
  <si>
    <t>BP 2745 HF</t>
  </si>
  <si>
    <t>MH1JFZ12XJK244472</t>
  </si>
  <si>
    <t>JFZ1E2246483</t>
  </si>
  <si>
    <t>LatLng(lat: 1.1595235, lng: 104.0255576)</t>
  </si>
  <si>
    <t>LatLng(lat: 1.159069, lng: 104.0265303)</t>
  </si>
  <si>
    <t>SP-25-F0001591</t>
  </si>
  <si>
    <t>MAZREHA ZURAIMI</t>
  </si>
  <si>
    <t>BP 2374 II</t>
  </si>
  <si>
    <t>MH1JM8122NK228692</t>
  </si>
  <si>
    <t>JM81E2230716</t>
  </si>
  <si>
    <t>LatLng(lat: 1.1591136, lng: 104.0265118)</t>
  </si>
  <si>
    <t>LatLng(lat: 0.9154494, lng: 104.4938513)</t>
  </si>
  <si>
    <t>OD-25-F0000820</t>
  </si>
  <si>
    <t>YOSEF VERILIUS LOLI</t>
  </si>
  <si>
    <t>BP 4100 HE</t>
  </si>
  <si>
    <t>C2</t>
  </si>
  <si>
    <t>MH3SG6410PJ289477</t>
  </si>
  <si>
    <t>G3P4E0209446</t>
  </si>
  <si>
    <t>LatLng(lat: 1.0422033, lng: 103.9231017)</t>
  </si>
  <si>
    <t>SP-24-F0001741</t>
  </si>
  <si>
    <t>ABDUL ROVIK F</t>
  </si>
  <si>
    <t>BP 2077 OA</t>
  </si>
  <si>
    <t>MH1KC7117FK015196</t>
  </si>
  <si>
    <t>KC71E1017712</t>
  </si>
  <si>
    <t>CBR</t>
  </si>
  <si>
    <t>LatLng(lat: 1.0425499, lng: 103.9828578)</t>
  </si>
  <si>
    <t>SP-25-F0000456</t>
  </si>
  <si>
    <t>SULAEMAN</t>
  </si>
  <si>
    <t>BP 6631 GM</t>
  </si>
  <si>
    <t>MH8BG41FAFJ143475</t>
  </si>
  <si>
    <t>G428ID142258</t>
  </si>
  <si>
    <t>LatLng(lat: 0.9154541, lng: 104.493863)</t>
  </si>
  <si>
    <t>LatLng(lat: 1.1420345, lng: 104.0500283)</t>
  </si>
  <si>
    <t>LatLng(lat: 1.1057403, lng: 104.0395045)</t>
  </si>
  <si>
    <t>SP-25-F0001882</t>
  </si>
  <si>
    <t>RADEN MUHAMAD YOLANDA CIKAL KUSUMA</t>
  </si>
  <si>
    <t>BP 2818 OD</t>
  </si>
  <si>
    <t>MH1JM8112MK793210</t>
  </si>
  <si>
    <t>JM81E1795071</t>
  </si>
  <si>
    <t>LatLng(lat: 1.0641976, lng: 104.0178427)</t>
  </si>
  <si>
    <t>OD-25-F0001372</t>
  </si>
  <si>
    <t>ZAINURI MADANG</t>
  </si>
  <si>
    <t>BP 2687 CF</t>
  </si>
  <si>
    <t>MH1JFP119FK228380</t>
  </si>
  <si>
    <t>JFP1E1224351</t>
  </si>
  <si>
    <t>LatLng(lat: 1.0627705, lng: 104.015695)</t>
  </si>
  <si>
    <t>SP-25-F0001923</t>
  </si>
  <si>
    <t>WIWIK PURWANTI</t>
  </si>
  <si>
    <t>BP 2039 UI</t>
  </si>
  <si>
    <t>MH1JM9115MK790081</t>
  </si>
  <si>
    <t>JM91E1789664</t>
  </si>
  <si>
    <t>LatLng(lat: 1.040512, lng: 103.9921327)</t>
  </si>
  <si>
    <t>LatLng(lat: 0.9121894, lng: 104.4632549)</t>
  </si>
  <si>
    <t>TP-24-F0000233</t>
  </si>
  <si>
    <t>M. BATUA SAKTI</t>
  </si>
  <si>
    <t>BP 3958 OT</t>
  </si>
  <si>
    <t>MH1KF1113GK664354</t>
  </si>
  <si>
    <t>KF11E1663436</t>
  </si>
  <si>
    <t>VARIO TECHNO</t>
  </si>
  <si>
    <t>LatLng(lat: 0.9121628, lng: 104.4632639)</t>
  </si>
  <si>
    <t>LatLng(lat: 0.9174596, lng: 104.4931166)</t>
  </si>
  <si>
    <t>SK-KD-24-00228</t>
  </si>
  <si>
    <t>LatLng(lat: 1.0410134, lng: 103.9573854)</t>
  </si>
  <si>
    <t>SP-25-F0002716</t>
  </si>
  <si>
    <t>JUWITA PUTRI MANURUNG</t>
  </si>
  <si>
    <t>BP 3104 QQ</t>
  </si>
  <si>
    <t>MH1JM211XHK183865</t>
  </si>
  <si>
    <t>JM21E1181325</t>
  </si>
  <si>
    <t>LatLng(lat: 1.0287371, lng: 103.9591081)</t>
  </si>
  <si>
    <t>OD-25-F0001214</t>
  </si>
  <si>
    <t>TI TI</t>
  </si>
  <si>
    <t>BP 5253 UO</t>
  </si>
  <si>
    <t>MH1KCB112RK056584</t>
  </si>
  <si>
    <t>KCB1E1056631</t>
  </si>
  <si>
    <t>LatLng(lat: 1.0232, lng: 103.9616583)</t>
  </si>
  <si>
    <t>LatLng(lat: 1.0480333, lng: 103.96049)</t>
  </si>
  <si>
    <t>LatLng(lat: 0.922604, lng: 104.4594121)</t>
  </si>
  <si>
    <t>SP-24-F0002000</t>
  </si>
  <si>
    <t>RAFAEL LAGA</t>
  </si>
  <si>
    <t>BP 3199 RH</t>
  </si>
  <si>
    <t>MH1JM8115NK880231</t>
  </si>
  <si>
    <t>JM81E1883209</t>
  </si>
  <si>
    <t>LatLng(lat: 1.0475547, lng: 103.9645705)</t>
  </si>
  <si>
    <t>LatLng(lat: 1.1563573, lng: 104.0400902)</t>
  </si>
  <si>
    <t>SP-25-F0002233</t>
  </si>
  <si>
    <t>KUKUH RIYADI</t>
  </si>
  <si>
    <t>BP 2263 AP</t>
  </si>
  <si>
    <t>MH1JM0316PK219678</t>
  </si>
  <si>
    <t>JM03E1219732</t>
  </si>
  <si>
    <t>LatLng(lat: 1.0498692, lng: 103.9686358)</t>
  </si>
  <si>
    <t>LatLng(lat: 1.0433613, lng: 103.9794899)</t>
  </si>
  <si>
    <t>SP-25-F0001221</t>
  </si>
  <si>
    <t>HANDIKA ABDULLAH</t>
  </si>
  <si>
    <t>BP 3077 FU</t>
  </si>
  <si>
    <t>MH1JFZ130KK590413</t>
  </si>
  <si>
    <t>JFZ1E3590223</t>
  </si>
  <si>
    <t>LatLng(lat: 1.057176, lng: 103.945959)</t>
  </si>
  <si>
    <t>OD-24-F0003159</t>
  </si>
  <si>
    <t>WICKY MEVLI JAPADRI</t>
  </si>
  <si>
    <t>BP 5778 CD</t>
  </si>
  <si>
    <t>MH1KF4115KK651003</t>
  </si>
  <si>
    <t>KF41E1651689</t>
  </si>
  <si>
    <t>LatLng(lat: 1.0434054, lng: 103.9794504)</t>
  </si>
  <si>
    <t>OD-25-F0000508</t>
  </si>
  <si>
    <t>MUTOHAROH</t>
  </si>
  <si>
    <t>BP 2802 RP</t>
  </si>
  <si>
    <t>MH1JM0415PK418798</t>
  </si>
  <si>
    <t>JM04E1418638</t>
  </si>
  <si>
    <t>LatLng(lat: 1.0377918, lng: 103.9859459)</t>
  </si>
  <si>
    <t>OD-25-F0001477</t>
  </si>
  <si>
    <t>PARTOGI SILALAHI</t>
  </si>
  <si>
    <t>BP 2127 QA</t>
  </si>
  <si>
    <t>MH1KC8214GK012357</t>
  </si>
  <si>
    <t>KC82E1011278</t>
  </si>
  <si>
    <t>CB 150 LED</t>
  </si>
  <si>
    <t>LatLng(lat: 1.0538055, lng: 103.9724155)</t>
  </si>
  <si>
    <t>OD-25-F0000615</t>
  </si>
  <si>
    <t>HERMAN</t>
  </si>
  <si>
    <t>BP 4394 QE</t>
  </si>
  <si>
    <t>MH3SG3120HK263987</t>
  </si>
  <si>
    <t>G3E4E0375725</t>
  </si>
  <si>
    <t>LatLng(lat: 1.0352961, lng: 103.9845068)</t>
  </si>
  <si>
    <t>SP-25-F0000996</t>
  </si>
  <si>
    <t>SUYANA</t>
  </si>
  <si>
    <t>BP 2713 CA</t>
  </si>
  <si>
    <t>MH1JM0117NK670540</t>
  </si>
  <si>
    <t>JM01E1671776</t>
  </si>
  <si>
    <t>LatLng(lat: 0.9267528, lng: 104.4407672)</t>
  </si>
  <si>
    <t>BT-KD-24-00156</t>
  </si>
  <si>
    <t>LatLng(lat: 1.0550932, lng: 103.9720505)</t>
  </si>
  <si>
    <t>SP-25-F0000904</t>
  </si>
  <si>
    <t>PARLINDUNGAN NST</t>
  </si>
  <si>
    <t>BP 4029 RC</t>
  </si>
  <si>
    <t>MH1JM3139KK059763</t>
  </si>
  <si>
    <t>JM31E3052221</t>
  </si>
  <si>
    <t>LatLng(lat: 1.0478209, lng: 103.9729148)</t>
  </si>
  <si>
    <t>SP-25-F0000784</t>
  </si>
  <si>
    <t>TARWI FIRDAUS</t>
  </si>
  <si>
    <t>BP 6495 FH</t>
  </si>
  <si>
    <t>MH4KR150LCKP58745</t>
  </si>
  <si>
    <t>KR150LEP88331</t>
  </si>
  <si>
    <t>KAWASAKI</t>
  </si>
  <si>
    <t>NINJA RR</t>
  </si>
  <si>
    <t>ORANGE</t>
  </si>
  <si>
    <t>LatLng(lat: 1.0410479, lng: 103.9831132)</t>
  </si>
  <si>
    <t>SP-25-F0001157</t>
  </si>
  <si>
    <t>EKO PRASTIO</t>
  </si>
  <si>
    <t>BP 3155 RD</t>
  </si>
  <si>
    <t>MH1JM021XMK536182</t>
  </si>
  <si>
    <t>JM02E1536367</t>
  </si>
  <si>
    <t>LatLng(lat: 1.0433514, lng: 103.9871119)</t>
  </si>
  <si>
    <t>SP-25-F0002420</t>
  </si>
  <si>
    <t>M.SOBRI</t>
  </si>
  <si>
    <t>BP 3699 IR</t>
  </si>
  <si>
    <t>MH1KC8217HK163839</t>
  </si>
  <si>
    <t>KC82E1160864</t>
  </si>
  <si>
    <t>LatLng(lat: 1.0433201, lng: 103.986836)</t>
  </si>
  <si>
    <t>LatLng(lat: 1.0463977, lng: 103.9712484)</t>
  </si>
  <si>
    <t>SP-25-F0001358</t>
  </si>
  <si>
    <t>JANUARTRI DERMAWAN SYAH</t>
  </si>
  <si>
    <t>BP 3852 GU</t>
  </si>
  <si>
    <t>MH1KD1115LK118476</t>
  </si>
  <si>
    <t>KD11E1117482</t>
  </si>
  <si>
    <t>86c5db36-c6d1-4806-9a2e-31a2483c0bb3</t>
  </si>
  <si>
    <t>LatLng(lat: 1.0480483, lng: 103.9662383)</t>
  </si>
  <si>
    <t>BOSPA SIANIPAR</t>
  </si>
  <si>
    <t>LatLng(lat: 1.0482184, lng: 103.9711122)</t>
  </si>
  <si>
    <t>SP-25-F0000681</t>
  </si>
  <si>
    <t>ARMAN SUSANTO</t>
  </si>
  <si>
    <t>BP 4650 AO</t>
  </si>
  <si>
    <t>MH3RG4760NK046865</t>
  </si>
  <si>
    <t>G3S7E0037857</t>
  </si>
  <si>
    <t>PERAK</t>
  </si>
  <si>
    <t>LatLng(lat: 1.0496258, lng: 103.9745732)</t>
  </si>
  <si>
    <t>LatLng(lat: 1.0402246, lng: 103.9828996)</t>
  </si>
  <si>
    <t>LatLng(lat: 1.0442339, lng: 103.986819)</t>
  </si>
  <si>
    <t>LatLng(lat: 1.0445234, lng: 103.9870301)</t>
  </si>
  <si>
    <t>LatLng(lat: 1.0538646, lng: 103.9755123)</t>
  </si>
  <si>
    <t>SP-25-F0001481</t>
  </si>
  <si>
    <t>ADIMAS JAYATAMA</t>
  </si>
  <si>
    <t>BP 3723 CR</t>
  </si>
  <si>
    <t>MH1JM0211NK867475</t>
  </si>
  <si>
    <t>JM02E1867136</t>
  </si>
  <si>
    <t>LatLng(lat: 1.0445656, lng: 103.9878141)</t>
  </si>
  <si>
    <t>SP-25-F0001778</t>
  </si>
  <si>
    <t>MELANITA SIMANJUNTAK</t>
  </si>
  <si>
    <t>BP 3547 RF</t>
  </si>
  <si>
    <t>MH1KF6113MK044418</t>
  </si>
  <si>
    <t>KF61E1044316</t>
  </si>
  <si>
    <t>ADV</t>
  </si>
  <si>
    <t>LatLng(lat: 1.0470508, lng: 103.9574074)</t>
  </si>
  <si>
    <t>SP-24-F0001913</t>
  </si>
  <si>
    <t>MENERIMA SAOTA</t>
  </si>
  <si>
    <t>BP 2405 SQ</t>
  </si>
  <si>
    <t>MH1JM8129PK680562</t>
  </si>
  <si>
    <t>JM81E2680905</t>
  </si>
  <si>
    <t>LatLng(lat: 1.0473639, lng: 103.9565934)</t>
  </si>
  <si>
    <t>SP-25-F0002438</t>
  </si>
  <si>
    <t>BENI ANDIKA</t>
  </si>
  <si>
    <t>BP 6724 CU</t>
  </si>
  <si>
    <t>MH1JMB110RK124793</t>
  </si>
  <si>
    <t>JMB1E1124543</t>
  </si>
  <si>
    <t>LatLng(lat: 1.0473543, lng: 103.9565875)</t>
  </si>
  <si>
    <t>SP-24-F0000646</t>
  </si>
  <si>
    <t>DEWI SARTIKA TAMBA</t>
  </si>
  <si>
    <t>BP 2848 UM</t>
  </si>
  <si>
    <t>MH1JM911XLK370704</t>
  </si>
  <si>
    <t>JM91E1370258</t>
  </si>
  <si>
    <t>LatLng(lat: 1.0471572, lng: 103.9565925)</t>
  </si>
  <si>
    <t>LatLng(lat: 1.052261, lng: 103.9693144)</t>
  </si>
  <si>
    <t>SP-24-F0001703</t>
  </si>
  <si>
    <t>SITI ROHANI</t>
  </si>
  <si>
    <t>BP 2103 OM</t>
  </si>
  <si>
    <t>MH1KF1112FK392927</t>
  </si>
  <si>
    <t>KF11E1403035</t>
  </si>
  <si>
    <t>LatLng(lat: 1.0542673, lng: 103.9732674)</t>
  </si>
  <si>
    <t>SP-25-F0002223</t>
  </si>
  <si>
    <t>BOBY ANGGARA</t>
  </si>
  <si>
    <t>BP 3974 HG</t>
  </si>
  <si>
    <t>MH1JM0318PK226129</t>
  </si>
  <si>
    <t>JM03E1226150</t>
  </si>
  <si>
    <t>LatLng(lat: 1.0456553, lng: 103.964928)</t>
  </si>
  <si>
    <t>SP-25-F0002224</t>
  </si>
  <si>
    <t>SAURIDO MENDROFA</t>
  </si>
  <si>
    <t>BP 3926 UR</t>
  </si>
  <si>
    <t>MH1JM3137LK524073</t>
  </si>
  <si>
    <t>JM31E3521638</t>
  </si>
  <si>
    <t>LatLng(lat: 1.0360336, lng: 103.9975296)</t>
  </si>
  <si>
    <t>LatLng(lat: 1.0573634, lng: 103.976925)</t>
  </si>
  <si>
    <t>SP-25-F0002121</t>
  </si>
  <si>
    <t>ALDI RENDI RAMANDA SIMBOLON</t>
  </si>
  <si>
    <t>BP 3771 RO</t>
  </si>
  <si>
    <t>MH1JM8215NK505096</t>
  </si>
  <si>
    <t>JM82E1503114</t>
  </si>
  <si>
    <t>LatLng(lat: 1.057263, lng: 103.9778212)</t>
  </si>
  <si>
    <t>SP-25-F0000069</t>
  </si>
  <si>
    <t>MULYATI</t>
  </si>
  <si>
    <t>BP 2998 HQ</t>
  </si>
  <si>
    <t>MH1JFU115HK920315</t>
  </si>
  <si>
    <t>JFU1E1923621</t>
  </si>
  <si>
    <t>LatLng(lat: 1.0527518, lng: 103.9653421)</t>
  </si>
  <si>
    <t>OD-25-F0001511</t>
  </si>
  <si>
    <t>WAHYU ZAMAKBAR</t>
  </si>
  <si>
    <t>BP 3992 OR</t>
  </si>
  <si>
    <t>MH1JFZ113HK749030</t>
  </si>
  <si>
    <t>JFZ1E1766668</t>
  </si>
  <si>
    <t>LatLng(lat: 1.1391542, lng: 104.0269549)</t>
  </si>
  <si>
    <t>OD-24-F0002032</t>
  </si>
  <si>
    <t>RATNO STIADI</t>
  </si>
  <si>
    <t>BP 2503 RU</t>
  </si>
  <si>
    <t>MH1JFZ133KK462232</t>
  </si>
  <si>
    <t>JFZ1E3462125</t>
  </si>
  <si>
    <t>LatLng(lat: 1.0536154, lng: 103.9671554)</t>
  </si>
  <si>
    <t>SP-25-F0002387</t>
  </si>
  <si>
    <t>RAHMAT WIJAYA</t>
  </si>
  <si>
    <t>BP 2171 QJ</t>
  </si>
  <si>
    <t>MH1KF1117GK816149</t>
  </si>
  <si>
    <t>KF11E1814218</t>
  </si>
  <si>
    <t>LatLng(lat: 1.0540206, lng: 103.9676173)</t>
  </si>
  <si>
    <t>OD-24-F0002858</t>
  </si>
  <si>
    <t>HERMAN SAPUTRA</t>
  </si>
  <si>
    <t>BP 3350 UU</t>
  </si>
  <si>
    <t>MH1JM9129PK711122</t>
  </si>
  <si>
    <t>JM91E2708932</t>
  </si>
  <si>
    <t>LatLng(lat: 1.0533661, lng: 103.9667305)</t>
  </si>
  <si>
    <t>LatLng(lat: 1.0534433, lng: 103.9668557)</t>
  </si>
  <si>
    <t>LatLng(lat: 1.0486209, lng: 103.9711455)</t>
  </si>
  <si>
    <t>LatLng(lat: 1.04713, lng: 103.9638767)</t>
  </si>
  <si>
    <t>OD-25-F0001736</t>
  </si>
  <si>
    <t>TARMIZI</t>
  </si>
  <si>
    <t>BP 2838 RD</t>
  </si>
  <si>
    <t>MH1JM9113MK928524</t>
  </si>
  <si>
    <t>JM91E1928035</t>
  </si>
  <si>
    <t>LatLng(lat: 1.0474195, lng: 103.9402752)</t>
  </si>
  <si>
    <t>SP-25-F0002350</t>
  </si>
  <si>
    <t>WENDRI JULIADI</t>
  </si>
  <si>
    <t>BP 5799 CG</t>
  </si>
  <si>
    <t>MH1JM0415PK634229</t>
  </si>
  <si>
    <t>JM04E1634225</t>
  </si>
  <si>
    <t>LatLng(lat: 1.0468733, lng: 103.9648967)</t>
  </si>
  <si>
    <t>LatLng(lat: 1.0485489, lng: 103.939315)</t>
  </si>
  <si>
    <t>SP-25-F0000550</t>
  </si>
  <si>
    <t>RONALTI YUHANDA</t>
  </si>
  <si>
    <t>BP 2381 FR</t>
  </si>
  <si>
    <t>MH1JFZ127HK172849</t>
  </si>
  <si>
    <t>JFZ1E2179012</t>
  </si>
  <si>
    <t>LatLng(lat: 1.0492001, lng: 103.9396623)</t>
  </si>
  <si>
    <t>SP-25-F0000181</t>
  </si>
  <si>
    <t>AFRIZAL</t>
  </si>
  <si>
    <t>BP 4168 CI</t>
  </si>
  <si>
    <t>MH1JMB117PK096147</t>
  </si>
  <si>
    <t>JMB1E1096092</t>
  </si>
  <si>
    <t>LatLng(lat: 1.1020691, lng: 104.0340843)</t>
  </si>
  <si>
    <t>OD-25-F0000774</t>
  </si>
  <si>
    <t>MAT HALIL</t>
  </si>
  <si>
    <t>BP 2054 RQ</t>
  </si>
  <si>
    <t>MH1JMA115NK035810</t>
  </si>
  <si>
    <t>JMA1E1035720</t>
  </si>
  <si>
    <t>LatLng(lat: 1.0485056, lng: 103.9387248)</t>
  </si>
  <si>
    <t>SP-25-F0000220</t>
  </si>
  <si>
    <t>DWI WIDODO</t>
  </si>
  <si>
    <t>BP 3489 HO</t>
  </si>
  <si>
    <t>MH1JM2121JK075746</t>
  </si>
  <si>
    <t>JM21E2054575</t>
  </si>
  <si>
    <t>LatLng(lat: 1.0488598, lng: 103.9385071)</t>
  </si>
  <si>
    <t>OD-25-F0001320</t>
  </si>
  <si>
    <t>TEGUH RIANTO</t>
  </si>
  <si>
    <t>BP 6548 HE</t>
  </si>
  <si>
    <t>MH8DL11AZJJ154984</t>
  </si>
  <si>
    <t>CGA1ID154968</t>
  </si>
  <si>
    <t>LatLng(lat: 1.048317, lng: 103.9382667)</t>
  </si>
  <si>
    <t>OD-25-F0000009</t>
  </si>
  <si>
    <t>BIMAYU ARIEN PRATAMA</t>
  </si>
  <si>
    <t>BP 4340 QI</t>
  </si>
  <si>
    <t>MH3SG3190JJ079019</t>
  </si>
  <si>
    <t>G3E4E0781134</t>
  </si>
  <si>
    <t>LatLng(lat: 1.0482061, lng: 103.9374189)</t>
  </si>
  <si>
    <t>SP-25-F0001634</t>
  </si>
  <si>
    <t>HENDRI SETYAWAN</t>
  </si>
  <si>
    <t>BP 2945 SO</t>
  </si>
  <si>
    <t>MH1JM8120PK769582</t>
  </si>
  <si>
    <t>JM81E2774191</t>
  </si>
  <si>
    <t>LatLng(lat: 1.1254624, lng: 104.0270032)</t>
  </si>
  <si>
    <t>OD-25-F0000458</t>
  </si>
  <si>
    <t>BP 3914 UH</t>
  </si>
  <si>
    <t>MH1KF4111KK731205</t>
  </si>
  <si>
    <t>KF41E1733895</t>
  </si>
  <si>
    <t>LatLng(lat: 1.0415314, lng: 103.9873288)</t>
  </si>
  <si>
    <t>SP-24-F0001686</t>
  </si>
  <si>
    <t>EMI DAMANIK</t>
  </si>
  <si>
    <t>BP 2495 RQ</t>
  </si>
  <si>
    <t>MH1JM8129NK018011</t>
  </si>
  <si>
    <t>JM81E2019666</t>
  </si>
  <si>
    <t>LatLng(lat: 1.125492, lng: 104.0269049)</t>
  </si>
  <si>
    <t>OD-25-F0000451</t>
  </si>
  <si>
    <t>MARTA YONA</t>
  </si>
  <si>
    <t>BP 3104 RF</t>
  </si>
  <si>
    <t>MH1JM9116MK995473</t>
  </si>
  <si>
    <t>JM91E1995179</t>
  </si>
  <si>
    <t>LatLng(lat: 1.0436717, lng: 103.9809617)</t>
  </si>
  <si>
    <t>LatLng(lat: 1.0541174, lng: 103.9861952)</t>
  </si>
  <si>
    <t>SP-25-F0002123</t>
  </si>
  <si>
    <t>NURASIAH SITORUS</t>
  </si>
  <si>
    <t>BP 4135 AH</t>
  </si>
  <si>
    <t>MH3SG5620MJ325546</t>
  </si>
  <si>
    <t>G3L8E0602004</t>
  </si>
  <si>
    <t>NMAX NEW</t>
  </si>
  <si>
    <t>LatLng(lat: 1.0478681, lng: 104.2398101)</t>
  </si>
  <si>
    <t>SK-KD-24-00273</t>
  </si>
  <si>
    <t>LatLng(lat: 1.0448136, lng: 103.9598938)</t>
  </si>
  <si>
    <t>OD-25-F0001104</t>
  </si>
  <si>
    <t>SISWANDI GEA</t>
  </si>
  <si>
    <t>BP 3810 IU</t>
  </si>
  <si>
    <t>MH1JM821XLK024791</t>
  </si>
  <si>
    <t>JM82E1024724</t>
  </si>
  <si>
    <t>LatLng(lat: 1.0502415, lng: 103.9687254)</t>
  </si>
  <si>
    <t>SP-24-F0002105</t>
  </si>
  <si>
    <t>MARTINA BUNGA</t>
  </si>
  <si>
    <t>BP 3360 CR</t>
  </si>
  <si>
    <t>MH1JM8216NK636635</t>
  </si>
  <si>
    <t>JM82E1634725</t>
  </si>
  <si>
    <t>LatLng(lat: 1.0418483, lng: 103.9592233)</t>
  </si>
  <si>
    <t>OD-24-F0001177</t>
  </si>
  <si>
    <t>GARVASILUS JUNIANNUS BOLI TOKAN</t>
  </si>
  <si>
    <t>BP 4521 AJ</t>
  </si>
  <si>
    <t>MH3SEG720NJ036807</t>
  </si>
  <si>
    <t>E32XE0053510</t>
  </si>
  <si>
    <t>LatLng(lat: 1.0412511, lng: 103.9900345)</t>
  </si>
  <si>
    <t>LatLng(lat: 0.9068189, lng: 104.4993278)</t>
  </si>
  <si>
    <t>TP-25-F0000514</t>
  </si>
  <si>
    <t>NANANG YULIANTO</t>
  </si>
  <si>
    <t>BP 2956 QB</t>
  </si>
  <si>
    <t>MH1JFZ11XHK678621</t>
  </si>
  <si>
    <t>JFZ1E1697271</t>
  </si>
  <si>
    <t>LatLng(lat: 0.9154462, lng: 104.493858)</t>
  </si>
  <si>
    <t>OD-25-F0001832</t>
  </si>
  <si>
    <t>HUSNAN HADIP</t>
  </si>
  <si>
    <t>BP 2302 HR</t>
  </si>
  <si>
    <t>MH1JM4116JK136446</t>
  </si>
  <si>
    <t>JM41E1137334</t>
  </si>
  <si>
    <t>LatLng(lat: 1.0525442, lng: 103.9713131)</t>
  </si>
  <si>
    <t>OD-24-F0002526</t>
  </si>
  <si>
    <t>BP 3738 U</t>
  </si>
  <si>
    <t>MH1JM8124PK268694</t>
  </si>
  <si>
    <t>JM81E2269937</t>
  </si>
  <si>
    <t>LatLng(lat: 0.9038679, lng: 104.5071562)</t>
  </si>
  <si>
    <t>TP-24-F0000665</t>
  </si>
  <si>
    <t>SALAMUN</t>
  </si>
  <si>
    <t>BP 2342 UB</t>
  </si>
  <si>
    <t>MH1JM6114KK002189</t>
  </si>
  <si>
    <t>JM61E10022283</t>
  </si>
  <si>
    <t>LatLng(lat: 0.9168341, lng: 104.5039882)</t>
  </si>
  <si>
    <t>TP-24-F0000826</t>
  </si>
  <si>
    <t>ALI AMIN NASUTION</t>
  </si>
  <si>
    <t>BP 3266 PS</t>
  </si>
  <si>
    <t>MH1KFA117PK185533</t>
  </si>
  <si>
    <t>KFA1E1185648</t>
  </si>
  <si>
    <t>LatLng(lat: 1.0500983, lng: 103.9737183)</t>
  </si>
  <si>
    <t>SP-25-F0001861</t>
  </si>
  <si>
    <t>FRIANTO SINURAT</t>
  </si>
  <si>
    <t>BP 3680 RS</t>
  </si>
  <si>
    <t>MH1JM8218PK932338</t>
  </si>
  <si>
    <t>JM82E1931859</t>
  </si>
  <si>
    <t>LatLng(lat: 1.0492466, lng: 103.9780734)</t>
  </si>
  <si>
    <t>SP-25-F0002000</t>
  </si>
  <si>
    <t>JANET MARUDUT SIAHAAN</t>
  </si>
  <si>
    <t>BP 4207 CU</t>
  </si>
  <si>
    <t>MH3RG4760RK070904</t>
  </si>
  <si>
    <t>G3S7E0087732</t>
  </si>
  <si>
    <t>LatLng(lat: 1.0558561, lng: 103.9818979)</t>
  </si>
  <si>
    <t>OD-24-F0001889</t>
  </si>
  <si>
    <t>SITI AISYAH</t>
  </si>
  <si>
    <t>BP 2217 RA</t>
  </si>
  <si>
    <t>MH1JM9120NK324973</t>
  </si>
  <si>
    <t>JM91E2323117</t>
  </si>
  <si>
    <t>LatLng(lat: 1.0546953, lng: 103.9864324)</t>
  </si>
  <si>
    <t>OD-25-F0001851</t>
  </si>
  <si>
    <t>SYAIFUDDIANSYAH</t>
  </si>
  <si>
    <t>BP 5319 HJ</t>
  </si>
  <si>
    <t>MH1JM0313RK723463</t>
  </si>
  <si>
    <t>JM03E1724478</t>
  </si>
  <si>
    <t>LatLng(lat: 1.0549387, lng: 103.9868292)</t>
  </si>
  <si>
    <t>LatLng(lat: 0.9153997, lng: 104.4939483)</t>
  </si>
  <si>
    <t>OD-24-F0002784</t>
  </si>
  <si>
    <t>ANWAR</t>
  </si>
  <si>
    <t>BP 3612 HI</t>
  </si>
  <si>
    <t>MH1KF4111JK050265</t>
  </si>
  <si>
    <t>KF41E1050964</t>
  </si>
  <si>
    <t>LatLng(lat: 1.0500233, lng: 103.9866717)</t>
  </si>
  <si>
    <t>LatLng(lat: 1.0492599, lng: 103.9868394)</t>
  </si>
  <si>
    <t>LatLng(lat: 1.0551875, lng: 103.9886464)</t>
  </si>
  <si>
    <t>LatLng(lat: 1.040332, lng: 103.9911756)</t>
  </si>
  <si>
    <t>OD-25-F0001349</t>
  </si>
  <si>
    <t>MA`RIFAI</t>
  </si>
  <si>
    <t>BP 4305 HI</t>
  </si>
  <si>
    <t>MH1JMF11XRK075674</t>
  </si>
  <si>
    <t>JMF1E1075873</t>
  </si>
  <si>
    <t>LatLng(lat: 1.0411992, lng: 103.9812973)</t>
  </si>
  <si>
    <t>SP-24-F0000722</t>
  </si>
  <si>
    <t>JULEO INDRI VANESSA</t>
  </si>
  <si>
    <t>BP 3410 HI</t>
  </si>
  <si>
    <t>MH1KC0212JK009045</t>
  </si>
  <si>
    <t>KC02E1008899</t>
  </si>
  <si>
    <t>LatLng(lat: 1.0524657, lng: 103.9702499)</t>
  </si>
  <si>
    <t>LatLng(lat: 1.0518541, lng: 103.9514941)</t>
  </si>
  <si>
    <t>OD-24-F0002144</t>
  </si>
  <si>
    <t>SUGITO</t>
  </si>
  <si>
    <t>BP 3238 UR</t>
  </si>
  <si>
    <t>MH1JM3137LK483248</t>
  </si>
  <si>
    <t>JM31E3478443</t>
  </si>
  <si>
    <t>LatLng(lat: 1.0622617, lng: 103.9302383)</t>
  </si>
  <si>
    <t>OD-24-F0002638</t>
  </si>
  <si>
    <t>ERICK ROMARIO TUAPETEL</t>
  </si>
  <si>
    <t>BP 2599 AF</t>
  </si>
  <si>
    <t>MH1JFZ215KK520872</t>
  </si>
  <si>
    <t>JFZ2E1520869</t>
  </si>
  <si>
    <t>LatLng(lat: 1.0463667, lng: 103.9689456)</t>
  </si>
  <si>
    <t>OD-24-F0000124</t>
  </si>
  <si>
    <t>AGUS SHARONI</t>
  </si>
  <si>
    <t>BP 5813 IH</t>
  </si>
  <si>
    <t>MH33C1205CK043115</t>
  </si>
  <si>
    <t>3C11041029</t>
  </si>
  <si>
    <t>LatLng(lat: 1.0328073, lng: 103.9761491)</t>
  </si>
  <si>
    <t>SP-24-F0001419</t>
  </si>
  <si>
    <t>SRI WAHYUNI</t>
  </si>
  <si>
    <t>BP 2616 J</t>
  </si>
  <si>
    <t>MH1JM0217MK343245</t>
  </si>
  <si>
    <t>JM02E1343278</t>
  </si>
  <si>
    <t>LatLng(lat: 0.9095528, lng: 104.4959592)</t>
  </si>
  <si>
    <t>TP-24-F0000120</t>
  </si>
  <si>
    <t>SUSWANDI</t>
  </si>
  <si>
    <t>BP 4518 PB</t>
  </si>
  <si>
    <t>MH3SG3190KJ442031</t>
  </si>
  <si>
    <t>G3E4E1271180</t>
  </si>
  <si>
    <t>ABU - ABU</t>
  </si>
  <si>
    <t>LatLng(lat: 0.9065301, lng: 104.5000296)</t>
  </si>
  <si>
    <t>TP-25-F0000339</t>
  </si>
  <si>
    <t>MARDIANA</t>
  </si>
  <si>
    <t>BP 2440 PC</t>
  </si>
  <si>
    <t>MH1JFZ219KK682830</t>
  </si>
  <si>
    <t>JFZ2E1681501</t>
  </si>
  <si>
    <t>LatLng(lat: 0.9168559, lng: 104.5085766)</t>
  </si>
  <si>
    <t>TP-24-F0000546</t>
  </si>
  <si>
    <t>NINGSIH</t>
  </si>
  <si>
    <t>BP 3546 PC</t>
  </si>
  <si>
    <t>MH1JM3138LK205362</t>
  </si>
  <si>
    <t>JM31E3200648</t>
  </si>
  <si>
    <t>LatLng(lat: 1.0524357, lng: 103.9716926)</t>
  </si>
  <si>
    <t>LatLng(lat: 1.1024803, lng: 104.0596847)</t>
  </si>
  <si>
    <t>SP-25-F0001029</t>
  </si>
  <si>
    <t>DELLA SAFITRI</t>
  </si>
  <si>
    <t>BP 3722 HJ</t>
  </si>
  <si>
    <t>MH1JFZ124JK584698</t>
  </si>
  <si>
    <t>JFZ1E2590233</t>
  </si>
  <si>
    <t>LatLng(lat: 1.0263508, lng: 103.9589081)</t>
  </si>
  <si>
    <t>LatLng(lat: 1.0474828, lng: 103.9630329)</t>
  </si>
  <si>
    <t>LatLng(lat: 1.0475568, lng: 103.9644749)</t>
  </si>
  <si>
    <t>LatLng(lat: 1.0476898, lng: 103.9633009)</t>
  </si>
  <si>
    <t>LatLng(lat: 1.0640651, lng: 103.9166456)</t>
  </si>
  <si>
    <t>SP-24-F0001479</t>
  </si>
  <si>
    <t>IRVAN HERIANTO HARAHAP</t>
  </si>
  <si>
    <t>BP 3844 UU</t>
  </si>
  <si>
    <t>MH1JM8215PK741542</t>
  </si>
  <si>
    <t>JM82E1739452</t>
  </si>
  <si>
    <t>LatLng(lat: 1.044063, lng: 103.9810719)</t>
  </si>
  <si>
    <t>LatLng(lat: 1.0445874, lng: 104.0533592)</t>
  </si>
  <si>
    <t>OD-25-F0001006</t>
  </si>
  <si>
    <t>MULYANA</t>
  </si>
  <si>
    <t>BP 2365 QR</t>
  </si>
  <si>
    <t>MH1JFV118HK571737</t>
  </si>
  <si>
    <t>JFV1E1575750</t>
  </si>
  <si>
    <t>LatLng(lat: 0.913095, lng: 104.4888717)</t>
  </si>
  <si>
    <t>TP-25-F0000318</t>
  </si>
  <si>
    <t>EFRI SAPUTRA</t>
  </si>
  <si>
    <t>BP 2532 PC</t>
  </si>
  <si>
    <t>MH1JM3133KK169952</t>
  </si>
  <si>
    <t>JM31E3165277</t>
  </si>
  <si>
    <t>LatLng(lat: 1.0433928, lng: 103.9794843)</t>
  </si>
  <si>
    <t>SP-25-F0002206</t>
  </si>
  <si>
    <t>LUIS ARIP PARWANTO</t>
  </si>
  <si>
    <t>BP 2365 AF</t>
  </si>
  <si>
    <t>MH1JM212XKK331884</t>
  </si>
  <si>
    <t>JM21E2308948</t>
  </si>
  <si>
    <t>LatLng(lat: 1.0365123, lng: 103.9742282)</t>
  </si>
  <si>
    <t>LatLng(lat: 0.9291272, lng: 104.4422585)</t>
  </si>
  <si>
    <t>SP-24-F0001377</t>
  </si>
  <si>
    <t>GUSTI AMAPAL</t>
  </si>
  <si>
    <t>BP 3127 AR</t>
  </si>
  <si>
    <t>MH1JFZ126HK205775</t>
  </si>
  <si>
    <t>JFZ1E2213026</t>
  </si>
  <si>
    <t>LatLng(lat: 1.0433854, lng: 103.9794679)</t>
  </si>
  <si>
    <t>LatLng(lat: 1.0491674, lng: 103.954071)</t>
  </si>
  <si>
    <t>LatLng(lat: 1.0480208, lng: 103.9545622)</t>
  </si>
  <si>
    <t>OD-24-F0002860</t>
  </si>
  <si>
    <t>RANGGA SAPUTRA</t>
  </si>
  <si>
    <t>BP 3613 HM</t>
  </si>
  <si>
    <t>MH1JM1113JK835144</t>
  </si>
  <si>
    <t>JM11E1818196</t>
  </si>
  <si>
    <t>LatLng(lat: 1.0471153, lng: 103.9566399)</t>
  </si>
  <si>
    <t>LatLng(lat: 1.0524223, lng: 103.970659)</t>
  </si>
  <si>
    <t>LatLng(lat: 1.0473871, lng: 103.9567784)</t>
  </si>
  <si>
    <t>LatLng(lat: 1.0527848, lng: 103.9688947)</t>
  </si>
  <si>
    <t>SP-24-F0001423</t>
  </si>
  <si>
    <t>PARDI PANGGABEAN</t>
  </si>
  <si>
    <t>BP 2977 RH</t>
  </si>
  <si>
    <t>MH1JM0116NK525926</t>
  </si>
  <si>
    <t>JM01E1524697</t>
  </si>
  <si>
    <t>LatLng(lat: 1.0518837, lng: 103.9518999)</t>
  </si>
  <si>
    <t>OD-24-F0002814</t>
  </si>
  <si>
    <t>RICO RICARDO</t>
  </si>
  <si>
    <t>BP 3886 MU</t>
  </si>
  <si>
    <t>MH1KF4122MK176745</t>
  </si>
  <si>
    <t>KF41E2180440</t>
  </si>
  <si>
    <t>LatLng(lat: 1.047513, lng: 103.9547368)</t>
  </si>
  <si>
    <t>LatLng(lat: 1.0440099, lng: 103.9812303)</t>
  </si>
  <si>
    <t>LatLng(lat: 1.0451733, lng: 103.968945)</t>
  </si>
  <si>
    <t>SP-25-F0001019</t>
  </si>
  <si>
    <t>SARAWEDYI SIMANJUNTAK</t>
  </si>
  <si>
    <t>BP 3086 CC</t>
  </si>
  <si>
    <t>MH1JM8120PK351247</t>
  </si>
  <si>
    <t>JM81E2352638</t>
  </si>
  <si>
    <t>LatLng(lat: 1.0479098, lng: 103.9380712)</t>
  </si>
  <si>
    <t>SP-24-F0002802</t>
  </si>
  <si>
    <t>JOVAN FRIANDI SIREGAR</t>
  </si>
  <si>
    <t>BP 3236 RF</t>
  </si>
  <si>
    <t>MH1KCD219MK011497</t>
  </si>
  <si>
    <t>KCD2E1011454</t>
  </si>
  <si>
    <t>LatLng(lat: 1.0490643, lng: 103.9607748)</t>
  </si>
  <si>
    <t>OD-25-F0001937</t>
  </si>
  <si>
    <t>HARDIANSYAH LUBIS</t>
  </si>
  <si>
    <t>BP 3811 CM</t>
  </si>
  <si>
    <t>MH1KB1113JK153620</t>
  </si>
  <si>
    <t>KB11E1153288</t>
  </si>
  <si>
    <t>LatLng(lat: 1.0482584, lng: 103.9383856)</t>
  </si>
  <si>
    <t>LatLng(lat: 1.0463897, lng: 103.9584519)</t>
  </si>
  <si>
    <t>SP-25-F0001690</t>
  </si>
  <si>
    <t>DARWIS</t>
  </si>
  <si>
    <t>BP 5219 QA</t>
  </si>
  <si>
    <t>MH3SE8890GJ147276</t>
  </si>
  <si>
    <t>E3R2E1150142</t>
  </si>
  <si>
    <t>MIO Z</t>
  </si>
  <si>
    <t>LatLng(lat: 1.0490567, lng: 103.953925)</t>
  </si>
  <si>
    <t>SP-24-F0000896</t>
  </si>
  <si>
    <t>KANISIUS DAMAN</t>
  </si>
  <si>
    <t>BP 2874 QG</t>
  </si>
  <si>
    <t>MH1JFP214GK295243</t>
  </si>
  <si>
    <t>JFP2E1294936</t>
  </si>
  <si>
    <t>LatLng(lat: 1.0480988, lng: 103.9392455)</t>
  </si>
  <si>
    <t>OD-24-F0002397</t>
  </si>
  <si>
    <t>BP 3704 UE</t>
  </si>
  <si>
    <t>MH1KCA215MK100952</t>
  </si>
  <si>
    <t>KCA2E1096518</t>
  </si>
  <si>
    <t>LatLng(lat: 1.0467783, lng: 103.9602633)</t>
  </si>
  <si>
    <t>SP-25-F0002624</t>
  </si>
  <si>
    <t>SHOLIHIN BURHANUDIN</t>
  </si>
  <si>
    <t>BP 6369 GR</t>
  </si>
  <si>
    <t>MH1JFZ211KK741787</t>
  </si>
  <si>
    <t>JFZ2E1740636</t>
  </si>
  <si>
    <t>LatLng(lat: 1.0533926, lng: 103.9666829)</t>
  </si>
  <si>
    <t>SP-25-F0001487</t>
  </si>
  <si>
    <t>AKBAR</t>
  </si>
  <si>
    <t>BP 3739 OJ</t>
  </si>
  <si>
    <t>MH1JFP110FK980985</t>
  </si>
  <si>
    <t>JFP1E1988075</t>
  </si>
  <si>
    <t>LatLng(lat: 1.0536125, lng: 103.967127)</t>
  </si>
  <si>
    <t>OD-25-F0000832</t>
  </si>
  <si>
    <t>HAMZAH SUHAR ZINO HSB</t>
  </si>
  <si>
    <t>BP 5273 OA</t>
  </si>
  <si>
    <t>MH1JMG117RK156203</t>
  </si>
  <si>
    <t>JMG1E1156310</t>
  </si>
  <si>
    <t>LatLng(lat: 1.0493231, lng: 103.9572018)</t>
  </si>
  <si>
    <t>LatLng(lat: 1.0538367, lng: 103.96735)</t>
  </si>
  <si>
    <t>LatLng(lat: 1.0487459, lng: 103.9515621)</t>
  </si>
  <si>
    <t>LatLng(lat: 1.0498706, lng: 103.9509448)</t>
  </si>
  <si>
    <t>LatLng(lat: 1.0486139, lng: 103.9482667)</t>
  </si>
  <si>
    <t>SP-25-F0001574</t>
  </si>
  <si>
    <t>YUDI KARIYONO</t>
  </si>
  <si>
    <t>BP 3997 RD</t>
  </si>
  <si>
    <t>MH1JM8113MK816686</t>
  </si>
  <si>
    <t>JM81E1818845</t>
  </si>
  <si>
    <t>LatLng(lat: 1.0448312, lng: 103.9501345)</t>
  </si>
  <si>
    <t>LatLng(lat: 1.0480497, lng: 103.9417199)</t>
  </si>
  <si>
    <t>LatLng(lat: 1.0432884, lng: 103.9374208)</t>
  </si>
  <si>
    <t>SP-25-F0001752</t>
  </si>
  <si>
    <t>YOHANES NIPA</t>
  </si>
  <si>
    <t>BP 2185 J</t>
  </si>
  <si>
    <t>MH1JM8112MK637958</t>
  </si>
  <si>
    <t>JM81E1639817</t>
  </si>
  <si>
    <t>LatLng(lat: 1.0454883, lng: 103.937205)</t>
  </si>
  <si>
    <t>SP-25-F0000846</t>
  </si>
  <si>
    <t>MEGA MUSTIKA</t>
  </si>
  <si>
    <t>BP 2694 AA</t>
  </si>
  <si>
    <t>MH1JM8120PK302288</t>
  </si>
  <si>
    <t>JM81E2303380</t>
  </si>
  <si>
    <t>LatLng(lat: 1.0453752, lng: 103.9375356)</t>
  </si>
  <si>
    <t>LatLng(lat: 1.0470365, lng: 103.9364299)</t>
  </si>
  <si>
    <t>SP-25-F0000344</t>
  </si>
  <si>
    <t>JEFRINALDI</t>
  </si>
  <si>
    <t>BP 4934 IU</t>
  </si>
  <si>
    <t>MH1JM041XRK842738</t>
  </si>
  <si>
    <t>JM04E1842749</t>
  </si>
  <si>
    <t>LatLng(lat: 1.0476973, lng: 103.935443)</t>
  </si>
  <si>
    <t>LatLng(lat: 1.04771, lng: 103.9356317)</t>
  </si>
  <si>
    <t>LatLng(lat: 1.047385, lng: 103.9660217)</t>
  </si>
  <si>
    <t>OD-25-F0001697</t>
  </si>
  <si>
    <t>AFIQ HIDAYATULLAH SUHADI</t>
  </si>
  <si>
    <t>BP 3027 RJ</t>
  </si>
  <si>
    <t>MH1JM512XNK110775</t>
  </si>
  <si>
    <t>JM51E2109792</t>
  </si>
  <si>
    <t>LatLng(lat: 1.0349, lng: 103.92683)</t>
  </si>
  <si>
    <t>SP-25-F0002264</t>
  </si>
  <si>
    <t>SEPRINO</t>
  </si>
  <si>
    <t>BP 3353 UF</t>
  </si>
  <si>
    <t>MH1KF4119KK822335</t>
  </si>
  <si>
    <t>KF41E1824822</t>
  </si>
  <si>
    <t>LatLng(lat: 1.0346593, lng: 103.9269007)</t>
  </si>
  <si>
    <t>LatLng(lat: 1.0482284, lng: 103.9333652)</t>
  </si>
  <si>
    <t>OD-25-F0001354</t>
  </si>
  <si>
    <t>ALBERTUS BAI</t>
  </si>
  <si>
    <t>BP 4542 QF</t>
  </si>
  <si>
    <t>MH3SG3120HK316891</t>
  </si>
  <si>
    <t>G3E4E0446932</t>
  </si>
  <si>
    <t>LatLng(lat: 1.1687893, lng: 104.0099483)</t>
  </si>
  <si>
    <t>SP-25-F0002046</t>
  </si>
  <si>
    <t>SULAIMAN GUNTUR</t>
  </si>
  <si>
    <t>BP 4267 AO</t>
  </si>
  <si>
    <t>MH3SE88H0NJ422815</t>
  </si>
  <si>
    <t>E3R2E3264413</t>
  </si>
  <si>
    <t>LatLng(lat: 1.0472773, lng: 103.9314444)</t>
  </si>
  <si>
    <t>OD-24-F0002614</t>
  </si>
  <si>
    <t>AHMAD BACOK</t>
  </si>
  <si>
    <t>BP 4468 QQ</t>
  </si>
  <si>
    <t>MH3SE88H0KJ058831</t>
  </si>
  <si>
    <t>E3R2E2327427</t>
  </si>
  <si>
    <t>MIO</t>
  </si>
  <si>
    <t>LatLng(lat: 1.0261067, lng: 103.9257725)</t>
  </si>
  <si>
    <t>OD-25-F0001206</t>
  </si>
  <si>
    <t>MUHAMMAD MUSABILILAH</t>
  </si>
  <si>
    <t>BP 5114 CU</t>
  </si>
  <si>
    <t>MH1JM8228RK130402</t>
  </si>
  <si>
    <t>JM82E2131175</t>
  </si>
  <si>
    <t>LatLng(lat: 1.0377264, lng: 103.9266283)</t>
  </si>
  <si>
    <t>LatLng(lat: 1.0462782, lng: 103.93008)</t>
  </si>
  <si>
    <t>OD-24-F0003585</t>
  </si>
  <si>
    <t>MARIO VIKTORIUS NEHE</t>
  </si>
  <si>
    <t>BP 5739 JR</t>
  </si>
  <si>
    <t>MH31PA004EK767322</t>
  </si>
  <si>
    <t>1PA766852</t>
  </si>
  <si>
    <t>LatLng(lat: 1.0492077, lng: 103.9437325)</t>
  </si>
  <si>
    <t>LatLng(lat: 1.036643, lng: 103.9563599)</t>
  </si>
  <si>
    <t>LatLng(lat: 1.0361013, lng: 103.956056)</t>
  </si>
  <si>
    <t>SP-24-F0001740</t>
  </si>
  <si>
    <t>SUNANTO SE</t>
  </si>
  <si>
    <t>BP 2705 UJ</t>
  </si>
  <si>
    <t>MH1JBN114MK201987</t>
  </si>
  <si>
    <t>JBN1E1202017</t>
  </si>
  <si>
    <t>LatLng(lat: 1.0261177, lng: 103.9257477)</t>
  </si>
  <si>
    <t>SP-24-F0002630</t>
  </si>
  <si>
    <t>HAMZAH</t>
  </si>
  <si>
    <t>BP 2661 IG</t>
  </si>
  <si>
    <t>MH1JFD219DK282112</t>
  </si>
  <si>
    <t>JFD2E1281075</t>
  </si>
  <si>
    <t>LatLng(lat: 1.1433601, lng: 104.0201887)</t>
  </si>
  <si>
    <t>OD-25-F0001280</t>
  </si>
  <si>
    <t>ADI PUTRA</t>
  </si>
  <si>
    <t>BP 4161 QF</t>
  </si>
  <si>
    <t>MH3RG4110HK039037</t>
  </si>
  <si>
    <t>G3H2E0039017</t>
  </si>
  <si>
    <t>R15 V2</t>
  </si>
  <si>
    <t>LatLng(lat: 1.0261402, lng: 103.9256804)</t>
  </si>
  <si>
    <t>OD-25-F0000551</t>
  </si>
  <si>
    <t>RONALD HUTASOIT</t>
  </si>
  <si>
    <t>BP 5296 AI</t>
  </si>
  <si>
    <t>MH3RG4710MK157571</t>
  </si>
  <si>
    <t>G3J6E0327365</t>
  </si>
  <si>
    <t>LatLng(lat: 1.026485, lng: 103.9255386)</t>
  </si>
  <si>
    <t>LatLng(lat: 1.026215, lng: 103.9256935)</t>
  </si>
  <si>
    <t>LatLng(lat: 1.0269294, lng: 103.9588632)</t>
  </si>
  <si>
    <t>LatLng(lat: 0.9108777, lng: 104.4930538)</t>
  </si>
  <si>
    <t>TP-25-F0000651</t>
  </si>
  <si>
    <t>ANDI KURNIAWAN</t>
  </si>
  <si>
    <t>BP 2913 WR</t>
  </si>
  <si>
    <t>MH1JFD114DK056772</t>
  </si>
  <si>
    <t>JFD1E1056800</t>
  </si>
  <si>
    <t>LatLng(lat: 0.9108496, lng: 104.493054)</t>
  </si>
  <si>
    <t>TP-25-F0000719</t>
  </si>
  <si>
    <t>RIKY SAPUTRA</t>
  </si>
  <si>
    <t>BP 5724 TD</t>
  </si>
  <si>
    <t>MH1KF7116RK847706</t>
  </si>
  <si>
    <t>KF71E1847803</t>
  </si>
  <si>
    <t>LatLng(lat: 1.0455017, lng: 103.9373283)</t>
  </si>
  <si>
    <t>LatLng(lat: 1.0454717, lng: 103.9370367)</t>
  </si>
  <si>
    <t>OD-25-F0000043</t>
  </si>
  <si>
    <t>ROSMADI</t>
  </si>
  <si>
    <t>BP 5490 JI</t>
  </si>
  <si>
    <t>MH32BJ001DJ119694</t>
  </si>
  <si>
    <t>2BJ119711</t>
  </si>
  <si>
    <t>MIO GT</t>
  </si>
  <si>
    <t>LatLng(lat: 1.046135, lng: 103.929605)</t>
  </si>
  <si>
    <t>LatLng(lat: 1.0390128, lng: 103.9376007)</t>
  </si>
  <si>
    <t>OD-24-F0003055</t>
  </si>
  <si>
    <t>SUYETNO</t>
  </si>
  <si>
    <t>BP 4528 AU</t>
  </si>
  <si>
    <t>MH1JME115RK040325</t>
  </si>
  <si>
    <t>JME1E040059</t>
  </si>
  <si>
    <t>LatLng(lat: 0.849807, lng: 104.6096899)</t>
  </si>
  <si>
    <t>TP-25-F0000641</t>
  </si>
  <si>
    <t>YUSNEDI</t>
  </si>
  <si>
    <t>BP 5438 CT</t>
  </si>
  <si>
    <t>MH3SE88D0JJ127805</t>
  </si>
  <si>
    <t>E3R2E2250760</t>
  </si>
  <si>
    <t>LatLng(lat: 0.9116257, lng: 104.493402)</t>
  </si>
  <si>
    <t>TP-25-F0000714</t>
  </si>
  <si>
    <t>ELITA SETIAWATI</t>
  </si>
  <si>
    <t>BP 2868 UB</t>
  </si>
  <si>
    <t>MH1KF411XKK742509</t>
  </si>
  <si>
    <t>KF41E1745199</t>
  </si>
  <si>
    <t>LatLng(lat: 1.070599, lng: 104.0252581)</t>
  </si>
  <si>
    <t>OD-25-F0001082</t>
  </si>
  <si>
    <t>NORDIN</t>
  </si>
  <si>
    <t>BP 3104 AI</t>
  </si>
  <si>
    <t>MH1JM1120KK202658</t>
  </si>
  <si>
    <t>JM11E2184889</t>
  </si>
  <si>
    <t>LatLng(lat: 1.0407147, lng: 103.9875069)</t>
  </si>
  <si>
    <t>SP-25-F0002635</t>
  </si>
  <si>
    <t>MIRAJIAH</t>
  </si>
  <si>
    <t>BP 2752 AF</t>
  </si>
  <si>
    <t>MH1JFZ132KK158227</t>
  </si>
  <si>
    <t>JFZ1E3157429</t>
  </si>
  <si>
    <t>LatLng(lat: 0.9289584, lng: 104.4423725)</t>
  </si>
  <si>
    <t>SP-25-F0000667</t>
  </si>
  <si>
    <t>RISKA JOHARA</t>
  </si>
  <si>
    <t>BP 3387 UP</t>
  </si>
  <si>
    <t>MH1JM8213PK904706</t>
  </si>
  <si>
    <t>JM82E1904212</t>
  </si>
  <si>
    <t>LatLng(lat: 1.0464765, lng: 103.9407234)</t>
  </si>
  <si>
    <t>OD-24-F0001483</t>
  </si>
  <si>
    <t>HENAR SETIYANINGSIH</t>
  </si>
  <si>
    <t>BP 5080 QD</t>
  </si>
  <si>
    <t>MH3UG0710GK166296</t>
  </si>
  <si>
    <t>G3E6E0231261</t>
  </si>
  <si>
    <t>LatLng(lat: 0.9135052, lng: 104.4916908)</t>
  </si>
  <si>
    <t>TP-25-F0000443</t>
  </si>
  <si>
    <t>HENDRIK PRIYONO</t>
  </si>
  <si>
    <t>BP 4928 WR</t>
  </si>
  <si>
    <t>MH3SE8860GJ049753</t>
  </si>
  <si>
    <t>E3R2E1210521</t>
  </si>
  <si>
    <t>LatLng(lat: 1.0460765, lng: 103.9600223)</t>
  </si>
  <si>
    <t>LatLng(lat: 1.0499565, lng: 103.9474783)</t>
  </si>
  <si>
    <t>SP-25-F0001806</t>
  </si>
  <si>
    <t>ANDI CAHYONO</t>
  </si>
  <si>
    <t>BP 2956 P</t>
  </si>
  <si>
    <t>MH1JM9138PK421639</t>
  </si>
  <si>
    <t>JM91E3416735</t>
  </si>
  <si>
    <t>LatLng(lat: 1.040066, lng: 103.9265684)</t>
  </si>
  <si>
    <t>OD-24-F0003484</t>
  </si>
  <si>
    <t>SYAMSUN YUSUF</t>
  </si>
  <si>
    <t>BP 4684 AC</t>
  </si>
  <si>
    <t>MH3SE88H0KJ080283</t>
  </si>
  <si>
    <t>E3R2E2381977</t>
  </si>
  <si>
    <t>MIO 125</t>
  </si>
  <si>
    <t>LatLng(lat: 1.0261343, lng: 103.9258291)</t>
  </si>
  <si>
    <t>SP-25-F0002408</t>
  </si>
  <si>
    <t>INDRA HANA PRATAMA</t>
  </si>
  <si>
    <t>BP 2403 QU</t>
  </si>
  <si>
    <t>MH1JM9116LK098412</t>
  </si>
  <si>
    <t>JM91E1100464</t>
  </si>
  <si>
    <t>LatLng(lat: 1.0440426, lng: 103.9805593)</t>
  </si>
  <si>
    <t>LatLng(lat: 1.043415, lng: 104.004545)</t>
  </si>
  <si>
    <t>OD-24-F0002152</t>
  </si>
  <si>
    <t>BAGUS SOFAN BARORI</t>
  </si>
  <si>
    <t>BP 6765 CA</t>
  </si>
  <si>
    <t>MH1JM8127RK883999</t>
  </si>
  <si>
    <t>JM81E2885597</t>
  </si>
  <si>
    <t>LatLng(lat: 1.0421809, lng: 103.9909121)</t>
  </si>
  <si>
    <t>OD-25-F0000923</t>
  </si>
  <si>
    <t>DIKI ZULKIFLI</t>
  </si>
  <si>
    <t>BP 6722 GO</t>
  </si>
  <si>
    <t>MH8DL11AZGJ102554</t>
  </si>
  <si>
    <t>CGA1ID101920</t>
  </si>
  <si>
    <t>LatLng(lat: 1.043518, lng: 103.9790192)</t>
  </si>
  <si>
    <t>SP-24-F0001061</t>
  </si>
  <si>
    <t>ICANG DHANY FANDELA</t>
  </si>
  <si>
    <t>BP 3881 UD</t>
  </si>
  <si>
    <t>MH1KF411XKK830685</t>
  </si>
  <si>
    <t>KF41E1833675</t>
  </si>
  <si>
    <t>VARIO KEYLESS</t>
  </si>
  <si>
    <t>LatLng(lat: 1.0560178, lng: 103.9403577)</t>
  </si>
  <si>
    <t>OD-24-F0003204</t>
  </si>
  <si>
    <t>SURATNO</t>
  </si>
  <si>
    <t>BP 2852 IC</t>
  </si>
  <si>
    <t>MH1JFZ114HK710527</t>
  </si>
  <si>
    <t>JFZ1E1728303</t>
  </si>
  <si>
    <t>LatLng(lat: 1.04872, lng: 103.9533186)</t>
  </si>
  <si>
    <t>SP-23-F0002203</t>
  </si>
  <si>
    <t>SERNITA SILALAHI</t>
  </si>
  <si>
    <t>BP 2218 MJ</t>
  </si>
  <si>
    <t>MH1JFK110EK226230</t>
  </si>
  <si>
    <t>JFK1E1226100</t>
  </si>
  <si>
    <t>LatLng(lat: 1.0278029, lng: 104.0573482)</t>
  </si>
  <si>
    <t>OD-24-F0003122</t>
  </si>
  <si>
    <t>BUDIONO</t>
  </si>
  <si>
    <t>BP 2865 CH</t>
  </si>
  <si>
    <t>MH1JM8126NK164608</t>
  </si>
  <si>
    <t>JM81E2164452</t>
  </si>
  <si>
    <t>LatLng(lat: 1.0379769, lng: 104.0839066)</t>
  </si>
  <si>
    <t>SP-25-F0001302</t>
  </si>
  <si>
    <t>HETA VIPINASA</t>
  </si>
  <si>
    <t>BP 2580 UM</t>
  </si>
  <si>
    <t>MH1JM8111LK164763</t>
  </si>
  <si>
    <t>JM81E1165672</t>
  </si>
  <si>
    <t>LatLng(lat: 1.0272002, lng: 104.0588307)</t>
  </si>
  <si>
    <t>SP-24-F0000352</t>
  </si>
  <si>
    <t>MAKHDUM ILMI DIANDRI</t>
  </si>
  <si>
    <t>BP 2490 UD</t>
  </si>
  <si>
    <t>MH1JFZ136KK558369</t>
  </si>
  <si>
    <t>JFZ1E3558294</t>
  </si>
  <si>
    <t>LatLng(lat: 1.048485, lng: 103.9534283)</t>
  </si>
  <si>
    <t>SP-25-F0002171</t>
  </si>
  <si>
    <t>LIA YOLANDA</t>
  </si>
  <si>
    <t>BP 3328 HR</t>
  </si>
  <si>
    <t>MH1JFZ124JK746278</t>
  </si>
  <si>
    <t>JFZ1E2748495</t>
  </si>
  <si>
    <t>LatLng(lat: 1.0485434, lng: 103.9533944)</t>
  </si>
  <si>
    <t>LatLng(lat: 1.038141, lng: 104.0845175)</t>
  </si>
  <si>
    <t>SP-24-F0002385</t>
  </si>
  <si>
    <t>DANIEL SIMANJUNTAK</t>
  </si>
  <si>
    <t>BP 5779 AM</t>
  </si>
  <si>
    <t>MH3SEG710NJ171221</t>
  </si>
  <si>
    <t>E32WE0219426</t>
  </si>
  <si>
    <t>LatLng(lat: 1.0395143, lng: 104.0806014)</t>
  </si>
  <si>
    <t>SP-25-F0001974</t>
  </si>
  <si>
    <t>HERMAN PANJAITAN</t>
  </si>
  <si>
    <t>BP 5505 AO</t>
  </si>
  <si>
    <t>MH3RG4760PK051474</t>
  </si>
  <si>
    <t>G3S7E0049658</t>
  </si>
  <si>
    <t>LatLng(lat: 1.0487265, lng: 103.9532851)</t>
  </si>
  <si>
    <t>SP-25-F0001446</t>
  </si>
  <si>
    <t>BP 4014 CD</t>
  </si>
  <si>
    <t>MH1JFD223EK931266</t>
  </si>
  <si>
    <t>JFD2E2927390</t>
  </si>
  <si>
    <t>LatLng(lat: 1.0480487, lng: 103.9537631)</t>
  </si>
  <si>
    <t>SP-25-F0001695</t>
  </si>
  <si>
    <t>NADAB ABIHU ALOUKOLI</t>
  </si>
  <si>
    <t>BP 4946 AC</t>
  </si>
  <si>
    <t>MH3RG4610JK105469</t>
  </si>
  <si>
    <t>G3E7E0483164</t>
  </si>
  <si>
    <t>LatLng(lat: 1.0480412, lng: 103.9540495)</t>
  </si>
  <si>
    <t>SP-25-F0002528</t>
  </si>
  <si>
    <t>SUGIONO</t>
  </si>
  <si>
    <t>BP 5479 UO</t>
  </si>
  <si>
    <t>MH1JM9135RK673206</t>
  </si>
  <si>
    <t>JM91E3668654</t>
  </si>
  <si>
    <t>LatLng(lat: 1.0485077, lng: 103.953503)</t>
  </si>
  <si>
    <t>LatLng(lat: 1.0710269, lng: 104.1177098)</t>
  </si>
  <si>
    <t>OD-24-F0001953</t>
  </si>
  <si>
    <t>BP 4116 AF</t>
  </si>
  <si>
    <t>MH3SE88H0LJ182550</t>
  </si>
  <si>
    <t>E3R2E2685153</t>
  </si>
  <si>
    <t>LatLng(lat: 1.071067, lng: 104.1174951)</t>
  </si>
  <si>
    <t>LatLng(lat: 1.0376466, lng: 104.0738825)</t>
  </si>
  <si>
    <t>SP-25-F0000549</t>
  </si>
  <si>
    <t>NURI</t>
  </si>
  <si>
    <t>BP 4361 AF</t>
  </si>
  <si>
    <t>MH3SG5620LJ007863</t>
  </si>
  <si>
    <t>G3L8E0007973</t>
  </si>
  <si>
    <t>LatLng(lat: 1.0486617, lng: 103.9533183)</t>
  </si>
  <si>
    <t>LatLng(lat: 1.0383647, lng: 104.0719288)</t>
  </si>
  <si>
    <t>SP-24-F0002267</t>
  </si>
  <si>
    <t>BOY CHRISTIAN PAKPAHAN</t>
  </si>
  <si>
    <t>BP 3514 UI</t>
  </si>
  <si>
    <t>MH1JM0111MK354257</t>
  </si>
  <si>
    <t>JM01E1353278</t>
  </si>
  <si>
    <t>LatLng(lat: 1.0519732, lng: 104.0085044)</t>
  </si>
  <si>
    <t>SP-24-F0001467</t>
  </si>
  <si>
    <t>WAHYU NUR ZUBAIDAH</t>
  </si>
  <si>
    <t>BP 5991 HF</t>
  </si>
  <si>
    <t>MH3SE88H0PJ536535</t>
  </si>
  <si>
    <t>E3R2E3184360</t>
  </si>
  <si>
    <t>LatLng(lat: 1.1306435, lng: 104.0516851)</t>
  </si>
  <si>
    <t>OD-25-F0000753</t>
  </si>
  <si>
    <t>HADIYANSAH NUROHMAN</t>
  </si>
  <si>
    <t>BP 4188 AD</t>
  </si>
  <si>
    <t>MH3SG3190KJ438306</t>
  </si>
  <si>
    <t>G3E4E1266115</t>
  </si>
  <si>
    <t>LatLng(lat: 1.0429306, lng: 103.9522873)</t>
  </si>
  <si>
    <t>LatLng(lat: 1.0420583, lng: 103.95259)</t>
  </si>
  <si>
    <t>LatLng(lat: 1.0380633, lng: 103.95372)</t>
  </si>
  <si>
    <t>SP-25-F0001725</t>
  </si>
  <si>
    <t>SYAFRIADI</t>
  </si>
  <si>
    <t>BP 2097 UE</t>
  </si>
  <si>
    <t>MH1JM8216MK178528</t>
  </si>
  <si>
    <t>JM82E1176545</t>
  </si>
  <si>
    <t>LatLng(lat: 1.062838, lng: 104.114173)</t>
  </si>
  <si>
    <t>SP-25-F0002587</t>
  </si>
  <si>
    <t>SYAFARUDDIN</t>
  </si>
  <si>
    <t>BP 4061 QM</t>
  </si>
  <si>
    <t>MH3RG4610HK045030</t>
  </si>
  <si>
    <t>G3E7E0422916</t>
  </si>
  <si>
    <t>VIXION ADV GP</t>
  </si>
  <si>
    <t>LatLng(lat: 1.0294567, lng: 103.9590017)</t>
  </si>
  <si>
    <t>LatLng(lat: 1.0277067, lng: 103.9589867)</t>
  </si>
  <si>
    <t>LatLng(lat: 1.0284657, lng: 104.061998)</t>
  </si>
  <si>
    <t>SP-25-F0001139</t>
  </si>
  <si>
    <t>TAUFIK JUNAWAN</t>
  </si>
  <si>
    <t>BP 2448 QS</t>
  </si>
  <si>
    <t>MH1JM8211PK949272</t>
  </si>
  <si>
    <t>JM82E1948800</t>
  </si>
  <si>
    <t>LatLng(lat: 1.0643767, lng: 104.0354567)</t>
  </si>
  <si>
    <t>OD-25-F0001123</t>
  </si>
  <si>
    <t>DELFI MEGA RUMAPEA</t>
  </si>
  <si>
    <t>BP 2026 UF</t>
  </si>
  <si>
    <t>MH1JM0312PK345844</t>
  </si>
  <si>
    <t>JM03E1345450</t>
  </si>
  <si>
    <t>LatLng(lat: 1.056305, lng: 104.0105)</t>
  </si>
  <si>
    <t>SP-25-F0000424</t>
  </si>
  <si>
    <t>HUSNUL HIDAYAT</t>
  </si>
  <si>
    <t>BP 3318 SO</t>
  </si>
  <si>
    <t>MH1JMD111PK396519</t>
  </si>
  <si>
    <t>JMD1E1396734</t>
  </si>
  <si>
    <t>LatLng(lat: 1.0485343193160523, lng: 103.95341422408819)</t>
  </si>
  <si>
    <t>LatLng(lat: 1.0397721, lng: 103.9964281)</t>
  </si>
  <si>
    <t>OD-25-F0001874</t>
  </si>
  <si>
    <t>JONNI PARDOMUAN SIHOMBING</t>
  </si>
  <si>
    <t>BP 3061 CR</t>
  </si>
  <si>
    <t>MH1JM8124NK049733</t>
  </si>
  <si>
    <t>JM81E2051523</t>
  </si>
  <si>
    <t>LatLng(lat: 1.0425832, lng: 103.9898675)</t>
  </si>
  <si>
    <t>LatLng(lat: 1.0330999, lng: 103.9707057)</t>
  </si>
  <si>
    <t>LatLng(lat: 1.0438545, lng: 104.0048768)</t>
  </si>
  <si>
    <t>11.RIMPUN</t>
  </si>
  <si>
    <t>LatLng(lat: 1.0412561, lng: 103.9901087)</t>
  </si>
  <si>
    <t>908a2117-9e59-4ec5-981c-f44c8e53d59f</t>
  </si>
  <si>
    <t>LatLng(lat: 1.0333414, lng: 103.9946945)</t>
  </si>
  <si>
    <t>SP-25-F0001917</t>
  </si>
  <si>
    <t>RICKY HERMANTO</t>
  </si>
  <si>
    <t>BP 2506 AC</t>
  </si>
  <si>
    <t>MH1JM9121NK397172</t>
  </si>
  <si>
    <t>JM91E2395550</t>
  </si>
  <si>
    <t>Paul Aritonang</t>
  </si>
  <si>
    <t>LatLng(lat: 1.043368, lng: 103.9793865)</t>
  </si>
  <si>
    <t>SP-24-F0002168</t>
  </si>
  <si>
    <t>DEDEH NURHAYATI</t>
  </si>
  <si>
    <t>BP 2996 MU</t>
  </si>
  <si>
    <t>MH1JM0112MK087386</t>
  </si>
  <si>
    <t>JM01E1086021</t>
  </si>
  <si>
    <t>LatLng(lat: 1.04749, lng: 103.9649183)</t>
  </si>
  <si>
    <t>LatLng(lat: 1.0475483, lng: 103.963835)</t>
  </si>
  <si>
    <t>LatLng(lat: 1.0447083, lng: 103.9544007)</t>
  </si>
  <si>
    <t>LatLng(lat: 1.0485661, lng: 103.9534716)</t>
  </si>
  <si>
    <t>LatLng(lat: 1.048075, lng: 103.9541712)</t>
  </si>
  <si>
    <t>OD-24-F0003504</t>
  </si>
  <si>
    <t>WAHYU PANJI UTAMA SITORUS</t>
  </si>
  <si>
    <t>BP 4876 OC</t>
  </si>
  <si>
    <t>MH31PA004EK597422</t>
  </si>
  <si>
    <t>1PA595290</t>
  </si>
  <si>
    <t>LatLng(lat: 1.047278, lng: 103.9548256)</t>
  </si>
  <si>
    <t>LatLng(lat: 1.0485363, lng: 103.953464)</t>
  </si>
  <si>
    <t>SP-25-F0000311</t>
  </si>
  <si>
    <t>DIDIMUS KOTEN</t>
  </si>
  <si>
    <t>BP 5747 QG</t>
  </si>
  <si>
    <t>MH3UG0710HK201230</t>
  </si>
  <si>
    <t>G3E6E0285066</t>
  </si>
  <si>
    <t>LatLng(lat: 1.0483768, lng: 103.9535343)</t>
  </si>
  <si>
    <t>LatLng(lat: 1.0487147, lng: 103.9532207)</t>
  </si>
  <si>
    <t>LatLng(lat: 1.0485695, lng: 103.9538109)</t>
  </si>
  <si>
    <t>LatLng(lat: 1.0417135, lng: 103.9887433)</t>
  </si>
  <si>
    <t>SP-25-F0000767</t>
  </si>
  <si>
    <t>FUJA ANALISA</t>
  </si>
  <si>
    <t>BP 3407 UG</t>
  </si>
  <si>
    <t>MH1JM021XMK214495</t>
  </si>
  <si>
    <t>JM02E1214999</t>
  </si>
  <si>
    <t>LatLng(lat: 1.0418382, lng: 103.9886434)</t>
  </si>
  <si>
    <t>SP-25-F0000099</t>
  </si>
  <si>
    <t>TRIYONO</t>
  </si>
  <si>
    <t>BP 3396 UD</t>
  </si>
  <si>
    <t>MH1JM1121KK383415</t>
  </si>
  <si>
    <t>JM11E2365226</t>
  </si>
  <si>
    <t>LatLng(lat: 1.0465307, lng: 103.9467299)</t>
  </si>
  <si>
    <t>SP-25-F0001125</t>
  </si>
  <si>
    <t>HERY JUNIANTO</t>
  </si>
  <si>
    <t>BP 3224 O</t>
  </si>
  <si>
    <t>MH1JM0213MK178908</t>
  </si>
  <si>
    <t>JM02E1179085</t>
  </si>
  <si>
    <t>LatLng(lat: 1.0417744, lng: 103.9886859)</t>
  </si>
  <si>
    <t>SP-25-F0001262</t>
  </si>
  <si>
    <t>DEDDY PUTRA</t>
  </si>
  <si>
    <t>BP 3988 RD</t>
  </si>
  <si>
    <t>MH1JM0219MK533502</t>
  </si>
  <si>
    <t>JM02E1533680</t>
  </si>
  <si>
    <t>776aec09-4bd9-4191-a74b-53a47f4274b5</t>
  </si>
  <si>
    <t>LatLng(lat: 1.045045045045045, lng: 103.98125965006132)</t>
  </si>
  <si>
    <t>SP-25-F0001901</t>
  </si>
  <si>
    <t>FAUZI MAULANA</t>
  </si>
  <si>
    <t>BP 6972 UA</t>
  </si>
  <si>
    <t>MH1JMB113RK157285</t>
  </si>
  <si>
    <t>JMB1E1156829</t>
  </si>
  <si>
    <t>Mutia CSDM</t>
  </si>
  <si>
    <t>LatLng(lat: 1.0433432835460006, lng: 103.97936493872956)</t>
  </si>
  <si>
    <t>SP-23-F0000279</t>
  </si>
  <si>
    <t>BP 4497 QA</t>
  </si>
  <si>
    <t>MH3SE8860GJ018111</t>
  </si>
  <si>
    <t>E3R2E1119187</t>
  </si>
  <si>
    <t>LatLng(lat: 0.9371283, lng: 104.514075)</t>
  </si>
  <si>
    <t>TP-24-F0000059</t>
  </si>
  <si>
    <t>SULIANA</t>
  </si>
  <si>
    <t>BP 2843 PO</t>
  </si>
  <si>
    <t>MH1JMA118NK006690</t>
  </si>
  <si>
    <t>JMA1E1006570</t>
  </si>
  <si>
    <t>LatLng(lat: 0.9282734, lng: 104.5176298)</t>
  </si>
  <si>
    <t>OD-24-F0003392</t>
  </si>
  <si>
    <t>PERIS ABDULLAH</t>
  </si>
  <si>
    <t>BP 3750 SU</t>
  </si>
  <si>
    <t>MH1JM8211PK973085</t>
  </si>
  <si>
    <t>JM82E1972584</t>
  </si>
  <si>
    <t>LatLng(lat: 1.035437, lng: 103.9573888)</t>
  </si>
  <si>
    <t>SP-25-F0001884</t>
  </si>
  <si>
    <t>FAHRIZAL</t>
  </si>
  <si>
    <t>BP 6165 JJ</t>
  </si>
  <si>
    <t>MH1JMG111SK285057</t>
  </si>
  <si>
    <t>JMG1E1285165</t>
  </si>
  <si>
    <t>LatLng(lat: 1.0339258, lng: 103.9587307)</t>
  </si>
  <si>
    <t>SP-25-F0001986</t>
  </si>
  <si>
    <t>ROSNAWATI</t>
  </si>
  <si>
    <t>BP 2145 MU</t>
  </si>
  <si>
    <t>MH1JM011XLK006665</t>
  </si>
  <si>
    <t>JM01E1006763</t>
  </si>
  <si>
    <t>LatLng(lat: 1.0313222, lng: 103.9588936)</t>
  </si>
  <si>
    <t>OD-24-F0003244</t>
  </si>
  <si>
    <t>DIAN MARTONO HASIBUAN</t>
  </si>
  <si>
    <t>BP 3087 AE</t>
  </si>
  <si>
    <t>MH1KCA217KK041478</t>
  </si>
  <si>
    <t>KCA2E1038860</t>
  </si>
  <si>
    <t>CR 150</t>
  </si>
  <si>
    <t>LatLng(lat: 0.9210757, lng: 104.509986)</t>
  </si>
  <si>
    <t>TP-24-F0000720</t>
  </si>
  <si>
    <t>REZA NOVALINA</t>
  </si>
  <si>
    <t>BP 4479 CT</t>
  </si>
  <si>
    <t>MH3SE88D0JJ078199</t>
  </si>
  <si>
    <t>E3R2E2012292</t>
  </si>
  <si>
    <t>LatLng(lat: 0.9209904, lng: 104.5100524)</t>
  </si>
  <si>
    <t>TP-24-F0000178</t>
  </si>
  <si>
    <t>HENDRI</t>
  </si>
  <si>
    <t>BP 2547 PB</t>
  </si>
  <si>
    <t>MH1KF112XJK491786</t>
  </si>
  <si>
    <t>KF11E2485228</t>
  </si>
  <si>
    <t>LatLng(lat: 1.0569017, lng: 103.944855)</t>
  </si>
  <si>
    <t>LatLng(lat: 1.0285923, lng: 103.9607226)</t>
  </si>
  <si>
    <t>LatLng(lat: 1.0285801, lng: 103.9607398)</t>
  </si>
  <si>
    <t>LatLng(lat: 1.06524, lng: 103.9418967)</t>
  </si>
  <si>
    <t>SP-23-F0001942</t>
  </si>
  <si>
    <t>BUHAL SIAHAAN</t>
  </si>
  <si>
    <t>BP 5578 AI</t>
  </si>
  <si>
    <t>MH3SE88H0MJ279119</t>
  </si>
  <si>
    <t>E3R2E2928156</t>
  </si>
  <si>
    <t>LatLng(lat: 1.0561803, lng: 103.9491221)</t>
  </si>
  <si>
    <t>LatLng(lat: 1.05922, lng: 103.9186287)</t>
  </si>
  <si>
    <t>OD-25-F0001303</t>
  </si>
  <si>
    <t>AGUNG PRATAMA</t>
  </si>
  <si>
    <t>BP 3082 JH</t>
  </si>
  <si>
    <t>MH1JFD224DK229777</t>
  </si>
  <si>
    <t>JFD2E2225107</t>
  </si>
  <si>
    <t>LatLng(lat: 1.0589444, lng: 103.9189872)</t>
  </si>
  <si>
    <t>LatLng(lat: 1.0588747, lng: 103.9188712)</t>
  </si>
  <si>
    <t>OD-24-F0000918</t>
  </si>
  <si>
    <t>MUSLIMIN</t>
  </si>
  <si>
    <t>BP 5996 QH</t>
  </si>
  <si>
    <t>MH3SG3120HK482750</t>
  </si>
  <si>
    <t>G3E4E0665257</t>
  </si>
  <si>
    <t>SP-25-F0002673</t>
  </si>
  <si>
    <t>HAMZALIR</t>
  </si>
  <si>
    <t>BP 3309 AH</t>
  </si>
  <si>
    <t>MH1JM3124KK611600</t>
  </si>
  <si>
    <t>JM31E2606715</t>
  </si>
  <si>
    <t>OD-25-F0001920</t>
  </si>
  <si>
    <t>ANDIKA SALEHUDIN</t>
  </si>
  <si>
    <t>BP 4213 GR</t>
  </si>
  <si>
    <t>MH33C1205EK200755</t>
  </si>
  <si>
    <t>3C11200471</t>
  </si>
  <si>
    <t>LatLng(lat: 1.0590564, lng: 103.9187378)</t>
  </si>
  <si>
    <t>SP-25-F0000962</t>
  </si>
  <si>
    <t>MARKIANAM</t>
  </si>
  <si>
    <t>BP 3892 UH</t>
  </si>
  <si>
    <t>MH1JM3139KK003855</t>
  </si>
  <si>
    <t>JM31E2999323</t>
  </si>
  <si>
    <t>LatLng(lat: 1.059081, lng: 103.9185091)</t>
  </si>
  <si>
    <t>OD-25-F0001452</t>
  </si>
  <si>
    <t>DINA INDRIANI</t>
  </si>
  <si>
    <t>BP 6979 JE</t>
  </si>
  <si>
    <t>MH1JMF212RK255570</t>
  </si>
  <si>
    <t>JMF2E1255819</t>
  </si>
  <si>
    <t>BEAT DELUX</t>
  </si>
  <si>
    <t>LatLng(lat: 1.0557867, lng: 103.9504083)</t>
  </si>
  <si>
    <t>LatLng(lat: 1.0588937, lng: 103.9187892)</t>
  </si>
  <si>
    <t>OD-24-F0002618</t>
  </si>
  <si>
    <t>HENDRA JULIATMA ADI PUTRA</t>
  </si>
  <si>
    <t>BP 3436 QG</t>
  </si>
  <si>
    <t>MH1KC8215GK045447</t>
  </si>
  <si>
    <t>KC82E1045170</t>
  </si>
  <si>
    <t>CB150R</t>
  </si>
  <si>
    <t>PUTIH-MERAH</t>
  </si>
  <si>
    <t>LatLng(lat: 1.056945, lng: 103.9498067)</t>
  </si>
  <si>
    <t>LatLng(lat: 1.0588891, lng: 103.9188025)</t>
  </si>
  <si>
    <t>LatLng(lat: 1.0566956, lng: 103.9479743)</t>
  </si>
  <si>
    <t>SP-25-F0002611</t>
  </si>
  <si>
    <t>DHANA PERDANA TANJUNG</t>
  </si>
  <si>
    <t>BP 5600 RH</t>
  </si>
  <si>
    <t>MH1KCC115RK015324</t>
  </si>
  <si>
    <t>KCC1E1015238</t>
  </si>
  <si>
    <t>CBR 150 ABS</t>
  </si>
  <si>
    <t>LatLng(lat: 1.059095, lng: 103.9185667)</t>
  </si>
  <si>
    <t>SP-25-F0001413</t>
  </si>
  <si>
    <t>IKE NURSAFITRI</t>
  </si>
  <si>
    <t>BP 2032 AU</t>
  </si>
  <si>
    <t>MH1JM5116LK614129</t>
  </si>
  <si>
    <t>JM51E1613862</t>
  </si>
  <si>
    <t>LatLng(lat: 1.0591209, lng: 103.9189407)</t>
  </si>
  <si>
    <t>SP-25-F0001222</t>
  </si>
  <si>
    <t>RIAN MAHADI</t>
  </si>
  <si>
    <t>BP 2271 OI</t>
  </si>
  <si>
    <t>MH1KF111XFK373896</t>
  </si>
  <si>
    <t>KF11E1380031</t>
  </si>
  <si>
    <t>LatLng(lat: 0.9124542, lng: 104.532873)</t>
  </si>
  <si>
    <t>TP-23-F0000455</t>
  </si>
  <si>
    <t>DIAN APRIYANI LUMBAN TOBING</t>
  </si>
  <si>
    <t>BP 3771 PB</t>
  </si>
  <si>
    <t>MH1JM3129JK094535</t>
  </si>
  <si>
    <t>JM31E2090786</t>
  </si>
  <si>
    <t>LatLng(lat: 1.0597907, lng: 103.9466394)</t>
  </si>
  <si>
    <t>LatLng(lat: 1.0593823, lng: 103.9185407)</t>
  </si>
  <si>
    <t>SP-25-F0001810</t>
  </si>
  <si>
    <t>HINDRI SUSANTI</t>
  </si>
  <si>
    <t>BP 5044 QG</t>
  </si>
  <si>
    <t>MH3SE8860HJ158505</t>
  </si>
  <si>
    <t>E3R2E1586576</t>
  </si>
  <si>
    <t>LatLng(lat: 1.058853, lng: 103.9187603)</t>
  </si>
  <si>
    <t>OD-25-F0001241</t>
  </si>
  <si>
    <t>ELAN</t>
  </si>
  <si>
    <t>BP 6602 HO</t>
  </si>
  <si>
    <t>MH1JMF114RK033968</t>
  </si>
  <si>
    <t>JMF1E1034166</t>
  </si>
  <si>
    <t>BAET FI</t>
  </si>
  <si>
    <t>LatLng(lat: 0.8984915, lng: 104.5762258)</t>
  </si>
  <si>
    <t>LatLng(lat: 1.0593949, lng: 103.9184685)</t>
  </si>
  <si>
    <t>SP-25-F0002153</t>
  </si>
  <si>
    <t>RUDI ASWANDI</t>
  </si>
  <si>
    <t>BP 2600 FH</t>
  </si>
  <si>
    <t>MH1JM812XPK536826</t>
  </si>
  <si>
    <t>JM81E2538127</t>
  </si>
  <si>
    <t>LatLng(lat: 1.0589603, lng: 103.9188816)</t>
  </si>
  <si>
    <t>LatLng(lat: 1.0588817, lng: 103.9185883)</t>
  </si>
  <si>
    <t>OD-24-F0000603</t>
  </si>
  <si>
    <t>ROSITA</t>
  </si>
  <si>
    <t>BP 5420 QM</t>
  </si>
  <si>
    <t>MH3SG3190JK367902</t>
  </si>
  <si>
    <t>G3E4E1172836</t>
  </si>
  <si>
    <t>SP-25-F0002022</t>
  </si>
  <si>
    <t>ADELBERT PAIMA PANGIHUTAN SIHOMBING</t>
  </si>
  <si>
    <t>BP 2088 QU</t>
  </si>
  <si>
    <t>MH1KCA21XLK085928</t>
  </si>
  <si>
    <t>KCA2E1081360</t>
  </si>
  <si>
    <t>OD-24-F0003441</t>
  </si>
  <si>
    <t>RANDES ANSELMUS SILAEN</t>
  </si>
  <si>
    <t>BP 3379 RP</t>
  </si>
  <si>
    <t>MH1JMD110PK253951</t>
  </si>
  <si>
    <t>JMD1E1254168</t>
  </si>
  <si>
    <t>OD-24-F0001485</t>
  </si>
  <si>
    <t>LEO RENCUS SIHOMBING</t>
  </si>
  <si>
    <t>BP 5520 QG</t>
  </si>
  <si>
    <t>MH3RG4610HK020842</t>
  </si>
  <si>
    <t>G3E7E0398652</t>
  </si>
  <si>
    <t>LatLng(lat: 0.8940337, lng: 104.574725)</t>
  </si>
  <si>
    <t>TP-25-F0000029</t>
  </si>
  <si>
    <t>SUNARTI</t>
  </si>
  <si>
    <t>BP 2577 JB</t>
  </si>
  <si>
    <t>MH1JM3138LK440702</t>
  </si>
  <si>
    <t>JM31E3432991</t>
  </si>
  <si>
    <t>MERAH - HITAM</t>
  </si>
  <si>
    <t>Count of no_perjanjian</t>
  </si>
  <si>
    <t>Column Labels</t>
  </si>
  <si>
    <t>Row Labels</t>
  </si>
  <si>
    <t>Grand Total</t>
  </si>
  <si>
    <t>LatLng(lat: 1.0442667, lng: 103.9788783)</t>
  </si>
  <si>
    <t>LatLng(lat: 1.0451639, lng: 103.9736122)</t>
  </si>
  <si>
    <t>LatLng(lat: 1.1246105191911475, lng: 104.04821134576345)</t>
  </si>
  <si>
    <t>LatLng(lat: 1.047627, lng: 103.9634461)</t>
  </si>
  <si>
    <t>LatLng(lat: 0.9163069, lng: 104.4842365)</t>
  </si>
  <si>
    <t>LatLng(lat: 1.0320805, lng: 103.9505782)</t>
  </si>
  <si>
    <t>LatLng(lat: 1.056515, lng: 103.941604)</t>
  </si>
  <si>
    <t>LatLng(lat: 1.0543095, lng: 103.941191)</t>
  </si>
  <si>
    <t>LatLng(lat: 1.054483, lng: 103.9400847)</t>
  </si>
  <si>
    <t>LatLng(lat: 1.0541911, lng: 103.9407669)</t>
  </si>
  <si>
    <t>LatLng(lat: 1.0568032, lng: 103.9409561)</t>
  </si>
  <si>
    <t>LatLng(lat: 1.0571391, lng: 103.9410372)</t>
  </si>
  <si>
    <t>LatLng(lat: 1.0570983, lng: 103.9411317)</t>
  </si>
  <si>
    <t>LatLng(lat: 1.0574017, lng: 103.939855)</t>
  </si>
  <si>
    <t>LatLng(lat: 1.0588817, lng: 103.9370183)</t>
  </si>
  <si>
    <t>LatLng(lat: 1.0546111, lng: 103.9728528)</t>
  </si>
  <si>
    <t>LatLng(lat: 1.0549491, lng: 103.971812)</t>
  </si>
  <si>
    <t>LatLng(lat: 1.0550213, lng: 103.9719802)</t>
  </si>
  <si>
    <t>LatLng(lat: 1.0500214, lng: 103.9430607)</t>
  </si>
  <si>
    <t>LatLng(lat: 1.040313, lng: 103.9986228)</t>
  </si>
  <si>
    <t>LatLng(lat: 1.0506156, lng: 103.9418646)</t>
  </si>
  <si>
    <t>LatLng(lat: 1.0327683, lng: 104.0023817)</t>
  </si>
  <si>
    <t>LatLng(lat: 1.0434805, lng: 103.9794373)</t>
  </si>
  <si>
    <t>LatLng(lat: 1.05396, lng: 103.986852)</t>
  </si>
  <si>
    <t>LatLng(lat: 1.0677505, lng: 104.0261458)</t>
  </si>
  <si>
    <t>LatLng(lat: 1.043355378709497, lng: 103.97936992177132)</t>
  </si>
  <si>
    <t>LatLng(lat: 1.0433462789863233, lng: 103.97936463829845)</t>
  </si>
  <si>
    <t>LatLng(lat: 1.1780542, lng: 104.0205384)</t>
  </si>
  <si>
    <t>LatLng(lat: 1.0311575, lng: 104.0066068)</t>
  </si>
  <si>
    <t>LatLng(lat: 1.1265367, lng: 104.0992117)</t>
  </si>
  <si>
    <t>LatLng(lat: 1.0403536, lng: 103.9877224)</t>
  </si>
  <si>
    <t>LatLng(lat: 1.0531679, lng: 103.9513481)</t>
  </si>
  <si>
    <t>LatLng(lat: 1.0461757, lng: 103.9631078)</t>
  </si>
  <si>
    <t>LatLng(lat: 1.0402232, lng: 103.9874312)</t>
  </si>
  <si>
    <t>LatLng(lat: 1.0496088, lng: 103.9679268)</t>
  </si>
  <si>
    <t>LatLng(lat: 0.9091065, lng: 104.4774674)</t>
  </si>
  <si>
    <t>LatLng(lat: 0.9123603, lng: 104.4837052)</t>
  </si>
  <si>
    <t>LatLng(lat: 0.9166911, lng: 104.5085272)</t>
  </si>
  <si>
    <t>LatLng(lat: 1.0369455, lng: 103.9640136)</t>
  </si>
  <si>
    <t>LatLng(lat: 1.0367887, lng: 103.9595191)</t>
  </si>
  <si>
    <t>SP-24-F0001858</t>
  </si>
  <si>
    <t>SP-24-F0002740</t>
  </si>
  <si>
    <t>BT-KD-24-00248</t>
  </si>
  <si>
    <t>SP-24-F0002276</t>
  </si>
  <si>
    <t>OD-25-F0000223</t>
  </si>
  <si>
    <t>SP-25-F0001650</t>
  </si>
  <si>
    <t>SP-25-F0002619</t>
  </si>
  <si>
    <t>SP-25-F0000942</t>
  </si>
  <si>
    <t>OD-24-F0002366</t>
  </si>
  <si>
    <t>SP-25-F0001009</t>
  </si>
  <si>
    <t>OD-25-F0001894</t>
  </si>
  <si>
    <t>SP-25-F0002065</t>
  </si>
  <si>
    <t>SP-25-F0001370</t>
  </si>
  <si>
    <t>OD-25-F0000992</t>
  </si>
  <si>
    <t>OD-25-F0000215</t>
  </si>
  <si>
    <t>SP-25-F0002665</t>
  </si>
  <si>
    <t>SP-25-F0001317</t>
  </si>
  <si>
    <t>SP-25-F0001889</t>
  </si>
  <si>
    <t>OD-25-F0001914</t>
  </si>
  <si>
    <t>OD-25-F0001451</t>
  </si>
  <si>
    <t>SP-25-F0001821</t>
  </si>
  <si>
    <t>TP-24-F0000723</t>
  </si>
  <si>
    <t>TP-25-F0000329</t>
  </si>
  <si>
    <t>BT-KD-24-00340</t>
  </si>
  <si>
    <t>OD-25-F0000487</t>
  </si>
  <si>
    <t>RICCKY SUPARNAS</t>
  </si>
  <si>
    <t>BP 2114 QR</t>
  </si>
  <si>
    <t>MH1JFZ117GK347686</t>
  </si>
  <si>
    <t>JFZ1E1151192</t>
  </si>
  <si>
    <t>FEBRY LISNA NINGSIH</t>
  </si>
  <si>
    <t>BP 4801 QH</t>
  </si>
  <si>
    <t>MH3SEE410HJ013805</t>
  </si>
  <si>
    <t>E3R2E1734642</t>
  </si>
  <si>
    <t>ANDERIAS YERU</t>
  </si>
  <si>
    <t>BP 3077 OD</t>
  </si>
  <si>
    <t>MH1JM8118MK784575</t>
  </si>
  <si>
    <t>JM81E1786599</t>
  </si>
  <si>
    <t>EDVIN HAMARAL</t>
  </si>
  <si>
    <t>BP 3917 CO</t>
  </si>
  <si>
    <t>MH1JM0410NK035803</t>
  </si>
  <si>
    <t>JM04E1037355</t>
  </si>
  <si>
    <t>ROBBY SAPUTRA</t>
  </si>
  <si>
    <t>BP 5923 CF</t>
  </si>
  <si>
    <t>MH1JFM213EK086751</t>
  </si>
  <si>
    <t>JFM2E1080124</t>
  </si>
  <si>
    <t>RIKARDUS TUJUAN WEHALO</t>
  </si>
  <si>
    <t>BP 6515 HH</t>
  </si>
  <si>
    <t>MH8DL23ANKJ150707</t>
  </si>
  <si>
    <t>CGA2ID154169</t>
  </si>
  <si>
    <t>MIRANI SUGRESTI</t>
  </si>
  <si>
    <t>BP 6575 RC</t>
  </si>
  <si>
    <t>MH3SE9040HJ012790</t>
  </si>
  <si>
    <t>E3W9E0016597</t>
  </si>
  <si>
    <t>MIO SOUL</t>
  </si>
  <si>
    <t>JUMAEDIL</t>
  </si>
  <si>
    <t>BP 4858 II</t>
  </si>
  <si>
    <t>MH32PK001EK032210</t>
  </si>
  <si>
    <t>2PK032378</t>
  </si>
  <si>
    <t>DIZE FIRMANDA GINTING</t>
  </si>
  <si>
    <t>BP 3909 IG</t>
  </si>
  <si>
    <t>MH1JFD113DK009426</t>
  </si>
  <si>
    <t>JFD1E1008889</t>
  </si>
  <si>
    <t>BEAT SPOKE</t>
  </si>
  <si>
    <t>DIKY WAHYUDI</t>
  </si>
  <si>
    <t>BP 2240 Q</t>
  </si>
  <si>
    <t>MH1JM8213PK786043</t>
  </si>
  <si>
    <t>JM82E1785443</t>
  </si>
  <si>
    <t>JUNFRIDO LUMBAN TORUAN</t>
  </si>
  <si>
    <t>BP 5246 QO</t>
  </si>
  <si>
    <t>MH3RG4710KK098923</t>
  </si>
  <si>
    <t>G3J6E0183950</t>
  </si>
  <si>
    <t>INDRA GUNAWAN</t>
  </si>
  <si>
    <t>BP 4822 QA</t>
  </si>
  <si>
    <t>MH3RG1810GK286152</t>
  </si>
  <si>
    <t>G3E7E0287781</t>
  </si>
  <si>
    <t>MUTAHARA</t>
  </si>
  <si>
    <t>BP 4987 HR</t>
  </si>
  <si>
    <t>MH1KF0118RK732211</t>
  </si>
  <si>
    <t>KF01E1732021</t>
  </si>
  <si>
    <t>SUPRIADI</t>
  </si>
  <si>
    <t>BP 5285 OM</t>
  </si>
  <si>
    <t>MH3SE8810GJ694391</t>
  </si>
  <si>
    <t>E3R2E0835019</t>
  </si>
  <si>
    <t>YUSNITA BINTI RADIUS</t>
  </si>
  <si>
    <t>BP 3650 QD</t>
  </si>
  <si>
    <t>MH1KF1110GK583831</t>
  </si>
  <si>
    <t>KF11E1584947</t>
  </si>
  <si>
    <t>AHMAD NASUTION</t>
  </si>
  <si>
    <t>BP 2426 RO</t>
  </si>
  <si>
    <t>MH1JMA115NK008154</t>
  </si>
  <si>
    <t>JMA1E1008140</t>
  </si>
  <si>
    <t>HITAM-COKLAT</t>
  </si>
  <si>
    <t>DEDY FAISAL</t>
  </si>
  <si>
    <t>BP 2857 OU</t>
  </si>
  <si>
    <t>MH1JM8113MK563496</t>
  </si>
  <si>
    <t>JM81E1565291</t>
  </si>
  <si>
    <t>JAMSON ARUAN</t>
  </si>
  <si>
    <t>BP 3177 CH</t>
  </si>
  <si>
    <t>MH1KCB114NK034967</t>
  </si>
  <si>
    <t>KCB1E1034979</t>
  </si>
  <si>
    <t>RISA MAYA SARI</t>
  </si>
  <si>
    <t>BP 5615 HG</t>
  </si>
  <si>
    <t>MH1JMF218RK295765</t>
  </si>
  <si>
    <t>JMF2E1295990</t>
  </si>
  <si>
    <t>PATRISIUS ROPI</t>
  </si>
  <si>
    <t>BP 2267 FR</t>
  </si>
  <si>
    <t>MH1KC9112JK167469</t>
  </si>
  <si>
    <t>KC91E1161266</t>
  </si>
  <si>
    <t>EVA PARLINA</t>
  </si>
  <si>
    <t>BP 3950 PS</t>
  </si>
  <si>
    <t>MH1KF0112PK567026</t>
  </si>
  <si>
    <t>KF01E1567096</t>
  </si>
  <si>
    <t>KASWAN RIZAL</t>
  </si>
  <si>
    <t>BP 3529 IT</t>
  </si>
  <si>
    <t>MH1JFW118FK136512</t>
  </si>
  <si>
    <t>JFW1E1131255</t>
  </si>
  <si>
    <t>ZULQARNAIN</t>
  </si>
  <si>
    <t>BP 3103 QG</t>
  </si>
  <si>
    <t>MH1KC9117GK027796</t>
  </si>
  <si>
    <t>KC91E1030267</t>
  </si>
  <si>
    <t>MUHAMMAD SATRYA MULYAWAN</t>
  </si>
  <si>
    <t>BP 3145 OD</t>
  </si>
  <si>
    <t>MH1KD1113MK244580</t>
  </si>
  <si>
    <t>KD11E1243949</t>
  </si>
  <si>
    <t>RIZKI AHMAD REZA LUBIS</t>
  </si>
  <si>
    <t>BP 3783 RR</t>
  </si>
  <si>
    <t>MH1KF411XKK691464</t>
  </si>
  <si>
    <t>KF41E1694149</t>
  </si>
  <si>
    <t>IMELDA PEONI</t>
  </si>
  <si>
    <t>BP 5203 QM</t>
  </si>
  <si>
    <t>MH3SEF310JJ022938</t>
  </si>
  <si>
    <t>E31VE0029211</t>
  </si>
  <si>
    <t>CHAIDIR DANUR D</t>
  </si>
  <si>
    <t>BP 6865 J</t>
  </si>
  <si>
    <t>MH1JMC117SK551447</t>
  </si>
  <si>
    <t>JMC1E1550364</t>
  </si>
  <si>
    <t>ILHAM</t>
  </si>
  <si>
    <t>BP 3450 SB</t>
  </si>
  <si>
    <t>MH1JM0315PK529143</t>
  </si>
  <si>
    <t>JM03E1529251</t>
  </si>
  <si>
    <t>DARMONO WIJI</t>
  </si>
  <si>
    <t>BP 2606 PQ</t>
  </si>
  <si>
    <t>MH1JM8128NK227269</t>
  </si>
  <si>
    <t>JM81E2228870</t>
  </si>
  <si>
    <t>SLAMAT</t>
  </si>
  <si>
    <t>BP 4564 PB</t>
  </si>
  <si>
    <t>MH3SG3190KK422824</t>
  </si>
  <si>
    <t>G3E4E1245631</t>
  </si>
  <si>
    <t>OD-24-F0003014</t>
  </si>
  <si>
    <t>OD-25-F0001368</t>
  </si>
  <si>
    <t>OD-25-F0001182</t>
  </si>
  <si>
    <t>SP-25-F0001880</t>
  </si>
  <si>
    <t>TP-25-F0000578</t>
  </si>
  <si>
    <t>TP-24-F0000382</t>
  </si>
  <si>
    <t>TP-24-F0000185</t>
  </si>
  <si>
    <t>LatLng(lat: 1.0547067, lng: 103.9247033)</t>
  </si>
  <si>
    <t>LatLng(lat: 1.0545518, lng: 103.9247031)</t>
  </si>
  <si>
    <t>LatLng(lat: 1.0451106, lng: 103.9643633)</t>
  </si>
  <si>
    <t>LatLng(lat: 1.0450928, lng: 103.9643371)</t>
  </si>
  <si>
    <t>LatLng(lat: 0.9061017, lng: 104.4734767)</t>
  </si>
  <si>
    <t>LatLng(lat: 0.89526, lng: 104.4798367)</t>
  </si>
  <si>
    <t>LatLng(lat: 0.925135, lng: 104.4665667)</t>
  </si>
  <si>
    <t>LatLng(lat: 1.0722137, lng: 104.0229993)</t>
  </si>
  <si>
    <t>LatLng(lat: 1.1436604, lng: 104.0289703)</t>
  </si>
  <si>
    <t>LatLng(lat: 1.0401609, lng: 103.9874601)</t>
  </si>
  <si>
    <t>LatLng(lat: 1.040235, lng: 103.9872038)</t>
  </si>
  <si>
    <t>LatLng(lat: 1.0274089, lng: 103.9588751)</t>
  </si>
  <si>
    <t>LatLng(lat: 1.0452727, lng: 103.9785294)</t>
  </si>
  <si>
    <t>LatLng(lat: 1.0450865, lng: 103.9649761)</t>
  </si>
  <si>
    <t>LatLng(lat: 1.0442725, lng: 103.9803515)</t>
  </si>
  <si>
    <t>LatLng(lat: 1.0432288, lng: 103.9793846)</t>
  </si>
  <si>
    <t>LatLng(lat: 1.0917675, lng: 104.0350525)</t>
  </si>
  <si>
    <t>LatLng(lat: 0.9167075, lng: 104.4852783)</t>
  </si>
  <si>
    <t>LatLng(lat: 1.042607, lng: 103.98287)</t>
  </si>
  <si>
    <t>LatLng(lat: 1.0462933, lng: 103.929445)</t>
  </si>
  <si>
    <t>LatLng(lat: 1.0417682, lng: 103.9887063)</t>
  </si>
  <si>
    <t>LatLng(lat: 1.043931, lng: 103.9804752)</t>
  </si>
  <si>
    <t>LatLng(lat: 1.1363367, lng: 104.010872)</t>
  </si>
  <si>
    <t>LatLng(lat: 1.0405292, lng: 104.0538837)</t>
  </si>
  <si>
    <t>LatLng(lat: 1.0378081, lng: 104.0533044)</t>
  </si>
  <si>
    <t>LatLng(lat: 1.0343899, lng: 104.0557008)</t>
  </si>
  <si>
    <t>LatLng(lat: 1.035765, lng: 104.0705533)</t>
  </si>
  <si>
    <t>LatLng(lat: 1.0390128, lng: 104.0543399)</t>
  </si>
  <si>
    <t>LatLng(lat: 1.0390054, lng: 104.0546884)</t>
  </si>
  <si>
    <t>LatLng(lat: 1.0382228, lng: 104.071539)</t>
  </si>
  <si>
    <t>LatLng(lat: 1.0382633, lng: 104.0715564)</t>
  </si>
  <si>
    <t>LatLng(lat: 1.0327794, lng: 104.0921181)</t>
  </si>
  <si>
    <t>LatLng(lat: 1.0327969, lng: 104.092119)</t>
  </si>
  <si>
    <t>LatLng(lat: 0.9266882, lng: 104.4406262)</t>
  </si>
  <si>
    <t>LatLng(lat: 0.9267067, lng: 104.4406233)</t>
  </si>
  <si>
    <t>LatLng(lat: 1.0687552, lng: 104.1143966)</t>
  </si>
  <si>
    <t>LatLng(lat: 1.0646065, lng: 104.1127221)</t>
  </si>
  <si>
    <t>LatLng(lat: 0.9832519, lng: 104.097516)</t>
  </si>
  <si>
    <t>LatLng(lat: 0.9837284, lng: 104.0988028)</t>
  </si>
  <si>
    <t>LatLng(lat: 1.0215621, lng: 104.0714977)</t>
  </si>
  <si>
    <t>LatLng(lat: 1.015825, lng: 104.0724671)</t>
  </si>
  <si>
    <t>LatLng(lat: 1.034471, lng: 104.0567832)</t>
  </si>
  <si>
    <t>LatLng(lat: 1.0676339, lng: 104.0240046)</t>
  </si>
  <si>
    <t>LatLng(lat: 1.057155, lng: 104.0398367)</t>
  </si>
  <si>
    <t>LatLng(lat: 1.0650167, lng: 104.0202794)</t>
  </si>
  <si>
    <t>LatLng(lat: 1.0580583, lng: 104.0116533)</t>
  </si>
  <si>
    <t>LatLng(lat: 1.0419517, lng: 104.0027083)</t>
  </si>
  <si>
    <t>LatLng(lat: 1.0415553, lng: 103.9872072)</t>
  </si>
  <si>
    <t>LatLng(lat: 1.0475733, lng: 103.96406)</t>
  </si>
  <si>
    <t>LatLng(lat: 0.9089168, lng: 104.4710369)</t>
  </si>
  <si>
    <t>LatLng(lat: 0.9120696, lng: 104.4753863)</t>
  </si>
  <si>
    <t>LatLng(lat: 1.0363252, lng: 103.9685845)</t>
  </si>
  <si>
    <t>LatLng(lat: 1.0340145, lng: 103.9723313)</t>
  </si>
  <si>
    <t>LatLng(lat: 1.0429488, lng: 103.9824902)</t>
  </si>
  <si>
    <t>LatLng(lat: 1.0475839, lng: 103.9643335)</t>
  </si>
  <si>
    <t>LatLng(lat: 1.0471283, lng: 103.9603281)</t>
  </si>
  <si>
    <t>LatLng(lat: 1.047797, lng: 103.9633318)</t>
  </si>
  <si>
    <t>LatLng(lat: 1.1404792, lng: 104.0030236)</t>
  </si>
  <si>
    <t>LatLng(lat: 1.1437028, lng: 104.0077156)</t>
  </si>
  <si>
    <t>LatLng(lat: 1.0608937, lng: 103.9519212)</t>
  </si>
  <si>
    <t>LatLng(lat: 1.03023, lng: 104.0481818)</t>
  </si>
  <si>
    <t>LatLng(lat: 1.1023672, lng: 104.0684299)</t>
  </si>
  <si>
    <t>SP-24-F0001373</t>
  </si>
  <si>
    <t>OD-24-F0002795</t>
  </si>
  <si>
    <t>SP-25-F0001389</t>
  </si>
  <si>
    <t>OD-24-F0001974</t>
  </si>
  <si>
    <t>SP-24-F0002780</t>
  </si>
  <si>
    <t>OD-24-F0001529</t>
  </si>
  <si>
    <t>SP-24-F0002001</t>
  </si>
  <si>
    <t>BT-KD-24-00294</t>
  </si>
  <si>
    <t>SP-25-F0000674</t>
  </si>
  <si>
    <t>TP-25-F0000427</t>
  </si>
  <si>
    <t>OD-24-F0002690</t>
  </si>
  <si>
    <t>OD-24-F0001340</t>
  </si>
  <si>
    <t>OD-25-F0000300</t>
  </si>
  <si>
    <t>OD-25-F0001434</t>
  </si>
  <si>
    <t>OD-25-F0000020</t>
  </si>
  <si>
    <t>SP-25-F0000153</t>
  </si>
  <si>
    <t>SP-25-F0000603</t>
  </si>
  <si>
    <t>TP-24-F0000692</t>
  </si>
  <si>
    <t>TP-23-F0000406</t>
  </si>
  <si>
    <t>SP-24-F0001525</t>
  </si>
  <si>
    <t>SP-24-F0001066</t>
  </si>
  <si>
    <t>SP-25-F0000638</t>
  </si>
  <si>
    <t>SP-25-F0002325</t>
  </si>
  <si>
    <t>OD-24-F0000715</t>
  </si>
  <si>
    <t>OD-25-F0000007</t>
  </si>
  <si>
    <t>OD-24-F0001478</t>
  </si>
  <si>
    <t>SP-25-F0001581</t>
  </si>
  <si>
    <t>SP-24-F0000030</t>
  </si>
  <si>
    <t>TP-25-F0000555</t>
  </si>
  <si>
    <t>TP-24-F0000748</t>
  </si>
  <si>
    <t>OD-24-F0001762</t>
  </si>
  <si>
    <t>OD-25-F0001277</t>
  </si>
  <si>
    <t>SP-24-F0000361</t>
  </si>
  <si>
    <t>OD-25-F0001637</t>
  </si>
  <si>
    <t>OD-24-F0002211</t>
  </si>
  <si>
    <t>OD-25-F0000402</t>
  </si>
  <si>
    <t>BUDI ARIF SAHBANA</t>
  </si>
  <si>
    <t>BP 2410 RI</t>
  </si>
  <si>
    <t>MH1KFA113NK005459</t>
  </si>
  <si>
    <t>KFA1E1005415</t>
  </si>
  <si>
    <t>MOH. AMINUROBLI</t>
  </si>
  <si>
    <t>BP 3683 HM</t>
  </si>
  <si>
    <t>MH1JM2113JK971571</t>
  </si>
  <si>
    <t>JM21E1950882</t>
  </si>
  <si>
    <t>ROBIN SADEWO</t>
  </si>
  <si>
    <t>BP 2613 MR</t>
  </si>
  <si>
    <t>MH1JM8216NK520450</t>
  </si>
  <si>
    <t>JM82E1518579</t>
  </si>
  <si>
    <t>RUSLI SAHAN</t>
  </si>
  <si>
    <t>BP 3927 QG</t>
  </si>
  <si>
    <t>MH1JFW119GK516606</t>
  </si>
  <si>
    <t>JFW1E1523964</t>
  </si>
  <si>
    <t>RIKARDUS LEU</t>
  </si>
  <si>
    <t>BP 4197 HU</t>
  </si>
  <si>
    <t>MH1JMA119RK139934</t>
  </si>
  <si>
    <t>JMA1E1139764</t>
  </si>
  <si>
    <t>ROADI</t>
  </si>
  <si>
    <t>BP 4382 IF</t>
  </si>
  <si>
    <t>MH33C1005CK911571</t>
  </si>
  <si>
    <t>3C1912743</t>
  </si>
  <si>
    <t>SIMPRISIA MAYESTI WISANG</t>
  </si>
  <si>
    <t>BP 2642 QQ</t>
  </si>
  <si>
    <t>MH1JBK318GK163535</t>
  </si>
  <si>
    <t>JBK3E1163375</t>
  </si>
  <si>
    <t>SEBASTIANUS KEO</t>
  </si>
  <si>
    <t>BP 4179 IA</t>
  </si>
  <si>
    <t>MH31PA002DK050780</t>
  </si>
  <si>
    <t>1PA050013</t>
  </si>
  <si>
    <t>TITANUM GOLD</t>
  </si>
  <si>
    <t>REKNO BUDIANTO</t>
  </si>
  <si>
    <t>BP 3153 WT</t>
  </si>
  <si>
    <t>MH1JFB12XEK286380</t>
  </si>
  <si>
    <t>JFB1E2233265</t>
  </si>
  <si>
    <t>EGI ROMADONI</t>
  </si>
  <si>
    <t>BP 5232 GU</t>
  </si>
  <si>
    <t>MH1KCB111RK056723</t>
  </si>
  <si>
    <t>KCB1E1056711</t>
  </si>
  <si>
    <t>EDY GUNAWAN</t>
  </si>
  <si>
    <t>BP 6609 FO</t>
  </si>
  <si>
    <t>MH4KR150PDKP42015</t>
  </si>
  <si>
    <t>KR150KEPB3035</t>
  </si>
  <si>
    <t>NINJA</t>
  </si>
  <si>
    <t>BAGUS SURYANTO</t>
  </si>
  <si>
    <t>BP 2902 QM</t>
  </si>
  <si>
    <t>MH1JBP118GK472468</t>
  </si>
  <si>
    <t>JBP1E1470054</t>
  </si>
  <si>
    <t>DEDI DORES GINTING</t>
  </si>
  <si>
    <t>BP 3695 AJ</t>
  </si>
  <si>
    <t>MH1JFZ136KK248416</t>
  </si>
  <si>
    <t>JFZ1E3245884</t>
  </si>
  <si>
    <t>BOMA EKA PUTRA</t>
  </si>
  <si>
    <t>BP 3258 AD</t>
  </si>
  <si>
    <t>MH1JM6116KK052978</t>
  </si>
  <si>
    <t>JM61E1053053</t>
  </si>
  <si>
    <t>FEBRI SAPUTRA</t>
  </si>
  <si>
    <t>BP 2530 IU</t>
  </si>
  <si>
    <t>MH1JM3139LK285965</t>
  </si>
  <si>
    <t>JM31E3281264</t>
  </si>
  <si>
    <t>MUHAMMAD RIVAL SUKANTO</t>
  </si>
  <si>
    <t>BP 3821 RF</t>
  </si>
  <si>
    <t>MH1JM0216NK593349</t>
  </si>
  <si>
    <t>JM02E1593160</t>
  </si>
  <si>
    <t>KHOIRUL CANDRA</t>
  </si>
  <si>
    <t>BP 3254 DP</t>
  </si>
  <si>
    <t>MH1JMD115PK412852</t>
  </si>
  <si>
    <t>JMD1E1413154</t>
  </si>
  <si>
    <t>RIZKY MUHAMAD GULFY RISANDY</t>
  </si>
  <si>
    <t>BP 3410 CB</t>
  </si>
  <si>
    <t>MH1KF1112FK041211</t>
  </si>
  <si>
    <t>KF11E1046369</t>
  </si>
  <si>
    <t>RAHADIAN</t>
  </si>
  <si>
    <t>BP 2804 I</t>
  </si>
  <si>
    <t>MH1JM8117MK626261</t>
  </si>
  <si>
    <t>JM81E1628253</t>
  </si>
  <si>
    <t>RUBAIAH</t>
  </si>
  <si>
    <t>BP 5293 CD</t>
  </si>
  <si>
    <t>MH1JFZ129JK920720</t>
  </si>
  <si>
    <t>JFZ1E2924436</t>
  </si>
  <si>
    <t>KADARMAN</t>
  </si>
  <si>
    <t>BP 3723 GG</t>
  </si>
  <si>
    <t>MH1JF5128CK694696</t>
  </si>
  <si>
    <t>JF51E2676706</t>
  </si>
  <si>
    <t>BEAT KARBU</t>
  </si>
  <si>
    <t>MOCHAMAD AFIFUDIN</t>
  </si>
  <si>
    <t>BP 3110 OD</t>
  </si>
  <si>
    <t>MH1KD1110MK254998</t>
  </si>
  <si>
    <t>KD11E1254330</t>
  </si>
  <si>
    <t>ALSIFA CHAIRUNNISA</t>
  </si>
  <si>
    <t>BP 3203 PU</t>
  </si>
  <si>
    <t>MH1JMB116PK094003</t>
  </si>
  <si>
    <t>JMB1E1093963</t>
  </si>
  <si>
    <t>MUHAMMAD RIDHO MAULANA AKBAR</t>
  </si>
  <si>
    <t>BP 2858 PU</t>
  </si>
  <si>
    <t>MH1JM8121PK610084</t>
  </si>
  <si>
    <t>JM81E2610909</t>
  </si>
  <si>
    <t>RISKY FADLI PRATAMA</t>
  </si>
  <si>
    <t>BP 6675 CA</t>
  </si>
  <si>
    <t>MH1JMD115RK432831</t>
  </si>
  <si>
    <t>JMD1E1433051</t>
  </si>
  <si>
    <t>FAHRIE AFIARIE</t>
  </si>
  <si>
    <t>BP 3010 AH</t>
  </si>
  <si>
    <t>MH1KD1110KK069816</t>
  </si>
  <si>
    <t>KD11E1069115</t>
  </si>
  <si>
    <t>JUSTRI IRIRA</t>
  </si>
  <si>
    <t>BP 3552 I</t>
  </si>
  <si>
    <t>MH1JM0214MK313426</t>
  </si>
  <si>
    <t>JM02E1312972</t>
  </si>
  <si>
    <t>ROSMIWATI. S</t>
  </si>
  <si>
    <t>BP 3021 PG</t>
  </si>
  <si>
    <t>MH1JM0415PK231450</t>
  </si>
  <si>
    <t>JM04E1231353</t>
  </si>
  <si>
    <t>BAYU VERDI SAPUTRA</t>
  </si>
  <si>
    <t>BP 3317 PQ</t>
  </si>
  <si>
    <t>MH1JMC111PK076417</t>
  </si>
  <si>
    <t>JMC1E1076444</t>
  </si>
  <si>
    <t>WINDA SAMITA SIMAMORA</t>
  </si>
  <si>
    <t>BP 3811 AJ</t>
  </si>
  <si>
    <t>MH1JM2123KK512146</t>
  </si>
  <si>
    <t>JM21E2489697</t>
  </si>
  <si>
    <t>FAJAR ADITYA</t>
  </si>
  <si>
    <t>BP 3308 IU</t>
  </si>
  <si>
    <t>MH1JM8117LK062190</t>
  </si>
  <si>
    <t>JM81E1062359</t>
  </si>
  <si>
    <t>NANDITA HAYATI FATORONI</t>
  </si>
  <si>
    <t>BP 3504 IR</t>
  </si>
  <si>
    <t>MH1JM3118HK381852</t>
  </si>
  <si>
    <t>JM31E1385100</t>
  </si>
  <si>
    <t>HITAM PUTIH</t>
  </si>
  <si>
    <t>REZEKI ZAI</t>
  </si>
  <si>
    <t>BP 2258 RU</t>
  </si>
  <si>
    <t>MH1JM2124KK562862</t>
  </si>
  <si>
    <t>JM21E2539884</t>
  </si>
  <si>
    <t>RIMA LESTARI</t>
  </si>
  <si>
    <t>BP 2331 QG</t>
  </si>
  <si>
    <t>MH1JFP126GK574820</t>
  </si>
  <si>
    <t>JFP1E2554476</t>
  </si>
  <si>
    <t>IBRAHIM JUMAD</t>
  </si>
  <si>
    <t>BP 5783 AF</t>
  </si>
  <si>
    <t>MH3SE88H0LJ223085</t>
  </si>
  <si>
    <t>E3R2E2766985</t>
  </si>
  <si>
    <t>03ad1f6b-7a85-463b-ab53-e8f3deee2ad5</t>
  </si>
  <si>
    <t>LatLng(lat: 1.0617303, lng: 104.0373045)</t>
  </si>
  <si>
    <t>LatLng(lat: 1.04064, lng: 103.985115)</t>
  </si>
  <si>
    <t>LatLng(lat: 1.0400077, lng: 103.9870137)</t>
  </si>
  <si>
    <t>LatLng(lat: 1.0401328, lng: 103.9872822)</t>
  </si>
  <si>
    <t>LatLng(lat: 1.0401294, lng: 103.9872751)</t>
  </si>
  <si>
    <t>LatLng(lat: 1.0400242, lng: 103.9870153)</t>
  </si>
  <si>
    <t>LatLng(lat: 0.9609067, lng: 104.52843)</t>
  </si>
  <si>
    <t>LatLng(lat: 1.0400641, lng: 103.9871216)</t>
  </si>
  <si>
    <t>LatLng(lat: 1.040078, lng: 103.9871569)</t>
  </si>
  <si>
    <t>LatLng(lat: 1.0401439, lng: 103.987312)</t>
  </si>
  <si>
    <t>LatLng(lat: 1.0401459, lng: 103.9872681)</t>
  </si>
  <si>
    <t>LatLng(lat: 1.0400345, lng: 103.9871186)</t>
  </si>
  <si>
    <t>LatLng(lat: 1.0400406, lng: 103.9871228)</t>
  </si>
  <si>
    <t>LatLng(lat: 1.0400779, lng: 103.987164)</t>
  </si>
  <si>
    <t>LatLng(lat: 1.0360581, lng: 103.9869421)</t>
  </si>
  <si>
    <t>LatLng(lat: 1.0369498, lng: 103.9863823)</t>
  </si>
  <si>
    <t>LatLng(lat: 1.048495, lng: 103.9534717)</t>
  </si>
  <si>
    <t>LatLng(lat: 1.0415431, lng: 103.988801)</t>
  </si>
  <si>
    <t>LatLng(lat: 1.0409029, lng: 103.9891611)</t>
  </si>
  <si>
    <t>LatLng(lat: 1.0483683, lng: 103.9534477)</t>
  </si>
  <si>
    <t>LatLng(lat: 1.0487486, lng: 103.9532661)</t>
  </si>
  <si>
    <t>LatLng(lat: 1.0486773, lng: 103.9532949)</t>
  </si>
  <si>
    <t>LatLng(lat: 1.0470448, lng: 103.9773892)</t>
  </si>
  <si>
    <t>LatLng(lat: 1.0485949, lng: 103.9534827)</t>
  </si>
  <si>
    <t>LatLng(lat: 1.0415236, lng: 103.9889785)</t>
  </si>
  <si>
    <t>LatLng(lat: 1.0487034, lng: 103.9535959)</t>
  </si>
  <si>
    <t>LatLng(lat: 1.0482163, lng: 103.9537535)</t>
  </si>
  <si>
    <t>LatLng(lat: 1.041783, lng: 103.988684)</t>
  </si>
  <si>
    <t>LatLng(lat: 1.048798, lng: 103.9532751)</t>
  </si>
  <si>
    <t>LatLng(lat: 1.048934, lng: 103.9536689)</t>
  </si>
  <si>
    <t>LatLng(lat: 1.0487241, lng: 103.9533126)</t>
  </si>
  <si>
    <t>LatLng(lat: 1.0417721, lng: 103.9886405)</t>
  </si>
  <si>
    <t>LatLng(lat: 1.0491226, lng: 103.9532116)</t>
  </si>
  <si>
    <t>LatLng(lat: 1.0486073, lng: 103.9532811)</t>
  </si>
  <si>
    <t>LatLng(lat: 1.041585, lng: 103.9886183)</t>
  </si>
  <si>
    <t>LatLng(lat: 1.0488294, lng: 103.9539432)</t>
  </si>
  <si>
    <t>LatLng(lat: 1.0487882, lng: 103.9534152)</t>
  </si>
  <si>
    <t>LatLng(lat: 1.044259, lng: 103.9939683)</t>
  </si>
  <si>
    <t>LatLng(lat: 1.0486093, lng: 103.953259)</t>
  </si>
  <si>
    <t>LatLng(lat: 1.0486358, lng: 103.9533905)</t>
  </si>
  <si>
    <t>LatLng(lat: 1.048503, lng: 103.9534167)</t>
  </si>
  <si>
    <t>LatLng(lat: 1.0318137, lng: 103.9584926)</t>
  </si>
  <si>
    <t>LatLng(lat: 0.9083328, lng: 104.4783103)</t>
  </si>
  <si>
    <t>LatLng(lat: 1.0303283, lng: 103.9658717)</t>
  </si>
  <si>
    <t>LatLng(lat: 0.9015006, lng: 104.4853607)</t>
  </si>
  <si>
    <t>LatLng(lat: 0.9110773, lng: 104.5397742)</t>
  </si>
  <si>
    <t>LatLng(lat: 1.057185, lng: 103.944345)</t>
  </si>
  <si>
    <t>LatLng(lat: 0.88139, lng: 104.5648417)</t>
  </si>
  <si>
    <t>SP-24-F0001325</t>
  </si>
  <si>
    <t>OD-24-F0002899</t>
  </si>
  <si>
    <t>OD-24-F0002176</t>
  </si>
  <si>
    <t>OD-24-F0001159</t>
  </si>
  <si>
    <t>OD-25-F0000201</t>
  </si>
  <si>
    <t>SP-25-F0000216</t>
  </si>
  <si>
    <t>SP-25-F0001896</t>
  </si>
  <si>
    <t>SP-25-F0002281</t>
  </si>
  <si>
    <t>SP-24-F0000250</t>
  </si>
  <si>
    <t>SP-25-F0000964</t>
  </si>
  <si>
    <t>SP-25-F0001818</t>
  </si>
  <si>
    <t>SP-24-F0002798</t>
  </si>
  <si>
    <t>OD-25-F0000156</t>
  </si>
  <si>
    <t>SP-25-F0000924</t>
  </si>
  <si>
    <t>OD-25-F0000199</t>
  </si>
  <si>
    <t>OD-25-F0001440</t>
  </si>
  <si>
    <t>OD-24-F0001687</t>
  </si>
  <si>
    <t>OD-25-F0000159</t>
  </si>
  <si>
    <t>SP-25-F0001633</t>
  </si>
  <si>
    <t>SP-25-F0001434</t>
  </si>
  <si>
    <t>SP-25-F0002108</t>
  </si>
  <si>
    <t>TP-25-F0000127</t>
  </si>
  <si>
    <t>SP-24-F0000752</t>
  </si>
  <si>
    <t>BT-KD-23-00182</t>
  </si>
  <si>
    <t>TP-25-F0000511</t>
  </si>
  <si>
    <t>MARIANI</t>
  </si>
  <si>
    <t>BP 2604 FU</t>
  </si>
  <si>
    <t>MH1JM4111KK557279</t>
  </si>
  <si>
    <t>JM41E1557165</t>
  </si>
  <si>
    <t>ANDI SETIAWAN</t>
  </si>
  <si>
    <t>BP 6941 UO</t>
  </si>
  <si>
    <t>MH1JM8137RK109003</t>
  </si>
  <si>
    <t>JM81E3107883</t>
  </si>
  <si>
    <t>MUHAMMAD FATIH AL GHOZI</t>
  </si>
  <si>
    <t>BP 5881 AF</t>
  </si>
  <si>
    <t>MH3SG5620LJ205135</t>
  </si>
  <si>
    <t>G3L8E0305384</t>
  </si>
  <si>
    <t>M. TAUFIK</t>
  </si>
  <si>
    <t>BP 3451 QD</t>
  </si>
  <si>
    <t>MH1JFP129GK427617</t>
  </si>
  <si>
    <t>JFP1E2415955</t>
  </si>
  <si>
    <t>SOPIYAN</t>
  </si>
  <si>
    <t>BP 3945 UO</t>
  </si>
  <si>
    <t>MH1JM0214MK289760</t>
  </si>
  <si>
    <t>JM02E1289295</t>
  </si>
  <si>
    <t>BESALI LAIA</t>
  </si>
  <si>
    <t>BP 3166 SQ</t>
  </si>
  <si>
    <t>MH1JMA116PK096036</t>
  </si>
  <si>
    <t>JMA1E1095967</t>
  </si>
  <si>
    <t>CICI YOLANDA</t>
  </si>
  <si>
    <t>BP 3816 RD</t>
  </si>
  <si>
    <t>MH1JM0217MK532526</t>
  </si>
  <si>
    <t>JM02E1532676</t>
  </si>
  <si>
    <t>RONNY VAN ROOM</t>
  </si>
  <si>
    <t>BP 2601 QO</t>
  </si>
  <si>
    <t>MH1KC821XGK095017</t>
  </si>
  <si>
    <t>KC82E1094421</t>
  </si>
  <si>
    <t>EFENDI HALAWA</t>
  </si>
  <si>
    <t>BP 2152 O</t>
  </si>
  <si>
    <t>MH1JM0219MK162518</t>
  </si>
  <si>
    <t>JM02E1162545</t>
  </si>
  <si>
    <t>KAROLUS DAHLAN</t>
  </si>
  <si>
    <t>BP 3738 UI</t>
  </si>
  <si>
    <t>MH1JBK11XMK795869</t>
  </si>
  <si>
    <t>JBK1E1792207</t>
  </si>
  <si>
    <t>REVO FIT</t>
  </si>
  <si>
    <t>M IKSHN NARA</t>
  </si>
  <si>
    <t>BP 2722 HH</t>
  </si>
  <si>
    <t>MH1KF0115PK376006</t>
  </si>
  <si>
    <t>KF01E1376552</t>
  </si>
  <si>
    <t>DEFRITA</t>
  </si>
  <si>
    <t>BP 2128 UG</t>
  </si>
  <si>
    <t>MH1JM8114MK455002</t>
  </si>
  <si>
    <t>JM81E1456863</t>
  </si>
  <si>
    <t>MATEUS MBELE</t>
  </si>
  <si>
    <t>BP 3634 QD</t>
  </si>
  <si>
    <t>MH1KB1111GK056893</t>
  </si>
  <si>
    <t>KB11E1055576</t>
  </si>
  <si>
    <t>WIT SUSANTO</t>
  </si>
  <si>
    <t>BP 5770 OJ</t>
  </si>
  <si>
    <t>MH3SE8820GJ046904</t>
  </si>
  <si>
    <t>E3R2E0789606</t>
  </si>
  <si>
    <t>KARTIKA SIMANGUNSONG</t>
  </si>
  <si>
    <t>BP 5182 AJ</t>
  </si>
  <si>
    <t>MH3SEG710NJ137001</t>
  </si>
  <si>
    <t>E32WE0174506</t>
  </si>
  <si>
    <t>MAHYONO</t>
  </si>
  <si>
    <t>BP 2823 I</t>
  </si>
  <si>
    <t>MH1JM811XMK667550</t>
  </si>
  <si>
    <t>JM81E1669765</t>
  </si>
  <si>
    <t>ALDI</t>
  </si>
  <si>
    <t>BP 4314 OE</t>
  </si>
  <si>
    <t>MH32PK001FK043654</t>
  </si>
  <si>
    <t>2PK043642</t>
  </si>
  <si>
    <t>PUSVARIAUWATY</t>
  </si>
  <si>
    <t>BP 5207 QD</t>
  </si>
  <si>
    <t>MH3SG3120GK197447</t>
  </si>
  <si>
    <t>G3E4E0291968</t>
  </si>
  <si>
    <t>DEDI ARMAYA LUBIS</t>
  </si>
  <si>
    <t>BP 6974 OH</t>
  </si>
  <si>
    <t>MH1JMG115SK325138</t>
  </si>
  <si>
    <t>JMG1E1325252</t>
  </si>
  <si>
    <t>FAZLAN</t>
  </si>
  <si>
    <t>BP 2519 AJ</t>
  </si>
  <si>
    <t>MH1JFZ13XKK312893</t>
  </si>
  <si>
    <t>JFZ1E3313016</t>
  </si>
  <si>
    <t>HERMAN SUDIRO SIREGAR</t>
  </si>
  <si>
    <t>BP 2448 HJ</t>
  </si>
  <si>
    <t>MH1JFZ129JK553429</t>
  </si>
  <si>
    <t>JFZ1E2577424</t>
  </si>
  <si>
    <t>LAURA EKA WHESKA</t>
  </si>
  <si>
    <t>BP 5069 HW</t>
  </si>
  <si>
    <t>MH3SG5620LJ120078</t>
  </si>
  <si>
    <t>G3L8E0134121</t>
  </si>
  <si>
    <t>ERISMEN DODIANTO</t>
  </si>
  <si>
    <t>BP 2492 AE</t>
  </si>
  <si>
    <t>MH1KC9318JK000675</t>
  </si>
  <si>
    <t>KC93E1000627</t>
  </si>
  <si>
    <t>Ray Steven Hutabarat</t>
  </si>
  <si>
    <t>TOYANI</t>
  </si>
  <si>
    <t>BP 3676 JB</t>
  </si>
  <si>
    <t>MH1JM3135LK724658</t>
  </si>
  <si>
    <t>JM31E3723591</t>
  </si>
  <si>
    <t>LEPAS</t>
  </si>
  <si>
    <t>HILANG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</si>
</sst>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9]dd\ mmmm\ yyyy;@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7030A0"/>
      <name val="Calibri"/>
      <charset val="134"/>
    </font>
    <font>
      <b/>
      <sz val="11"/>
      <color theme="1"/>
      <name val="Calibri"/>
      <charset val="134"/>
    </font>
    <font>
      <b/>
      <sz val="36"/>
      <color rgb="FF7030A0"/>
      <name val="Calibri"/>
      <charset val="134"/>
    </font>
    <font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0"/>
      <name val="Calibri"/>
      <charset val="134"/>
    </font>
    <font>
      <b/>
      <sz val="11"/>
      <name val="Calibri"/>
      <charset val="134"/>
    </font>
    <font>
      <b/>
      <sz val="10"/>
      <name val="Arial"/>
      <charset val="134"/>
    </font>
    <font>
      <b/>
      <sz val="1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7EFE0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8596148564104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Font="1" applyAlignment="1"/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4" fillId="0" borderId="1" xfId="0" applyFont="1" applyFill="1" applyBorder="1" applyAlignment="1">
      <alignment horizontal="center"/>
    </xf>
    <xf numFmtId="0" fontId="4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/>
    <xf numFmtId="0" fontId="4" fillId="9" borderId="1" xfId="0" applyFont="1" applyFill="1" applyBorder="1" applyAlignment="1"/>
    <xf numFmtId="0" fontId="4" fillId="9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/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/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/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/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/>
    <xf numFmtId="0" fontId="4" fillId="15" borderId="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 vertical="center"/>
    </xf>
    <xf numFmtId="0" fontId="4" fillId="16" borderId="1" xfId="0" applyFont="1" applyFill="1" applyBorder="1" applyAlignment="1"/>
    <xf numFmtId="0" fontId="4" fillId="16" borderId="1" xfId="0" applyFont="1" applyFill="1" applyBorder="1" applyAlignment="1">
      <alignment horizontal="center"/>
    </xf>
    <xf numFmtId="0" fontId="4" fillId="17" borderId="1" xfId="0" applyFont="1" applyFill="1" applyBorder="1" applyAlignment="1"/>
    <xf numFmtId="0" fontId="4" fillId="17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18" borderId="1" xfId="0" applyNumberFormat="1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20" borderId="1" xfId="0" applyNumberFormat="1" applyFont="1" applyFill="1" applyBorder="1" applyAlignment="1">
      <alignment horizontal="center"/>
    </xf>
    <xf numFmtId="0" fontId="1" fillId="0" borderId="0" xfId="0" applyFont="1"/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/>
    <xf numFmtId="0" fontId="11" fillId="21" borderId="1" xfId="0" applyFont="1" applyFill="1" applyBorder="1" applyAlignment="1">
      <alignment horizontal="center" vertical="center"/>
    </xf>
    <xf numFmtId="0" fontId="10" fillId="0" borderId="8" xfId="0" applyFont="1" applyFill="1" applyBorder="1" applyAlignment="1"/>
    <xf numFmtId="0" fontId="10" fillId="0" borderId="8" xfId="0" applyFont="1" applyFill="1" applyBorder="1" applyAlignment="1">
      <alignment horizontal="center" vertical="center"/>
    </xf>
    <xf numFmtId="0" fontId="10" fillId="11" borderId="1" xfId="0" applyFont="1" applyFill="1" applyBorder="1" applyAlignment="1"/>
    <xf numFmtId="0" fontId="10" fillId="1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/>
    <xf numFmtId="0" fontId="10" fillId="2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/>
    <xf numFmtId="0" fontId="10" fillId="12" borderId="1" xfId="0" applyFont="1" applyFill="1" applyBorder="1" applyAlignment="1"/>
    <xf numFmtId="0" fontId="10" fillId="12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/>
    <xf numFmtId="0" fontId="10" fillId="2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/>
    <xf numFmtId="0" fontId="10" fillId="1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0" fillId="0" borderId="1" xfId="0" applyBorder="1"/>
    <xf numFmtId="0" fontId="14" fillId="4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0" fontId="1" fillId="25" borderId="9" xfId="0" applyFont="1" applyFill="1" applyBorder="1" applyAlignment="1"/>
    <xf numFmtId="0" fontId="1" fillId="25" borderId="9" xfId="0" applyFont="1" applyFill="1" applyBorder="1" applyAlignment="1">
      <alignment horizontal="center"/>
    </xf>
    <xf numFmtId="0" fontId="1" fillId="26" borderId="9" xfId="0" applyFont="1" applyFill="1" applyBorder="1" applyAlignment="1"/>
    <xf numFmtId="0" fontId="1" fillId="26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27" borderId="9" xfId="0" applyFont="1" applyFill="1" applyBorder="1" applyAlignment="1"/>
    <xf numFmtId="0" fontId="1" fillId="27" borderId="9" xfId="0" applyFont="1" applyFill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20" borderId="9" xfId="0" applyFont="1" applyFill="1" applyBorder="1" applyAlignment="1">
      <alignment horizontal="center"/>
    </xf>
    <xf numFmtId="0" fontId="1" fillId="10" borderId="0" xfId="0" applyFont="1" applyFill="1" applyBorder="1"/>
    <xf numFmtId="11" fontId="0" fillId="0" borderId="1" xfId="0" applyNumberFormat="1" applyBorder="1"/>
    <xf numFmtId="0" fontId="1" fillId="0" borderId="4" xfId="0" pivotButton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0" borderId="1" xfId="0" applyFont="1" applyBorder="1"/>
    <xf numFmtId="0" fontId="16" fillId="1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435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alignment horizontal="left" readingOrder="0"/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readingOrder="0"/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53FF31"/>
        </patternFill>
      </fill>
    </dxf>
    <dxf>
      <font>
        <b/>
        <i val="0"/>
      </font>
      <fill>
        <patternFill patternType="solid">
          <bgColor rgb="FFFFFF00"/>
        </patternFill>
      </fill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</dxf>
    <dxf>
      <fill>
        <patternFill patternType="none"/>
      </fill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7CDB0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1DFF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bgColor rgb="FF21FF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D7E7DD"/>
      <color rgb="FFF0E1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80.71971041667" createdVersion="6" refreshedVersion="6" minRefreshableVersion="3" recordCount="1767">
  <cacheSource type="worksheet">
    <worksheetSource ref="A1:Y1048576" sheet="terdetect"/>
  </cacheSource>
  <cacheFields count="25">
    <cacheField name="no" numFmtId="0">
      <sharedItems containsString="0" containsBlank="1" containsNumber="1" containsInteger="1" minValue="1" maxValue="1094"/>
    </cacheField>
    <cacheField name="created_at" numFmtId="164">
      <sharedItems containsNonDate="0" containsDate="1" containsString="0" containsBlank="1" minDate="2025-11-01T09:48:41" maxDate="2025-11-19T16:33:05"/>
    </cacheField>
    <cacheField name="user_id" numFmtId="0">
      <sharedItems containsBlank="1"/>
    </cacheField>
    <cacheField name="lokasi" numFmtId="0">
      <sharedItems containsBlank="1"/>
    </cacheField>
    <cacheField name="no_perjanjian" numFmtId="0">
      <sharedItems containsBlank="1" containsMixedTypes="1" containsNumber="1" containsInteger="1" minValue="13003167" maxValue="13003167"/>
    </cacheField>
    <cacheField name="nama_nasabah" numFmtId="0">
      <sharedItems containsBlank="1"/>
    </cacheField>
    <cacheField name="nopol" numFmtId="0">
      <sharedItems containsBlank="1"/>
    </cacheField>
    <cacheField name="coll" numFmtId="0">
      <sharedItems containsBlank="1" count="16">
        <s v="C0"/>
        <s v="CX BARU"/>
        <s v="C"/>
        <s v="New C2"/>
        <s v="C1"/>
        <e v="#N/A"/>
        <s v="BELUM JTO"/>
        <s v="New C1"/>
        <m/>
        <s v="CX 2023"/>
        <s v="CX 2024"/>
        <s v="C4"/>
        <s v="New C3"/>
        <s v="C6"/>
        <s v="C3"/>
        <s v="C2"/>
      </sharedItems>
    </cacheField>
    <cacheField name="pic" numFmtId="0">
      <sharedItems containsBlank="1"/>
    </cacheField>
    <cacheField name="kategori" numFmtId="0">
      <sharedItems containsBlank="1"/>
    </cacheField>
    <cacheField name="jto" numFmtId="0">
      <sharedItems containsBlank="1" containsMixedTypes="1" containsNumber="1" containsInteger="1" minValue="1" maxValue="26"/>
    </cacheField>
    <cacheField name="no_rangka" numFmtId="0">
      <sharedItems containsBlank="1"/>
    </cacheField>
    <cacheField name="no_mesin" numFmtId="0">
      <sharedItems containsBlank="1"/>
    </cacheField>
    <cacheField name="merk" numFmtId="0">
      <sharedItems containsBlank="1"/>
    </cacheField>
    <cacheField name="type" numFmtId="0">
      <sharedItems containsBlank="1"/>
    </cacheField>
    <cacheField name="warna" numFmtId="0">
      <sharedItems containsBlank="1"/>
    </cacheField>
    <cacheField name="status" numFmtId="0">
      <sharedItems containsBlank="1"/>
    </cacheField>
    <cacheField name="actual_penyelesaian" numFmtId="0">
      <sharedItems containsBlank="1"/>
    </cacheField>
    <cacheField name="angsuran_ke" numFmtId="0">
      <sharedItems containsBlank="1" containsMixedTypes="1" containsNumber="1" containsInteger="1" minValue="1" maxValue="28"/>
    </cacheField>
    <cacheField name="tenor" numFmtId="0">
      <sharedItems containsBlank="1" containsMixedTypes="1" containsNumber="1" containsInteger="1" minValue="6" maxValue="36"/>
    </cacheField>
    <cacheField name="pic_foto" numFmtId="0">
      <sharedItems containsBlank="1" count="51">
        <s v="Roby radiansyah"/>
        <s v="Dony Indirwan"/>
        <s v="Hardiman tampubolon"/>
        <s v="Erwan"/>
        <s v="REFAN ANUGRAH MANALU"/>
        <s v="dokalorenpurba"/>
        <s v="Muhamad yusfik"/>
        <s v="Bryan Saptarika"/>
        <s v="Rimpun Pardomuan Simanullang"/>
        <s v="FRIAEDO PANGASIAN LUMBAN TOBING"/>
        <s v="Tiopan Lumbantoruan"/>
        <s v="Talenta sihombing"/>
        <s v="Miko Nadchipa Sonara"/>
        <s v="Agus setiyawan"/>
        <s v="Juliendra"/>
        <s v="Erwanto Alfator"/>
        <s v="ALDO FALERIO TAMBUNAN"/>
        <s v="Afsyah Tanjung"/>
        <s v="M.alfajri"/>
        <s v="Muhammad Halim Putra"/>
        <s v="Muhammad imrah"/>
        <s v="M Arkha Raditya Wuekero"/>
        <s v="Taufik Rahman"/>
        <s v="Martin Tri Putra Situmeang"/>
        <s v="REVAN DAUD MANALU"/>
        <s v="Firdaus Lature"/>
        <s v="Brian Natanael Nainggolan"/>
        <s v="Rizkiii"/>
        <s v="Wilfrin samosir"/>
        <s v="Bagas dian prayoga"/>
        <s v="Daulat sitorus"/>
        <s v="Opendi banjarnahor"/>
        <s v="JUBRAIDER SIANTURI"/>
        <s v="Efendi Lim"/>
        <s v="Rintoeriksonsiburian"/>
        <s v="Willy Tambunan"/>
        <s v="Pantom Togi gabriel"/>
        <s v="Romroben sihombing"/>
        <s v="Oloan Sitanggang"/>
        <s v="Miduk situmeangmiduk"/>
        <s v="riduwankhafidi"/>
        <s v="Andre"/>
        <s v="Rizky Anderson Hutagalung"/>
        <s v="Zaen"/>
        <s v="Novrida Fransisca Situmorang"/>
        <s v="Rendy falentyno"/>
        <s v="BOSPA SIANIPAR"/>
        <s v="Paul Aritonang"/>
        <s v="Mutia CSDM"/>
        <s v="Ray Steven Hutabarat"/>
        <m/>
      </sharedItems>
    </cacheField>
    <cacheField name="team" numFmtId="0">
      <sharedItems containsBlank="1"/>
    </cacheField>
    <cacheField name="keterangan" numFmtId="0">
      <sharedItems containsBlank="1" count="18">
        <s v="NO RESPON"/>
        <s v="TEST"/>
        <s v="REALISASI OCT"/>
        <s v="BEDA MOTOR"/>
        <s v="TARIKAN"/>
        <s v="PEMBAYARAN"/>
        <s v="SALAH KETIK"/>
        <s v="MOTOR BERKENDALA"/>
        <s v="LEPAS"/>
        <s v="HILANG JEJAK"/>
        <s v="JB"/>
        <s v="JB TGL 10"/>
        <s v="AMAN"/>
        <s v="ALAMAT DIKETAHUI"/>
        <s v="SUDAH JB"/>
        <s v="PENDING"/>
        <m/>
        <s v="HILANG"/>
      </sharedItems>
    </cacheField>
    <cacheField name="penyelesain" numFmtId="0">
      <sharedItems containsBlank="1" count="2">
        <m/>
        <s v="CEKUNIT"/>
      </sharedItems>
    </cacheField>
    <cacheField name="detail_ca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7">
  <r>
    <n v="1"/>
    <d v="2025-11-01T09:48:41"/>
    <s v="6d21de4b-42fc-49f2-86f3-40a2a9759695"/>
    <s v="LatLng(lat: 0.8820075, lng: 104.4928837)"/>
    <s v="TP-24-F0000224"/>
    <s v="SYAIPUDDIN ZUHRI"/>
    <s v="BP 3514 QB"/>
    <x v="0"/>
    <s v="13.CALL CENTER"/>
    <s v="A"/>
    <n v="24"/>
    <s v="MH1JM3117HK352987"/>
    <s v="JM31E1356490"/>
    <s v="HONDA"/>
    <s v="SCOOPY"/>
    <s v="COKLAT HITAM"/>
    <s v="JG"/>
    <s v="DONE"/>
    <n v="17"/>
    <n v="36"/>
    <x v="0"/>
    <s v="COLL"/>
    <x v="0"/>
    <x v="0"/>
    <m/>
  </r>
  <r>
    <n v="2"/>
    <d v="2025-11-01T10:16:08"/>
    <s v="6d21de4b-42fc-49f2-86f3-40a2a9759695"/>
    <s v="LatLng(lat: 0.9154418, lng: 104.4938645)"/>
    <s v="TP-25-F0000210"/>
    <s v="MURNIATI"/>
    <s v="BP 2109 BN"/>
    <x v="0"/>
    <s v="01.GUNTUR"/>
    <s v="A"/>
    <n v="12"/>
    <s v="MH1JM011XMK466927"/>
    <s v="JM01E1466055"/>
    <s v="HONDA"/>
    <s v="SCOOPY"/>
    <s v="HITAM"/>
    <s v="JG"/>
    <s v="GAGAL BAYAR"/>
    <n v="7"/>
    <n v="24"/>
    <x v="0"/>
    <s v="COLL"/>
    <x v="1"/>
    <x v="0"/>
    <m/>
  </r>
  <r>
    <n v="3"/>
    <d v="2025-11-01T10:16:40"/>
    <s v="84bd70a4-2508-4125-ab4b-a83ccf1a7416"/>
    <s v="LatLng(lat: 0.9154369, lng: 104.4938651)"/>
    <s v="TP-25-F0000210"/>
    <s v="MURNIATI"/>
    <s v="BP 2109 BN"/>
    <x v="0"/>
    <s v="01.GUNTUR"/>
    <s v="A"/>
    <n v="12"/>
    <s v="MH1JM011XMK466927"/>
    <s v="JM01E1466055"/>
    <s v="HONDA"/>
    <s v="SCOOPY"/>
    <s v="HITAM"/>
    <s v="JG"/>
    <s v="GAGAL BAYAR"/>
    <n v="7"/>
    <n v="24"/>
    <x v="1"/>
    <s v="ALL"/>
    <x v="2"/>
    <x v="0"/>
    <m/>
  </r>
  <r>
    <n v="4"/>
    <d v="2025-11-01T10:26:41"/>
    <s v="a4f24bfd-45be-407a-a9ce-5da8e226108b"/>
    <s v="LatLng(lat: 1.043314, lng: 103.9794592)"/>
    <s v="SP-25-F0000357"/>
    <s v="HERU SANJAYA"/>
    <s v="BP 3678 UC"/>
    <x v="1"/>
    <s v="MARTIN"/>
    <s v=" "/>
    <n v="13"/>
    <s v="MH1JM8118LK302816"/>
    <s v="JM81E1304765"/>
    <s v="HONDA"/>
    <s v="BEAT"/>
    <s v="HITAM"/>
    <s v="JG"/>
    <s v="GAGAL BAYAR"/>
    <n v="1"/>
    <n v="18"/>
    <x v="2"/>
    <s v="COLL"/>
    <x v="1"/>
    <x v="0"/>
    <m/>
  </r>
  <r>
    <n v="5"/>
    <d v="2025-11-01T10:26:46"/>
    <s v="50dfc547-071b-4547-a06d-921c46792c75"/>
    <s v="LatLng(lat: 1.1274611380791384, lng: 104.05253467365443)"/>
    <s v="SP-25-F0000357"/>
    <s v="HERU SANJAYA"/>
    <s v="BP 3678 UC"/>
    <x v="1"/>
    <s v="MARTIN"/>
    <s v=" "/>
    <n v="13"/>
    <s v="MH1JM8118LK302816"/>
    <s v="JM81E1304765"/>
    <s v="HONDA"/>
    <s v="BEAT"/>
    <s v="HITAM"/>
    <s v="JG"/>
    <s v="GAGAL BAYAR"/>
    <n v="1"/>
    <n v="18"/>
    <x v="3"/>
    <s v="ALL"/>
    <x v="1"/>
    <x v="0"/>
    <m/>
  </r>
  <r>
    <n v="6"/>
    <d v="2025-11-01T11:20:28"/>
    <s v="5d155998-3b32-426c-9f80-9898af00922a"/>
    <s v="LatLng(lat: 1.0394741, lng: 103.9911497)"/>
    <s v="SP-25-F0001685"/>
    <s v="JUWITA BUDIARTI"/>
    <s v="BP 5591 G"/>
    <x v="0"/>
    <s v="13.CALL CENTER"/>
    <s v="A"/>
    <n v="17"/>
    <s v="MH3RG4760PK066398"/>
    <s v="G3S7E0080613"/>
    <s v="YAMAHA"/>
    <s v="XSR 155"/>
    <s v="HITAM"/>
    <s v="JG"/>
    <s v="LUNAS"/>
    <n v="3"/>
    <n v="6"/>
    <x v="4"/>
    <s v="COLL"/>
    <x v="0"/>
    <x v="0"/>
    <m/>
  </r>
  <r>
    <n v="7"/>
    <d v="2025-11-01T12:02:12"/>
    <s v="97b899c7-a738-4c0c-a57d-47d1be720bd2"/>
    <s v="LatLng(lat: 1.0432951, lng: 103.9796114)"/>
    <s v="SP-25-F0001868"/>
    <s v="RINO ARI MUKTI"/>
    <s v="BP 3218 RH"/>
    <x v="2"/>
    <s v="BELUM JTO"/>
    <s v="A"/>
    <n v="1"/>
    <s v="MH1JM021XNK642472"/>
    <s v="JM02E1640421"/>
    <s v="HONDA"/>
    <s v="SCOOPY KEYLEES"/>
    <s v="PUTIH"/>
    <s v="JG"/>
    <s v="BELUM JTO"/>
    <n v="3"/>
    <n v="12"/>
    <x v="5"/>
    <s v="COLL"/>
    <x v="0"/>
    <x v="0"/>
    <m/>
  </r>
  <r>
    <n v="8"/>
    <d v="2025-11-01T14:26:11"/>
    <s v="5d155998-3b32-426c-9f80-9898af00922a"/>
    <s v="LatLng(lat: 1.0381672, lng: 103.9688684)"/>
    <s v="OD-23-F0000672"/>
    <s v="SHONI KLINTEN"/>
    <s v="BP 3698 GB"/>
    <x v="3"/>
    <s v="MARTIN"/>
    <s v="A"/>
    <n v="8"/>
    <s v="MH1KB1112FK038613"/>
    <s v="KB11E1040319"/>
    <s v="HONDA"/>
    <s v="SONIC"/>
    <s v="HITAM"/>
    <s v="JG"/>
    <s v="GAGAL BAYAR"/>
    <n v="24"/>
    <n v="24"/>
    <x v="4"/>
    <s v="COLL"/>
    <x v="3"/>
    <x v="0"/>
    <m/>
  </r>
  <r>
    <n v="9"/>
    <d v="2025-11-01T16:35:43"/>
    <s v="a4f24bfd-45be-407a-a9ce-5da8e226108b"/>
    <s v="LatLng(lat: 1.0432819, lng: 103.9795897)"/>
    <s v="SP-24-F0002602"/>
    <s v="INDRA SETIAWAN"/>
    <s v="BP 3685 HP"/>
    <x v="1"/>
    <s v="PAUL"/>
    <s v=" "/>
    <n v="4"/>
    <s v="MH1JFZ121JK882979"/>
    <s v="JFZ1E2886680"/>
    <s v="HONDA"/>
    <s v="BEAT"/>
    <s v="PUTIH"/>
    <s v="JG"/>
    <s v="GAGAL BAYAR"/>
    <n v="1"/>
    <n v="24"/>
    <x v="2"/>
    <s v="COLL"/>
    <x v="1"/>
    <x v="0"/>
    <m/>
  </r>
  <r>
    <n v="10"/>
    <d v="2025-11-01T16:55:11"/>
    <s v="1544d06d-d3ae-4f27-a81b-96b8341d1255"/>
    <s v="LatLng(lat: 0.9018516, lng: 104.5682532)"/>
    <s v="TP-25-F0000401"/>
    <s v="AZWIN KURNIAWAN"/>
    <s v="BP 5753 GW"/>
    <x v="0"/>
    <s v="01.GUNTUR"/>
    <s v="A"/>
    <n v="1"/>
    <s v="MH3SG3190KJ803622"/>
    <s v="G3E4E1764291"/>
    <s v="YAMAHA"/>
    <s v="NMAX"/>
    <s v="HITAM"/>
    <s v="JG"/>
    <s v="GAGAL BAYAR"/>
    <n v="4"/>
    <n v="24"/>
    <x v="6"/>
    <s v="ALL"/>
    <x v="4"/>
    <x v="1"/>
    <m/>
  </r>
  <r>
    <n v="11"/>
    <d v="2025-11-01T17:10:18"/>
    <s v="6d21de4b-42fc-49f2-86f3-40a2a9759695"/>
    <s v="LatLng(lat: 0.9070983, lng: 104.4757764)"/>
    <s v="TP-25-F0000084"/>
    <s v="RIO SOLI RAMADAN"/>
    <s v="BP 3760 PC"/>
    <x v="4"/>
    <s v="SATRIA"/>
    <s v="A"/>
    <n v="25"/>
    <s v="MH1JM5113LK519267"/>
    <s v="JM51E1519690"/>
    <s v="HONDA"/>
    <s v="VARIO"/>
    <s v="BIRU"/>
    <s v="JG"/>
    <s v="PARTIAL"/>
    <n v="8"/>
    <n v="12"/>
    <x v="0"/>
    <s v="COLL"/>
    <x v="0"/>
    <x v="0"/>
    <m/>
  </r>
  <r>
    <n v="12"/>
    <d v="2025-11-01T18:11:27"/>
    <s v="6d21de4b-42fc-49f2-86f3-40a2a9759695"/>
    <s v="LatLng(lat: 0.9075493, lng: 104.4721276)"/>
    <s v="TP-24-F0000595"/>
    <s v="WIWIN HARYADI"/>
    <s v="BP 2783 PJ"/>
    <x v="2"/>
    <s v="BELUM JTO"/>
    <s v="A"/>
    <n v="4"/>
    <s v="MH1JM011XMK218256"/>
    <s v="JM01E1221733"/>
    <s v="HONDA"/>
    <s v="SCOOPY"/>
    <s v="HITAM"/>
    <s v="JG"/>
    <s v="BELUM JTO"/>
    <n v="13"/>
    <n v="24"/>
    <x v="0"/>
    <s v="COLL"/>
    <x v="0"/>
    <x v="0"/>
    <m/>
  </r>
  <r>
    <n v="13"/>
    <d v="2025-11-01T18:19:44"/>
    <s v="74bb1709-aa7b-4b41-a082-a2af867fd15e"/>
    <s v="LatLng(lat: 1.0281183503799802, lng: 103.95885441452265)"/>
    <s v="SP-25-F0000093"/>
    <s v="AFRIZAL CHANDRA"/>
    <s v="BP 2176 Q"/>
    <x v="0"/>
    <s v="10.MIDUK"/>
    <s v="A"/>
    <n v="11"/>
    <s v="MH1JM0411PK226827"/>
    <s v="JM04E1226846"/>
    <s v="HONDA"/>
    <s v="SCOOPY KEYLESS"/>
    <s v="HIJAU"/>
    <s v="JG"/>
    <s v="DONE"/>
    <n v="9"/>
    <n v="12"/>
    <x v="7"/>
    <s v="COLL"/>
    <x v="0"/>
    <x v="0"/>
    <m/>
  </r>
  <r>
    <n v="14"/>
    <d v="2025-11-01T21:54:55"/>
    <s v="5d155998-3b32-426c-9f80-9898af00922a"/>
    <s v="LatLng(lat: 1.0405211, lng: 103.9919603)"/>
    <s v="SP-25-F0000921"/>
    <s v="KHUROTUL IMTIHANIYAH"/>
    <s v="BP 3967 RM"/>
    <x v="0"/>
    <s v="11.RIMPUN "/>
    <s v="A"/>
    <n v="1"/>
    <s v="MH1JM8217NK472053"/>
    <s v="JM82E1470141"/>
    <s v="HONDA"/>
    <s v="BEAT STREET"/>
    <s v="HITAM"/>
    <s v="JG"/>
    <s v="DONE"/>
    <n v="5"/>
    <n v="12"/>
    <x v="4"/>
    <s v="COLL"/>
    <x v="0"/>
    <x v="0"/>
    <m/>
  </r>
  <r>
    <n v="15"/>
    <d v="2025-11-01T21:57:00"/>
    <s v="74bb1709-aa7b-4b41-a082-a2af867fd15e"/>
    <s v="LatLng(lat: 1.0281183503799802, lng: 103.95885441452265)"/>
    <s v="SP-24-F0002743"/>
    <s v="CHRESTINA JUNI PRASETYA AGUSTIN"/>
    <s v="BP 3066 UO"/>
    <x v="0"/>
    <s v="12.JUBRAIDER S"/>
    <s v="A"/>
    <n v="21"/>
    <s v="MH1JM0116MK254896"/>
    <s v="JM01E1252844"/>
    <s v="HONDA"/>
    <s v="SCOOPY NON KEYLESS"/>
    <s v="HITAM"/>
    <s v="JG"/>
    <s v="DONE"/>
    <n v="10"/>
    <n v="12"/>
    <x v="7"/>
    <s v="COLL"/>
    <x v="0"/>
    <x v="0"/>
    <m/>
  </r>
  <r>
    <n v="16"/>
    <d v="2025-11-01T22:04:50"/>
    <s v="5d155998-3b32-426c-9f80-9898af00922a"/>
    <s v="LatLng(lat: 1.0420826, lng: 103.9810061)"/>
    <s v="SP-24-F0001575"/>
    <s v="EDI EFRIANDI BANCIN"/>
    <s v="BP 4697 HE"/>
    <x v="0"/>
    <s v="03.DAULAT"/>
    <s v="A"/>
    <n v="3"/>
    <s v="MH3SG5620PK853081"/>
    <s v="G3L8E1823611"/>
    <s v="YAMAHA"/>
    <s v="NMAX"/>
    <s v="HIJAU"/>
    <s v="JG"/>
    <s v="DONE"/>
    <n v="14"/>
    <n v="18"/>
    <x v="4"/>
    <s v="COLL"/>
    <x v="0"/>
    <x v="0"/>
    <m/>
  </r>
  <r>
    <n v="17"/>
    <d v="2025-11-01T22:14:37"/>
    <s v="74bb1709-aa7b-4b41-a082-a2af867fd15e"/>
    <s v="LatLng(lat: 1.0230449, lng: 103.9622884)"/>
    <s v="OD-25-F0000181"/>
    <s v="SUSIWATI"/>
    <s v="BP 4290 I"/>
    <x v="0"/>
    <s v="13.CALL CENTER"/>
    <s v="A"/>
    <n v="21"/>
    <s v="MH1JMG115RK071764"/>
    <s v="JMG1E1071707"/>
    <s v="HONDA"/>
    <s v="BEAT STREET"/>
    <s v="HITAM"/>
    <s v="JG"/>
    <s v="DONE"/>
    <n v="9"/>
    <n v="12"/>
    <x v="7"/>
    <s v="COLL"/>
    <x v="0"/>
    <x v="0"/>
    <m/>
  </r>
  <r>
    <n v="18"/>
    <d v="2025-11-02T09:55:03"/>
    <s v="eea94692-e3ef-470d-a986-47d8940e37c5"/>
    <s v="LatLng(lat: 1.0598035, lng: 103.9726909)"/>
    <s v="SP-24-F0002050"/>
    <s v="SUHERNI"/>
    <s v="BP 2779 MQ"/>
    <x v="2"/>
    <s v="BELUM JTO"/>
    <s v="A"/>
    <n v="1"/>
    <s v="MH1KC5215EK188717"/>
    <s v="KC52E1186859"/>
    <s v="HONDA"/>
    <s v="VERZA 150"/>
    <s v="MERAH"/>
    <s v="JG"/>
    <s v="BELUM JTO"/>
    <n v="13"/>
    <n v="18"/>
    <x v="8"/>
    <s v="COLL"/>
    <x v="0"/>
    <x v="0"/>
    <m/>
  </r>
  <r>
    <n v="19"/>
    <d v="2025-11-02T19:05:57"/>
    <s v="5d155998-3b32-426c-9f80-9898af00922a"/>
    <s v="LatLng(lat: 1.0428264, lng: 103.9798702)"/>
    <s v="SP-25-F0001293"/>
    <s v="FRANSISCUS VILIUS"/>
    <s v="BP 3798 HF"/>
    <x v="0"/>
    <s v="08.JOSRI"/>
    <s v="A"/>
    <n v="10"/>
    <s v="MH1KC9110JK169754"/>
    <s v="KC91E1159570"/>
    <s v="HONDA"/>
    <s v="CBR 150 LED"/>
    <s v="MERAH PUTIH"/>
    <s v="JG"/>
    <s v="DONE"/>
    <n v="4"/>
    <n v="18"/>
    <x v="4"/>
    <s v="COLL"/>
    <x v="0"/>
    <x v="0"/>
    <m/>
  </r>
  <r>
    <n v="20"/>
    <d v="2025-11-03T08:29:40"/>
    <s v="dcc6f40b-a9a1-43d4-bd37-f0019f505bcd"/>
    <s v="LatLng(lat: 1.0407149, lng: 103.9875196)"/>
    <s v="SP-25-F0001380"/>
    <s v="ERWIN RICARDO NAPITUPULU"/>
    <s v="BP 3498 JU"/>
    <x v="0"/>
    <s v=" "/>
    <s v="A"/>
    <n v="20"/>
    <s v="MH1JM3136LK370388"/>
    <s v="JM31E3364558"/>
    <s v="HONDA"/>
    <s v="SCOOPY"/>
    <s v="MERAH HITAM"/>
    <s v="JG"/>
    <s v="BELUM JTO"/>
    <n v="5"/>
    <n v="18"/>
    <x v="9"/>
    <s v="COLL"/>
    <x v="0"/>
    <x v="0"/>
    <m/>
  </r>
  <r>
    <n v="21"/>
    <d v="2025-11-03T09:10:32"/>
    <s v="97b899c7-a738-4c0c-a57d-47d1be720bd2"/>
    <s v="LatLng(lat: 1.0433301, lng: 103.9794961)"/>
    <s v="SP-24-F0001301"/>
    <s v="SUPARYONO"/>
    <s v="BP 2889 Q"/>
    <x v="0"/>
    <s v=" "/>
    <s v="A"/>
    <n v="1"/>
    <s v="MH1JM821XPK803002"/>
    <s v="JM82E1801707"/>
    <s v="HONDA"/>
    <s v="BEAT"/>
    <s v="SILVER"/>
    <s v="JG"/>
    <s v="DONE"/>
    <n v="16"/>
    <n v="18"/>
    <x v="5"/>
    <s v="COLL"/>
    <x v="0"/>
    <x v="0"/>
    <m/>
  </r>
  <r>
    <n v="22"/>
    <d v="2025-11-03T09:33:12"/>
    <s v="74bb1709-aa7b-4b41-a082-a2af867fd15e"/>
    <s v="LatLng(lat: 1.042488, lng: 103.9828281)"/>
    <s v="SP-24-F0002743"/>
    <s v="CHRESTINA JUNI PRASETYA AGUSTIN"/>
    <s v="BP 3066 UO"/>
    <x v="0"/>
    <s v=" "/>
    <s v="A"/>
    <n v="21"/>
    <s v="MH1JM0116MK254896"/>
    <s v="JM01E1252844"/>
    <s v="HONDA"/>
    <s v="SCOOPY NON KEYLESS"/>
    <s v="HITAM"/>
    <s v="JG"/>
    <s v="BELUM JTO"/>
    <n v="11"/>
    <n v="12"/>
    <x v="7"/>
    <s v="COLL"/>
    <x v="0"/>
    <x v="0"/>
    <m/>
  </r>
  <r>
    <n v="23"/>
    <d v="2025-11-03T10:09:24"/>
    <s v="fced54d3-7c26-48e8-91fe-7d7236e7f959"/>
    <s v="LatLng(lat: 1.0424166, lng: 103.9784589)"/>
    <s v="SP-25-F0000115"/>
    <s v="RIKI SAPUTRA"/>
    <s v="BP 6995 AU"/>
    <x v="0"/>
    <s v=" "/>
    <s v="A"/>
    <n v="14"/>
    <s v="MH1JM0313RK718165"/>
    <s v="JM03E1718130"/>
    <s v="HONDA"/>
    <s v="SCOOPY"/>
    <s v="BIRU PUTIH"/>
    <s v="JG"/>
    <s v="BELUM JTO"/>
    <n v="10"/>
    <n v="18"/>
    <x v="10"/>
    <s v="COLL"/>
    <x v="1"/>
    <x v="0"/>
    <m/>
  </r>
  <r>
    <n v="24"/>
    <d v="2025-11-03T10:56:22"/>
    <s v="6159b013-1d5d-41e6-b081-c5781a4ea31b"/>
    <s v="LatLng(lat: 1.0570411, lng: 103.9454007)"/>
    <s v="OD-25-F0000594"/>
    <s v="ASIR HANAPADA"/>
    <s v="BP 2440 AC"/>
    <x v="3"/>
    <s v="PAUL"/>
    <s v=" "/>
    <n v="1"/>
    <s v="MH1JM8124NK057184"/>
    <s v="JM81E2058842"/>
    <s v="HONDA"/>
    <s v="BEAT"/>
    <s v="HITAM"/>
    <s v="JG"/>
    <s v="GAGAL BAYAR"/>
    <n v="6"/>
    <n v="18"/>
    <x v="11"/>
    <s v="COLL"/>
    <x v="4"/>
    <x v="1"/>
    <m/>
  </r>
  <r>
    <n v="25"/>
    <d v="2025-11-03T11:07:38"/>
    <s v="97b899c7-a738-4c0c-a57d-47d1be720bd2"/>
    <s v="LatLng(lat: 1.0439694, lng: 103.9774744)"/>
    <s v="SP-25-F0001932"/>
    <s v="LUKMAN LABA"/>
    <s v="BP 2027 OG"/>
    <x v="0"/>
    <s v=" "/>
    <s v="A"/>
    <n v="4"/>
    <s v="MH1KB1117FK002349"/>
    <s v="KB11E1001247"/>
    <s v="HONDA"/>
    <s v="SONIC"/>
    <s v="HITAM"/>
    <s v="JG"/>
    <s v="BELUM JTO"/>
    <n v="3"/>
    <n v="18"/>
    <x v="5"/>
    <s v="COLL"/>
    <x v="0"/>
    <x v="0"/>
    <m/>
  </r>
  <r>
    <n v="26"/>
    <d v="2025-11-03T11:16:43"/>
    <s v="551fa799-4956-44f4-9122-ea915d0399f1"/>
    <s v="LatLng(lat: 1.0400567, lng: 104.00002)"/>
    <s v="SP-25-F0001398"/>
    <s v="SAFRIZAL SYAHRI"/>
    <s v="BP 6237 RC"/>
    <x v="0"/>
    <s v=" "/>
    <s v="A"/>
    <n v="17"/>
    <s v="MH1JFF11XEK352005"/>
    <s v="JFF1E1345278"/>
    <s v="HONDA"/>
    <s v="VARIO 125"/>
    <s v="BIRU"/>
    <s v="JG"/>
    <s v="BELUM JTO"/>
    <n v="5"/>
    <n v="12"/>
    <x v="12"/>
    <s v="COLL"/>
    <x v="0"/>
    <x v="0"/>
    <m/>
  </r>
  <r>
    <n v="27"/>
    <d v="2025-11-03T11:18:45"/>
    <s v="e0d931cf-6e64-4a91-a81a-04cf02d33a39"/>
    <s v="LatLng(lat: 1.0414617, lng: 104.0031433)"/>
    <s v="SP-25-F0000048"/>
    <s v="DANA SOBRIANA LIMANSAH"/>
    <s v="BP 3153 AI"/>
    <x v="0"/>
    <s v=" "/>
    <s v="A"/>
    <n v="7"/>
    <s v="MH1JFZ131KK307985"/>
    <s v="JFZ1E3308088"/>
    <s v="HONDA"/>
    <s v="BEAT"/>
    <s v="HITAM"/>
    <s v="JG"/>
    <s v="BELUM JTO"/>
    <n v="10"/>
    <n v="12"/>
    <x v="13"/>
    <s v="COLL"/>
    <x v="0"/>
    <x v="0"/>
    <m/>
  </r>
  <r>
    <n v="28"/>
    <d v="2025-11-03T11:26:04"/>
    <s v="dcc6f40b-a9a1-43d4-bd37-f0019f505bcd"/>
    <s v="LatLng(lat: 1.0560528, lng: 103.9500223)"/>
    <s v="DATA LUAR 9099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9"/>
    <s v="COLL"/>
    <x v="0"/>
    <x v="0"/>
    <m/>
  </r>
  <r>
    <n v="29"/>
    <d v="2025-11-03T11:26:52"/>
    <s v="dcc6f40b-a9a1-43d4-bd37-f0019f505bcd"/>
    <s v="LatLng(lat: 1.0566123, lng: 103.949952)"/>
    <s v="SP-25-F0000478"/>
    <s v="RIZKI FUADI"/>
    <s v="BP 5358 QQ"/>
    <x v="6"/>
    <s v=" "/>
    <s v=" "/>
    <n v="1"/>
    <s v="MH3RG4710KK107286"/>
    <s v="G3J6E0196961"/>
    <s v="YAMAHA"/>
    <s v="R15 V3"/>
    <s v="HITAM"/>
    <s v="JG"/>
    <s v="BELUM JTO"/>
    <n v="9"/>
    <n v="12"/>
    <x v="9"/>
    <s v="COLL"/>
    <x v="0"/>
    <x v="0"/>
    <m/>
  </r>
  <r>
    <n v="30"/>
    <d v="2025-11-03T11:27:39"/>
    <s v="6d21de4b-42fc-49f2-86f3-40a2a9759695"/>
    <s v="LatLng(lat: 0.9204662, lng: 104.5057895)"/>
    <s v="TP-24-F0000678"/>
    <s v="SAHRATUL ULFA"/>
    <s v="BP 2585 BU"/>
    <x v="0"/>
    <s v=" "/>
    <s v="A"/>
    <n v="4"/>
    <s v="MH1JM1117JK977609"/>
    <s v="JM11E1960743"/>
    <s v="HONDA"/>
    <s v="BEAT"/>
    <s v="MAGENTA HITAM"/>
    <s v="JG"/>
    <s v="BELUM JTO"/>
    <n v="12"/>
    <n v="36"/>
    <x v="0"/>
    <s v="COLL"/>
    <x v="0"/>
    <x v="0"/>
    <m/>
  </r>
  <r>
    <n v="31"/>
    <d v="2025-11-03T11:31:49"/>
    <s v="dcc6f40b-a9a1-43d4-bd37-f0019f505bcd"/>
    <s v="LatLng(lat: 1.0561685, lng: 103.9491399)"/>
    <s v="OD-25-F0000073"/>
    <s v="ANDI"/>
    <s v="BP 4687 AG"/>
    <x v="0"/>
    <s v=" "/>
    <s v="A"/>
    <n v="9"/>
    <s v="MH3SG5670MJ014157"/>
    <s v="G3L8E0402090"/>
    <s v="YAMAHA"/>
    <s v="NMAX"/>
    <s v="HITAM"/>
    <s v="JG"/>
    <s v="BELUM JTO"/>
    <n v="10"/>
    <n v="18"/>
    <x v="9"/>
    <s v="COLL"/>
    <x v="0"/>
    <x v="0"/>
    <m/>
  </r>
  <r>
    <n v="32"/>
    <d v="2025-11-03T11:31:52"/>
    <s v="688868a7-408e-44ae-b238-348dfc1995b0"/>
    <s v="LatLng(lat: 1.0561757, lng: 103.9490821)"/>
    <s v="OD-25-F0000073"/>
    <s v="ANDI"/>
    <s v="BP 4687 AG"/>
    <x v="0"/>
    <s v=" "/>
    <s v="A"/>
    <n v="9"/>
    <s v="MH3SG5670MJ014157"/>
    <s v="G3L8E0402090"/>
    <s v="YAMAHA"/>
    <s v="NMAX"/>
    <s v="HITAM"/>
    <s v="JG"/>
    <s v="BELUM JTO"/>
    <n v="10"/>
    <n v="18"/>
    <x v="14"/>
    <s v="COLL"/>
    <x v="0"/>
    <x v="0"/>
    <m/>
  </r>
  <r>
    <n v="33"/>
    <d v="2025-11-03T11:31:57"/>
    <s v="86afd147-8c0b-48e4-aaf8-44ad72c52985"/>
    <s v="LatLng(lat: 1.0562029, lng: 103.9491753)"/>
    <s v="OD-25-F0000073"/>
    <s v="ANDI"/>
    <s v="BP 4687 AG"/>
    <x v="0"/>
    <s v=" "/>
    <s v="A"/>
    <n v="9"/>
    <s v="MH3SG5670MJ014157"/>
    <s v="G3L8E0402090"/>
    <s v="YAMAHA"/>
    <s v="NMAX"/>
    <s v="HITAM"/>
    <s v="JG"/>
    <s v="BELUM JTO"/>
    <n v="10"/>
    <n v="18"/>
    <x v="15"/>
    <s v="COLL"/>
    <x v="0"/>
    <x v="0"/>
    <m/>
  </r>
  <r>
    <n v="34"/>
    <d v="2025-11-03T11:34:40"/>
    <s v="5d155998-3b32-426c-9f80-9898af00922a"/>
    <s v="LatLng(lat: 1.0330964, lng: 103.9973066)"/>
    <s v="SP-25-F0001414"/>
    <s v="ANDI APRILIANSYAH RITONGA"/>
    <s v="BP 3861 UH"/>
    <x v="0"/>
    <s v=" "/>
    <s v="A"/>
    <n v="18"/>
    <s v="MH1KF4116KK818324"/>
    <s v="KF41E1820804"/>
    <s v="HONDA"/>
    <s v="VARIO 150"/>
    <s v="MERAH"/>
    <s v="JG"/>
    <s v="BELUM JTO"/>
    <n v="5"/>
    <n v="12"/>
    <x v="4"/>
    <s v="COLL"/>
    <x v="0"/>
    <x v="0"/>
    <m/>
  </r>
  <r>
    <n v="35"/>
    <d v="2025-11-03T11:39:14"/>
    <s v="551fa799-4956-44f4-9122-ea915d0399f1"/>
    <s v="LatLng(lat: 1.0343533, lng: 103.9967667)"/>
    <s v="SP-25-F0002380"/>
    <s v="CECEP ARI MUKTI"/>
    <s v="BP 3739 JE"/>
    <x v="0"/>
    <s v=" "/>
    <s v=" "/>
    <n v="22"/>
    <s v="MH1JFD215DK941299"/>
    <s v="JFD2E1927724"/>
    <s v="HONDA"/>
    <s v="BEAT"/>
    <s v="ORANGE BIRU"/>
    <s v="JG"/>
    <s v="BELUM JTO"/>
    <n v="2"/>
    <n v="12"/>
    <x v="12"/>
    <s v="COLL"/>
    <x v="0"/>
    <x v="0"/>
    <m/>
  </r>
  <r>
    <n v="36"/>
    <d v="2025-11-03T11:43:38"/>
    <s v="74bb1709-aa7b-4b41-a082-a2af867fd15e"/>
    <s v="LatLng(lat: 1.039865, lng: 103.9975817)"/>
    <s v="SP-25-F0002182"/>
    <s v="AGUSTEN SIMANJUNTAK"/>
    <s v="BP 2480 RA"/>
    <x v="0"/>
    <s v=" "/>
    <s v="A"/>
    <n v="1"/>
    <s v="MH1JM8121NK044800"/>
    <s v="JM81E2043389"/>
    <s v="HONDA"/>
    <s v="BEAT"/>
    <s v="HITAM"/>
    <s v="JG"/>
    <s v="GAGAL BAYAR"/>
    <n v="2"/>
    <n v="6"/>
    <x v="7"/>
    <s v="COLL"/>
    <x v="0"/>
    <x v="0"/>
    <m/>
  </r>
  <r>
    <n v="37"/>
    <d v="2025-11-03T11:45:55"/>
    <s v="74bb1709-aa7b-4b41-a082-a2af867fd15e"/>
    <s v="LatLng(lat: 1.0393433, lng: 103.99743)"/>
    <s v="SP-25-F0000827"/>
    <s v="DARMO JANUARIS GULTOM"/>
    <s v="BP 5721 OJ"/>
    <x v="0"/>
    <s v=" "/>
    <s v="A"/>
    <n v="14"/>
    <s v="MH3RG1810GK248990"/>
    <s v="G3E7E0250217"/>
    <s v="YAMAHA"/>
    <s v="VIXION ADV"/>
    <s v="BIRU"/>
    <s v="JG"/>
    <s v="BELUM JTO"/>
    <n v="7"/>
    <n v="12"/>
    <x v="7"/>
    <s v="COLL"/>
    <x v="0"/>
    <x v="0"/>
    <m/>
  </r>
  <r>
    <n v="38"/>
    <d v="2025-11-03T11:47:04"/>
    <s v="688868a7-408e-44ae-b238-348dfc1995b0"/>
    <s v="LatLng(lat: 1.056165, lng: 103.9491133)"/>
    <s v="SP-24-F0002469"/>
    <s v="AHMAD SANJAYA"/>
    <s v="BP 3248 RH"/>
    <x v="0"/>
    <s v=" "/>
    <s v="A"/>
    <n v="15"/>
    <s v="MH1KFA111NK000504"/>
    <s v="KFA1E1000328"/>
    <s v="HONDA"/>
    <s v="VARIO 160"/>
    <s v="PUTIH"/>
    <s v="JG"/>
    <s v="BELUM JTO"/>
    <n v="12"/>
    <n v="18"/>
    <x v="14"/>
    <s v="COLL"/>
    <x v="0"/>
    <x v="0"/>
    <m/>
  </r>
  <r>
    <n v="39"/>
    <d v="2025-11-03T11:47:10"/>
    <s v="86afd147-8c0b-48e4-aaf8-44ad72c52985"/>
    <s v="LatLng(lat: 1.0561759, lng: 103.9491346)"/>
    <s v="SP-24-F0002469"/>
    <s v="AHMAD SANJAYA"/>
    <s v="BP 3248 RH"/>
    <x v="0"/>
    <s v=" "/>
    <s v="A"/>
    <n v="15"/>
    <s v="MH1KFA111NK000504"/>
    <s v="KFA1E1000328"/>
    <s v="HONDA"/>
    <s v="VARIO 160"/>
    <s v="PUTIH"/>
    <s v="JG"/>
    <s v="BELUM JTO"/>
    <n v="12"/>
    <n v="18"/>
    <x v="15"/>
    <s v="COLL"/>
    <x v="0"/>
    <x v="0"/>
    <m/>
  </r>
  <r>
    <n v="40"/>
    <d v="2025-11-03T11:52:03"/>
    <s v="dcc6f40b-a9a1-43d4-bd37-f0019f505bcd"/>
    <s v="LatLng(lat: 1.0561696, lng: 103.9490863)"/>
    <s v="OD-24-F0001386"/>
    <s v="SUBARI"/>
    <s v="BP 5175 JH"/>
    <x v="0"/>
    <s v=" "/>
    <s v="A"/>
    <n v="22"/>
    <s v="MH33C1205DK173050"/>
    <s v="3C11172764"/>
    <s v="YAMAHA"/>
    <s v="VIXION"/>
    <s v="MERAH MARUN"/>
    <s v="JG"/>
    <s v="BELUM JTO"/>
    <n v="18"/>
    <n v="18"/>
    <x v="9"/>
    <s v="COLL"/>
    <x v="0"/>
    <x v="0"/>
    <m/>
  </r>
  <r>
    <n v="41"/>
    <d v="2025-11-03T11:57:35"/>
    <s v="e0d931cf-6e64-4a91-a81a-04cf02d33a39"/>
    <s v="LatLng(lat: 1.041225, lng: 103.990165)"/>
    <s v="OD-25-F0000341"/>
    <s v="RAMADHAN PUTRA"/>
    <s v="BP 3163 RH"/>
    <x v="0"/>
    <s v=" "/>
    <s v="A"/>
    <n v="3"/>
    <s v="MH1KB1110MK314557"/>
    <s v="KB11E1314203"/>
    <s v="HONDA"/>
    <s v="SONIC"/>
    <s v="MERAH-PUTIH"/>
    <s v="JG"/>
    <s v="GAGAL BAYAR"/>
    <n v="9"/>
    <n v="18"/>
    <x v="13"/>
    <s v="COLL"/>
    <x v="0"/>
    <x v="0"/>
    <m/>
  </r>
  <r>
    <n v="42"/>
    <d v="2025-11-03T11:59:54"/>
    <s v="5d155998-3b32-426c-9f80-9898af00922a"/>
    <s v="LatLng(lat: 1.0472749, lng: 103.9966242)"/>
    <s v="SP-25-F0002004"/>
    <s v="NELWAN SINAGA"/>
    <s v="BP 2875 QO"/>
    <x v="0"/>
    <s v=" "/>
    <s v="A"/>
    <n v="12"/>
    <s v="MH1KC821XGK085314"/>
    <s v="KC82E1089237"/>
    <s v="HONDA"/>
    <s v="CB 150"/>
    <s v="MERAH"/>
    <s v="JG"/>
    <s v="BELUM JTO"/>
    <n v="3"/>
    <n v="12"/>
    <x v="4"/>
    <s v="COLL"/>
    <x v="0"/>
    <x v="0"/>
    <m/>
  </r>
  <r>
    <n v="43"/>
    <d v="2025-11-03T12:00:53"/>
    <s v="5d155998-3b32-426c-9f80-9898af00922a"/>
    <s v="LatLng(lat: 1.04686, lng: 103.9971833)"/>
    <s v="SP-25-F0000271"/>
    <s v="DESI CHRISMES HUTAGALUNG"/>
    <s v="BP 3842 OU"/>
    <x v="0"/>
    <s v=" "/>
    <s v="A"/>
    <n v="5"/>
    <s v="MH1JM0110MK244798"/>
    <s v="JM01E1243719"/>
    <s v="HONDA"/>
    <s v="SCOOPY NON KEY"/>
    <s v="KREM COKLAT"/>
    <s v="JG"/>
    <s v="BELUM JTO"/>
    <n v="9"/>
    <n v="18"/>
    <x v="4"/>
    <s v="COLL"/>
    <x v="0"/>
    <x v="0"/>
    <m/>
  </r>
  <r>
    <n v="44"/>
    <d v="2025-11-03T12:06:37"/>
    <s v="74bb1709-aa7b-4b41-a082-a2af867fd15e"/>
    <s v="LatLng(lat: 1.040085, lng: 103.9910733)"/>
    <s v="OD-24-F0001371"/>
    <s v="MEILANY"/>
    <s v="BP 3086 UO"/>
    <x v="0"/>
    <s v=" "/>
    <s v="A"/>
    <n v="21"/>
    <s v="MH1JM0214MK274675"/>
    <s v="JM02E1274303"/>
    <s v="HONDA"/>
    <s v="SCOOPY"/>
    <s v="PUTIH"/>
    <s v="JG"/>
    <s v="BELUM JTO"/>
    <n v="18"/>
    <n v="24"/>
    <x v="7"/>
    <s v="COLL"/>
    <x v="0"/>
    <x v="0"/>
    <m/>
  </r>
  <r>
    <n v="45"/>
    <d v="2025-11-03T12:09:08"/>
    <s v="dcc6f40b-a9a1-43d4-bd37-f0019f505bcd"/>
    <s v="LatLng(lat: 1.0561887, lng: 103.949076)"/>
    <s v="OD-24-F0001836"/>
    <s v="ROSI NOVIZA"/>
    <s v="BP 3998 IG"/>
    <x v="0"/>
    <s v=" "/>
    <s v="A"/>
    <n v="6"/>
    <s v="MH1JFC118DK191067"/>
    <s v="JFC1E1190679"/>
    <s v="HONDA"/>
    <s v="VARIO"/>
    <s v="HITAM"/>
    <s v="JG"/>
    <s v="BELUM JTO"/>
    <n v="16"/>
    <n v="24"/>
    <x v="9"/>
    <s v="COLL"/>
    <x v="0"/>
    <x v="0"/>
    <m/>
  </r>
  <r>
    <n v="46"/>
    <d v="2025-11-03T12:09:11"/>
    <s v="86afd147-8c0b-48e4-aaf8-44ad72c52985"/>
    <s v="LatLng(lat: 1.0561935, lng: 103.9490608)"/>
    <s v="OD-24-F0001836"/>
    <s v="ROSI NOVIZA"/>
    <s v="BP 3998 IG"/>
    <x v="0"/>
    <s v=" "/>
    <s v="A"/>
    <n v="6"/>
    <s v="MH1JFC118DK191067"/>
    <s v="JFC1E1190679"/>
    <s v="HONDA"/>
    <s v="VARIO"/>
    <s v="HITAM"/>
    <s v="JG"/>
    <s v="BELUM JTO"/>
    <n v="16"/>
    <n v="24"/>
    <x v="15"/>
    <s v="COLL"/>
    <x v="0"/>
    <x v="0"/>
    <m/>
  </r>
  <r>
    <n v="47"/>
    <d v="2025-11-03T12:10:59"/>
    <s v="5d155998-3b32-426c-9f80-9898af00922a"/>
    <s v="LatLng(lat: 1.0403699, lng: 103.9936155)"/>
    <s v="SP-25-F0002445"/>
    <s v="ADE KURNIAWAN"/>
    <s v="BP 2982 UI"/>
    <x v="0"/>
    <s v=" "/>
    <s v=" "/>
    <n v="1"/>
    <s v="MH1JM8119MK738737"/>
    <s v="JM81E1740776"/>
    <s v="HONDA"/>
    <s v="BEAT DIGITAL"/>
    <s v="HITAM"/>
    <s v="JG"/>
    <s v="DONE"/>
    <n v="1"/>
    <n v="18"/>
    <x v="4"/>
    <s v="COLL"/>
    <x v="0"/>
    <x v="0"/>
    <m/>
  </r>
  <r>
    <n v="48"/>
    <d v="2025-11-03T12:11:59"/>
    <s v="74bb1709-aa7b-4b41-a082-a2af867fd15e"/>
    <s v="LatLng(lat: 1.0415517, lng: 103.99068)"/>
    <s v="OD-25-F0001636"/>
    <s v="RAJA NANDA ALKAUSAR"/>
    <s v="BP 5158 HH"/>
    <x v="0"/>
    <s v=" "/>
    <s v="A"/>
    <n v="1"/>
    <s v="MH1JM0425RK192192"/>
    <s v="JM04E2191457"/>
    <s v="HONDA"/>
    <s v="SCOOPY KEYLESS"/>
    <s v="PUTIH"/>
    <s v="JG"/>
    <s v="GAGAL BAYAR"/>
    <n v="2"/>
    <n v="18"/>
    <x v="7"/>
    <s v="COLL"/>
    <x v="0"/>
    <x v="0"/>
    <m/>
  </r>
  <r>
    <n v="49"/>
    <d v="2025-11-03T12:14:48"/>
    <s v="78c8aa58-d259-49a1-a96c-192417985ecf"/>
    <s v="LatLng(lat: 1.0815496, lng: 103.9448161)"/>
    <s v="SP-24-F0002522"/>
    <s v="NURDIANI DAULAY"/>
    <s v="BP 4824 AE"/>
    <x v="0"/>
    <s v=" "/>
    <s v="D"/>
    <n v="21"/>
    <s v="MH3SE88H0KJ096476"/>
    <s v="E3R2E2429583"/>
    <s v="YAMAHA"/>
    <s v="MIO M3"/>
    <s v="KUNING"/>
    <s v="JG"/>
    <s v="DONE"/>
    <n v="12"/>
    <n v="18"/>
    <x v="16"/>
    <s v="COLL"/>
    <x v="0"/>
    <x v="0"/>
    <m/>
  </r>
  <r>
    <n v="50"/>
    <d v="2025-11-03T12:15:29"/>
    <s v="78c8aa58-d259-49a1-a96c-192417985ecf"/>
    <s v="LatLng(lat: 1.0820893, lng: 103.9443798)"/>
    <s v="SP-25-F0000472"/>
    <s v="TAMRIN"/>
    <s v="BP 2060 RU"/>
    <x v="0"/>
    <s v=" "/>
    <s v="A"/>
    <n v="1"/>
    <s v="MH1JFZ210KK672574"/>
    <s v="JFZ2E1671385"/>
    <s v="HONDA"/>
    <s v="BEAT STREET"/>
    <s v="HITAM"/>
    <s v="JG"/>
    <s v="DONE"/>
    <n v="8"/>
    <n v="24"/>
    <x v="16"/>
    <s v="COLL"/>
    <x v="0"/>
    <x v="0"/>
    <m/>
  </r>
  <r>
    <n v="51"/>
    <d v="2025-11-03T12:18:27"/>
    <s v="78c8aa58-d259-49a1-a96c-192417985ecf"/>
    <s v="LatLng(lat: 1.0810651, lng: 103.9449221)"/>
    <s v="SP-25-F0000658"/>
    <s v="MUJIAN"/>
    <s v="BP 3695 HF"/>
    <x v="7"/>
    <s v="TALENTA S"/>
    <s v=" "/>
    <n v="21"/>
    <s v="MH1KC8214JK209777"/>
    <s v="KC82E1202988"/>
    <s v="HONDA"/>
    <s v="CB 150"/>
    <s v="MERAH"/>
    <s v="JG"/>
    <s v="GAGAL BAYAR"/>
    <n v="7"/>
    <n v="12"/>
    <x v="16"/>
    <s v="COLL"/>
    <x v="5"/>
    <x v="1"/>
    <m/>
  </r>
  <r>
    <n v="52"/>
    <d v="2025-11-03T12:57:27"/>
    <s v="688868a7-408e-44ae-b238-348dfc1995b0"/>
    <s v="LatLng(lat: 1.0847433, lng: 103.9406717)"/>
    <s v="OD-24-F0001707"/>
    <s v="ADI"/>
    <s v="BP 5423 AJ"/>
    <x v="0"/>
    <s v=" "/>
    <s v="A"/>
    <n v="22"/>
    <s v="MH3SE88F0NJ107189"/>
    <s v="E3W6E0342801"/>
    <s v="YAMAHA"/>
    <s v="FINO"/>
    <s v="MERAH"/>
    <s v="JG"/>
    <s v="BELUM JTO"/>
    <n v="17"/>
    <n v="18"/>
    <x v="14"/>
    <s v="COLL"/>
    <x v="0"/>
    <x v="0"/>
    <m/>
  </r>
  <r>
    <n v="53"/>
    <d v="2025-11-03T13:16:22"/>
    <s v="688868a7-408e-44ae-b238-348dfc1995b0"/>
    <s v="LatLng(lat: 1.0429377, lng: 103.9517116)"/>
    <s v="SP-25-F0000901"/>
    <s v="HADI SUBROTO"/>
    <s v="BP 5060 HG"/>
    <x v="0"/>
    <s v=" "/>
    <s v="A"/>
    <n v="23"/>
    <s v="MH1JMC113RK534526"/>
    <s v="JMC1E1533733"/>
    <s v="HONDA"/>
    <s v="VARIO 125"/>
    <s v="HITAM"/>
    <s v="JG"/>
    <s v="BELUM JTO"/>
    <n v="7"/>
    <n v="24"/>
    <x v="14"/>
    <s v="COLL"/>
    <x v="0"/>
    <x v="0"/>
    <m/>
  </r>
  <r>
    <n v="54"/>
    <d v="2025-11-03T13:19:23"/>
    <s v="3be3f0c1-373f-4a45-946b-0ab494863da5"/>
    <s v="LatLng(lat: 1.0424517, lng: 103.9784326)"/>
    <s v="OD-24-F0001266"/>
    <s v="CHANDRA FITRI DEWI"/>
    <s v="BP 2475 RH"/>
    <x v="1"/>
    <s v="PAUL"/>
    <s v=" "/>
    <n v="10"/>
    <s v="MH1KF7110NK208554"/>
    <s v="KF71E1208442"/>
    <s v="HONDA"/>
    <s v="PCX"/>
    <s v="ABU- ABU"/>
    <s v="JG"/>
    <s v="GAGAL BAYAR"/>
    <n v="6"/>
    <n v="12"/>
    <x v="17"/>
    <s v="COLL"/>
    <x v="1"/>
    <x v="0"/>
    <m/>
  </r>
  <r>
    <n v="55"/>
    <d v="2025-11-03T13:24:58"/>
    <s v="78c8aa58-d259-49a1-a96c-192417985ecf"/>
    <s v="LatLng(lat: 1.0812082, lng: 103.9441041)"/>
    <s v="SP-25-F0000988"/>
    <s v="RIYANTO"/>
    <s v="BP 4319 CE"/>
    <x v="0"/>
    <s v=" "/>
    <s v="A"/>
    <n v="5"/>
    <s v="MH1KC4119EK282756"/>
    <s v="KC41E1280440"/>
    <s v="HONDA"/>
    <s v="CB 150 R"/>
    <s v="MERAH"/>
    <s v="JG"/>
    <s v="BELUM JTO"/>
    <n v="6"/>
    <n v="12"/>
    <x v="16"/>
    <s v="COLL"/>
    <x v="0"/>
    <x v="0"/>
    <m/>
  </r>
  <r>
    <n v="56"/>
    <d v="2025-11-03T13:36:27"/>
    <s v="78c8aa58-d259-49a1-a96c-192417985ecf"/>
    <s v="LatLng(lat: 1.081298, lng: 103.9422959)"/>
    <s v="OD-24-F0002151"/>
    <s v="M. ZAIMIDEN"/>
    <s v="BP 6062 GQ"/>
    <x v="6"/>
    <s v=" "/>
    <s v=" "/>
    <n v="1"/>
    <s v="MH8DL11AZGJ116173"/>
    <s v="CGA1ID116845"/>
    <s v="SUZUKI"/>
    <s v="SATRIA FU"/>
    <s v="HITAM"/>
    <s v="JG"/>
    <s v="BELUM JTO"/>
    <n v="16"/>
    <n v="18"/>
    <x v="16"/>
    <s v="COLL"/>
    <x v="0"/>
    <x v="0"/>
    <m/>
  </r>
  <r>
    <n v="57"/>
    <d v="2025-11-03T13:52:05"/>
    <s v="74bb1709-aa7b-4b41-a082-a2af867fd15e"/>
    <s v="LatLng(lat: 1.0587108, lng: 103.9447459)"/>
    <s v="OD-24-F0003460"/>
    <s v="ROSMILI"/>
    <s v="BP 3163 MW"/>
    <x v="0"/>
    <s v=" "/>
    <s v="A"/>
    <n v="19"/>
    <s v="MH1JM3120KK548771"/>
    <s v="JM31E2544497"/>
    <s v="HONDA"/>
    <s v="SCOOPY STYLISH"/>
    <s v="MERAH HITAM"/>
    <s v="JG"/>
    <s v="BELUM JTO"/>
    <n v="11"/>
    <n v="18"/>
    <x v="7"/>
    <s v="COLL"/>
    <x v="0"/>
    <x v="0"/>
    <m/>
  </r>
  <r>
    <n v="58"/>
    <d v="2025-11-03T13:52:16"/>
    <s v="551fa799-4956-44f4-9122-ea915d0399f1"/>
    <s v="LatLng(lat: 1.0569784, lng: 103.943269)"/>
    <s v="SP-24-F0002069"/>
    <s v="SARMA SILITONGA"/>
    <s v="BP 2219 FM"/>
    <x v="6"/>
    <s v=" "/>
    <s v=" "/>
    <n v="1"/>
    <s v="MH1KF0112PK415022"/>
    <s v="KF01E1415083"/>
    <s v="HONDA"/>
    <s v="VARIO 160"/>
    <s v="MERAH"/>
    <s v="JG"/>
    <s v="BELUM JTO"/>
    <n v="14"/>
    <n v="18"/>
    <x v="12"/>
    <s v="COLL"/>
    <x v="0"/>
    <x v="0"/>
    <m/>
  </r>
  <r>
    <n v="59"/>
    <d v="2025-11-03T14:00:24"/>
    <s v="74bb1709-aa7b-4b41-a082-a2af867fd15e"/>
    <s v="LatLng(lat: 1.06523, lng: 103.9414202)"/>
    <s v="SP-24-F0000770"/>
    <s v="ELFINASRIANI SILITONGA"/>
    <s v="BP 4419 AI"/>
    <x v="4"/>
    <s v="TALENTA S"/>
    <s v=" "/>
    <n v="19"/>
    <s v="MH3SEG710MJ043401"/>
    <s v="E32WE0043403"/>
    <s v="YAMAHA"/>
    <s v="GEAR"/>
    <s v="ABU ABU"/>
    <s v="JG"/>
    <s v="GAGAL BAYAR"/>
    <n v="18"/>
    <n v="18"/>
    <x v="7"/>
    <s v="COLL"/>
    <x v="6"/>
    <x v="0"/>
    <m/>
  </r>
  <r>
    <n v="60"/>
    <d v="2025-11-03T14:10:59"/>
    <s v="551fa799-4956-44f4-9122-ea915d0399f1"/>
    <s v="LatLng(lat: 1.0564027, lng: 103.9484636)"/>
    <s v="SP-25-F0001116"/>
    <s v="LUSIA SUKINEM"/>
    <s v="BP 2461 OH"/>
    <x v="4"/>
    <s v="TALENTA S"/>
    <s v=" "/>
    <n v="17"/>
    <s v="MH1JFP116FK928390"/>
    <s v="JFP1E1892098"/>
    <s v="HONDA"/>
    <s v="BEAT"/>
    <s v="PUTIH MERAH"/>
    <s v="JG"/>
    <s v="GAGAL BAYAR"/>
    <n v="5"/>
    <n v="12"/>
    <x v="12"/>
    <s v="COLL"/>
    <x v="6"/>
    <x v="0"/>
    <m/>
  </r>
  <r>
    <n v="61"/>
    <d v="2025-11-03T14:15:34"/>
    <s v="551fa799-4956-44f4-9122-ea915d0399f1"/>
    <s v="LatLng(lat: 1.0564144, lng: 103.9482349)"/>
    <s v="SP-25-F0001857"/>
    <s v="SAIPUL ANWAR"/>
    <s v="BP 6248 JA"/>
    <x v="6"/>
    <s v=" "/>
    <s v=" "/>
    <n v="1"/>
    <s v="MH1JMH215SK131231"/>
    <s v="JMH2E1131550"/>
    <s v="HONDA"/>
    <s v="SCOOPY"/>
    <s v="HITAM"/>
    <s v="JG"/>
    <s v="BELUM JTO"/>
    <n v="4"/>
    <n v="12"/>
    <x v="12"/>
    <s v="COLL"/>
    <x v="0"/>
    <x v="0"/>
    <m/>
  </r>
  <r>
    <n v="62"/>
    <d v="2025-11-03T14:20:06"/>
    <s v="6f0ee670-8a9a-45ff-8c00-ca014f6aabeb"/>
    <s v="LatLng(lat: 1.0485767, lng: 103.953455)"/>
    <s v="SP-25-F0000253"/>
    <s v="DANIEL HALOMOAN"/>
    <s v="BP 6763 I"/>
    <x v="0"/>
    <s v=" "/>
    <s v="A"/>
    <n v="1"/>
    <s v="MH3SEG710RJ314819"/>
    <s v="E32WE0438330"/>
    <s v="YAMAHA"/>
    <s v="GEAR 125"/>
    <s v="HIJAU PERAK"/>
    <s v="JG"/>
    <s v="DONE"/>
    <n v="9"/>
    <n v="18"/>
    <x v="18"/>
    <s v="COLL"/>
    <x v="0"/>
    <x v="0"/>
    <m/>
  </r>
  <r>
    <n v="63"/>
    <d v="2025-11-03T14:20:10"/>
    <s v="51f658db-9885-4d52-99bd-8e1bf0356977"/>
    <s v="LatLng(lat: 1.0488969, lng: 103.95326)"/>
    <s v="SP-25-F0000253"/>
    <s v="DANIEL HALOMOAN"/>
    <s v="BP 6763 I"/>
    <x v="0"/>
    <s v=" "/>
    <s v="A"/>
    <n v="1"/>
    <s v="MH3SEG710RJ314819"/>
    <s v="E32WE0438330"/>
    <s v="YAMAHA"/>
    <s v="GEAR 125"/>
    <s v="HIJAU PERAK"/>
    <s v="JG"/>
    <s v="DONE"/>
    <n v="9"/>
    <n v="18"/>
    <x v="19"/>
    <s v="COLL"/>
    <x v="0"/>
    <x v="0"/>
    <m/>
  </r>
  <r>
    <n v="64"/>
    <d v="2025-11-03T14:24:39"/>
    <s v="551fa799-4956-44f4-9122-ea915d0399f1"/>
    <s v="LatLng(lat: 1.0564682, lng: 103.9485288)"/>
    <s v="SP-25-F0001780"/>
    <s v="TANTAN HENDRAWAN"/>
    <s v="BP 3969 AJ"/>
    <x v="0"/>
    <s v=" "/>
    <s v="A"/>
    <n v="22"/>
    <s v="MH1JFZ136KK354624"/>
    <s v="JFZ1E3354768"/>
    <s v="HONDA"/>
    <s v="BEAT FI"/>
    <s v="HITAM"/>
    <s v="JG"/>
    <s v="BELUM JTO"/>
    <n v="4"/>
    <n v="18"/>
    <x v="12"/>
    <s v="COLL"/>
    <x v="0"/>
    <x v="0"/>
    <m/>
  </r>
  <r>
    <n v="65"/>
    <d v="2025-11-03T14:26:04"/>
    <s v="551fa799-4956-44f4-9122-ea915d0399f1"/>
    <s v="LatLng(lat: 1.0563512, lng: 103.9485707)"/>
    <s v="SP-25-F0000347"/>
    <m/>
    <m/>
    <x v="8"/>
    <m/>
    <m/>
    <m/>
    <m/>
    <m/>
    <m/>
    <m/>
    <m/>
    <m/>
    <m/>
    <m/>
    <m/>
    <x v="12"/>
    <s v="COLL"/>
    <x v="0"/>
    <x v="0"/>
    <m/>
  </r>
  <r>
    <n v="66"/>
    <d v="2025-11-03T14:28:23"/>
    <s v="551fa799-4956-44f4-9122-ea915d0399f1"/>
    <s v="LatLng(lat: 1.0563954, lng: 103.9484962)"/>
    <s v="SP-25-F0002152"/>
    <s v="NAGAN EFENDI"/>
    <s v="BP 2297 UJ"/>
    <x v="0"/>
    <s v=" "/>
    <s v="A"/>
    <n v="2"/>
    <s v="MH1JM8113MK722193"/>
    <s v="JM81E1723321"/>
    <s v="HONDA"/>
    <s v="BEAT DIGITAL"/>
    <s v="BIRU HITAM"/>
    <s v="JG"/>
    <s v="GAGAL BAYAR"/>
    <n v="2"/>
    <n v="12"/>
    <x v="12"/>
    <s v="COLL"/>
    <x v="0"/>
    <x v="0"/>
    <m/>
  </r>
  <r>
    <n v="67"/>
    <d v="2025-11-03T14:29:15"/>
    <s v="551fa799-4956-44f4-9122-ea915d0399f1"/>
    <s v="LatLng(lat: 1.05635, lng: 103.9484881)"/>
    <s v="SP-24-F0002162"/>
    <s v="SUSANA NATALIA"/>
    <s v="BP 3274 RE"/>
    <x v="0"/>
    <s v=" "/>
    <s v="A"/>
    <n v="11"/>
    <s v="MH1JM8120NK004787"/>
    <s v="JM81E2006495"/>
    <s v="HONDA"/>
    <s v="BEAT"/>
    <s v="PUTIH HITAM"/>
    <s v="JG"/>
    <s v="DONE"/>
    <n v="13"/>
    <n v="18"/>
    <x v="12"/>
    <s v="COLL"/>
    <x v="0"/>
    <x v="0"/>
    <m/>
  </r>
  <r>
    <n v="68"/>
    <d v="2025-11-03T14:32:54"/>
    <s v="987e43b5-2fed-4ba1-8992-1b4d84e413ab"/>
    <s v="LatLng(lat: 1.0368351, lng: 103.9597032)"/>
    <s v="SP-24-F0002739"/>
    <s v="NURYANTO"/>
    <s v="BP 3297 HI"/>
    <x v="6"/>
    <s v=" "/>
    <s v=" "/>
    <n v="1"/>
    <s v="MH1KF411XJK032217"/>
    <s v="KF41E1033080"/>
    <s v="HONDA"/>
    <s v="VARIO 150"/>
    <s v="PUTIH"/>
    <s v="JG"/>
    <s v="BELUM JTO"/>
    <n v="11"/>
    <n v="12"/>
    <x v="20"/>
    <s v="COLL"/>
    <x v="0"/>
    <x v="0"/>
    <m/>
  </r>
  <r>
    <n v="69"/>
    <d v="2025-11-03T14:35:11"/>
    <s v="551fa799-4956-44f4-9122-ea915d0399f1"/>
    <s v="LatLng(lat: 1.0563452, lng: 103.9484306)"/>
    <s v="SP-25-F0002029"/>
    <s v="GANDA SIMANJUNTAK"/>
    <s v="BP 3051 UH"/>
    <x v="0"/>
    <s v=" "/>
    <s v="A"/>
    <n v="12"/>
    <s v="MH1JM4116KK483860"/>
    <s v="JM41E1482329"/>
    <s v="HONDA"/>
    <s v="VARIO THECNO 125"/>
    <s v="MERAH"/>
    <s v="JG"/>
    <s v="BELUM JTO"/>
    <n v="3"/>
    <n v="12"/>
    <x v="12"/>
    <s v="COLL"/>
    <x v="0"/>
    <x v="0"/>
    <m/>
  </r>
  <r>
    <n v="70"/>
    <d v="2025-11-03T14:37:16"/>
    <s v="1770dac3-81ca-4fab-8a6a-e60c63470def"/>
    <s v="LatLng(lat: 1.0487728, lng: 103.9532131)"/>
    <s v="SP-25-F0002415"/>
    <s v="AHMAD YANI"/>
    <s v="BP 3132 RC"/>
    <x v="0"/>
    <s v=" "/>
    <s v=" "/>
    <n v="26"/>
    <s v="MH1JMB114NK027672"/>
    <s v="JMB1E1027736"/>
    <s v="HONDA"/>
    <s v="GENIO"/>
    <s v="COKLAT"/>
    <s v="JG"/>
    <s v="BELUM JTO"/>
    <n v="2"/>
    <n v="6"/>
    <x v="21"/>
    <s v="COLL"/>
    <x v="0"/>
    <x v="0"/>
    <m/>
  </r>
  <r>
    <n v="71"/>
    <d v="2025-11-03T14:46:09"/>
    <s v="6f0ee670-8a9a-45ff-8c00-ca014f6aabeb"/>
    <s v="LatLng(lat: 1.0485467, lng: 103.9534267)"/>
    <s v="OD-25-F0001093"/>
    <s v="IRSAN"/>
    <s v="BP 5805 OA"/>
    <x v="0"/>
    <s v=" "/>
    <s v="A"/>
    <n v="14"/>
    <s v="MH1JMF111RK109825"/>
    <s v="JMF1E1110121"/>
    <s v="HONDA"/>
    <s v="BEAT"/>
    <s v="HITAM"/>
    <s v="JG"/>
    <s v="BELUM JTO"/>
    <n v="6"/>
    <n v="18"/>
    <x v="18"/>
    <s v="COLL"/>
    <x v="0"/>
    <x v="0"/>
    <m/>
  </r>
  <r>
    <n v="72"/>
    <d v="2025-11-03T14:46:16"/>
    <s v="51f658db-9885-4d52-99bd-8e1bf0356977"/>
    <s v="LatLng(lat: 1.0487723, lng: 103.9533237)"/>
    <s v="OD-25-F0001093"/>
    <s v="IRSAN"/>
    <s v="BP 5805 OA"/>
    <x v="0"/>
    <s v=" "/>
    <s v="A"/>
    <n v="14"/>
    <s v="MH1JMF111RK109825"/>
    <s v="JMF1E1110121"/>
    <s v="HONDA"/>
    <s v="BEAT"/>
    <s v="HITAM"/>
    <s v="JG"/>
    <s v="BELUM JTO"/>
    <n v="6"/>
    <n v="18"/>
    <x v="19"/>
    <s v="COLL"/>
    <x v="0"/>
    <x v="0"/>
    <m/>
  </r>
  <r>
    <n v="73"/>
    <d v="2025-11-03T14:47:31"/>
    <s v="5d155998-3b32-426c-9f80-9898af00922a"/>
    <s v="LatLng(lat: 1.0563672, lng: 103.9485008)"/>
    <s v="SP-24-F0002534"/>
    <s v="SYABARUDDIN HARAHAP S AG"/>
    <s v="BP 2575 HE"/>
    <x v="0"/>
    <s v=" "/>
    <s v="A"/>
    <n v="23"/>
    <s v="MH1KC5216JK377130"/>
    <s v="KC52E1373658"/>
    <s v="HONDA"/>
    <s v="VERZA 150 SPOKE"/>
    <s v="MERAH"/>
    <s v="JG"/>
    <s v="BELUM JTO"/>
    <n v="12"/>
    <n v="12"/>
    <x v="4"/>
    <s v="COLL"/>
    <x v="0"/>
    <x v="0"/>
    <m/>
  </r>
  <r>
    <n v="74"/>
    <d v="2025-11-03T15:08:41"/>
    <s v="5d155998-3b32-426c-9f80-9898af00922a"/>
    <s v="LatLng(lat: 1.0564829, lng: 103.9484566)"/>
    <s v="SP-25-F0000338"/>
    <s v="RIJON ERIANTO"/>
    <s v="BP 2161 RE"/>
    <x v="0"/>
    <s v=" "/>
    <s v="A"/>
    <n v="11"/>
    <s v="MH1JM8118NK992697"/>
    <s v="JM81E1993108"/>
    <s v="HONDA"/>
    <s v="BEAT FI"/>
    <s v="PUTIH HITAM"/>
    <s v="JG"/>
    <s v="BELUM JTO"/>
    <n v="9"/>
    <n v="12"/>
    <x v="4"/>
    <s v="COLL"/>
    <x v="0"/>
    <x v="0"/>
    <m/>
  </r>
  <r>
    <n v="75"/>
    <d v="2025-11-03T15:09:03"/>
    <s v="5d155998-3b32-426c-9f80-9898af00922a"/>
    <s v="LatLng(lat: 1.0564861, lng: 103.9484605)"/>
    <s v="OD-24-F0001120"/>
    <s v="ROIS SATUL UMAMAH"/>
    <s v="BP 2204 IU"/>
    <x v="0"/>
    <s v=" "/>
    <s v="A"/>
    <n v="24"/>
    <s v="MH1JM9115LK000275"/>
    <s v="JM91E1000265"/>
    <s v="HONDA"/>
    <s v="BEAT"/>
    <s v="HITAM"/>
    <s v="JG"/>
    <s v="BELUM JTO"/>
    <n v="19"/>
    <n v="24"/>
    <x v="4"/>
    <s v="COLL"/>
    <x v="0"/>
    <x v="0"/>
    <m/>
  </r>
  <r>
    <n v="76"/>
    <d v="2025-11-03T15:14:47"/>
    <s v="eea94692-e3ef-470d-a986-47d8940e37c5"/>
    <s v="LatLng(lat: 1.0437746, lng: 103.9801468)"/>
    <s v="SP-25-F0000013"/>
    <s v="HEVI YUSMAN"/>
    <s v="BP 4243 HO"/>
    <x v="0"/>
    <s v=" "/>
    <s v="A"/>
    <n v="3"/>
    <s v="MH3SG5620PK894370"/>
    <s v="G3L8E1931504"/>
    <s v="YAMAHA"/>
    <s v="NMAX"/>
    <s v="HIJAU"/>
    <s v="JG"/>
    <s v="GAGAL BAYAR"/>
    <n v="10"/>
    <n v="24"/>
    <x v="8"/>
    <s v="COLL"/>
    <x v="0"/>
    <x v="0"/>
    <m/>
  </r>
  <r>
    <n v="77"/>
    <d v="2025-11-03T15:17:43"/>
    <s v="86afd147-8c0b-48e4-aaf8-44ad72c52985"/>
    <s v="LatLng(lat: 1.0441254, lng: 103.9743318)"/>
    <s v="SP-24-F0002593"/>
    <s v="MUHAMMAD DAVID"/>
    <s v="BP 2315 GM"/>
    <x v="6"/>
    <s v=" "/>
    <s v=" "/>
    <n v="1"/>
    <s v="MH1JF5132CK392524"/>
    <s v="JF51E3365281"/>
    <s v="HONDA"/>
    <s v="BEAT CW"/>
    <s v="HITAM"/>
    <s v="JG"/>
    <s v="BELUM JTO"/>
    <n v="12"/>
    <n v="12"/>
    <x v="15"/>
    <s v="COLL"/>
    <x v="0"/>
    <x v="0"/>
    <m/>
  </r>
  <r>
    <n v="78"/>
    <d v="2025-11-03T15:18:49"/>
    <s v="5d155998-3b32-426c-9f80-9898af00922a"/>
    <s v="LatLng(lat: 1.0564203, lng: 103.948552)"/>
    <s v="OD-24-F0001584"/>
    <s v="MUHAMMAD IKBAL"/>
    <s v="BP 2746 HF"/>
    <x v="1"/>
    <s v="PAUL"/>
    <s v=" "/>
    <n v="13"/>
    <s v="MH1JM1113JK699243"/>
    <s v="JM11E1685593"/>
    <s v="HONDA"/>
    <s v="BEAT"/>
    <s v="MERAH-PUTIH"/>
    <s v="JG"/>
    <s v="GAGAL BAYAR"/>
    <n v="7"/>
    <n v="24"/>
    <x v="4"/>
    <s v="COLL"/>
    <x v="7"/>
    <x v="0"/>
    <m/>
  </r>
  <r>
    <n v="79"/>
    <d v="2025-11-03T15:26:13"/>
    <s v="78c8aa58-d259-49a1-a96c-192417985ecf"/>
    <s v="LatLng(lat: 1.0384278, lng: 103.9567728)"/>
    <s v="SP-25-F0001000"/>
    <s v="HIDAYAT"/>
    <s v="BP 2906 UJ"/>
    <x v="0"/>
    <s v=" "/>
    <s v="A"/>
    <n v="5"/>
    <s v="MH1JM6113MK137723"/>
    <s v="JM61E1197817"/>
    <s v="HONDA"/>
    <s v="GENIO"/>
    <s v="PUTIH SILVER"/>
    <s v="JG"/>
    <s v="BELUM JTO"/>
    <n v="6"/>
    <n v="18"/>
    <x v="16"/>
    <s v="COLL"/>
    <x v="0"/>
    <x v="0"/>
    <m/>
  </r>
  <r>
    <n v="80"/>
    <d v="2025-11-03T15:31:39"/>
    <s v="6f0ee670-8a9a-45ff-8c00-ca014f6aabeb"/>
    <s v="LatLng(lat: 1.0335566, lng: 103.9448635)"/>
    <s v="OD-24-F0002425"/>
    <s v="MUHAMAD ALI"/>
    <s v="BP 5327 OE"/>
    <x v="0"/>
    <s v=" "/>
    <s v="A"/>
    <n v="26"/>
    <s v="MH3SE8810FJ216558"/>
    <s v="E3R2E0223796"/>
    <s v="YAMAHA"/>
    <s v="MIO M3"/>
    <s v="HITAM"/>
    <s v="JG"/>
    <s v="BELUM JTO"/>
    <n v="15"/>
    <n v="24"/>
    <x v="18"/>
    <s v="COLL"/>
    <x v="0"/>
    <x v="0"/>
    <m/>
  </r>
  <r>
    <n v="81"/>
    <d v="2025-11-03T15:38:02"/>
    <s v="551fa799-4956-44f4-9122-ea915d0399f1"/>
    <s v="LatLng(lat: 1.0558261, lng: 103.9465967)"/>
    <s v="OD-24-F0001120"/>
    <s v="ROIS SATUL UMAMAH"/>
    <s v="BP 2204 IU"/>
    <x v="0"/>
    <s v=" "/>
    <s v="A"/>
    <n v="24"/>
    <s v="MH1JM9115LK000275"/>
    <s v="JM91E1000265"/>
    <s v="HONDA"/>
    <s v="BEAT"/>
    <s v="HITAM"/>
    <s v="JG"/>
    <s v="BELUM JTO"/>
    <n v="19"/>
    <n v="24"/>
    <x v="12"/>
    <s v="COLL"/>
    <x v="0"/>
    <x v="0"/>
    <m/>
  </r>
  <r>
    <n v="82"/>
    <d v="2025-11-03T15:47:32"/>
    <s v="5d155998-3b32-426c-9f80-9898af00922a"/>
    <s v="LatLng(lat: 1.0557336, lng: 103.9494342)"/>
    <s v="SP-25-F0001235"/>
    <s v="ANTONI"/>
    <s v="BP 3979 FR"/>
    <x v="0"/>
    <s v=" "/>
    <s v="A"/>
    <n v="1"/>
    <s v="MH1KF1120JK422217"/>
    <s v="KF11E2416666"/>
    <s v="HONDA"/>
    <s v="VARIO 150"/>
    <s v="HITAM"/>
    <s v="JG"/>
    <s v="DONE"/>
    <n v="5"/>
    <n v="12"/>
    <x v="4"/>
    <s v="COLL"/>
    <x v="0"/>
    <x v="0"/>
    <m/>
  </r>
  <r>
    <n v="83"/>
    <d v="2025-11-03T15:47:59"/>
    <s v="a4f24bfd-45be-407a-a9ce-5da8e226108b"/>
    <s v="LatLng(lat: 1.0432992, lng: 103.979592)"/>
    <s v="0100-1168"/>
    <s v="OKTAFIANUS ZEBUA"/>
    <s v="BP 2099 AM"/>
    <x v="9"/>
    <s v=" "/>
    <s v=" "/>
    <n v="1"/>
    <s v="MH1JM1125KK063689"/>
    <s v="JM11E2045900"/>
    <s v="HONDA"/>
    <s v="D1B02N13L2 A/T BEAT SPORTY"/>
    <s v="MERAH HITAM"/>
    <s v="JG"/>
    <s v="GAGAL BAYAR"/>
    <n v="3"/>
    <n v="12"/>
    <x v="2"/>
    <s v="COLL"/>
    <x v="1"/>
    <x v="0"/>
    <m/>
  </r>
  <r>
    <n v="84"/>
    <d v="2025-11-03T15:48:22"/>
    <s v="551fa799-4956-44f4-9122-ea915d0399f1"/>
    <s v="LatLng(lat: 1.0532973, lng: 103.9293661)"/>
    <s v="OD-25-F0001854"/>
    <s v="SULAIMI"/>
    <s v="BP 2495 RM"/>
    <x v="0"/>
    <s v=" "/>
    <s v=" "/>
    <n v="9"/>
    <s v="MH1JM011XNK560209"/>
    <s v="JM01E1558967"/>
    <s v="HONDA"/>
    <s v="SCOOPY"/>
    <s v="BIRU KREM"/>
    <s v="JG"/>
    <s v="BELUM JTO"/>
    <n v="1"/>
    <n v="12"/>
    <x v="12"/>
    <s v="COLL"/>
    <x v="0"/>
    <x v="0"/>
    <m/>
  </r>
  <r>
    <n v="85"/>
    <d v="2025-11-03T15:52:01"/>
    <s v="551fa799-4956-44f4-9122-ea915d0399f1"/>
    <s v="LatLng(lat: 1.0645419, lng: 103.9167388)"/>
    <s v="SP-25-F0001947"/>
    <s v="HARI WIDODO"/>
    <s v="BP 2755 FR"/>
    <x v="0"/>
    <s v=" "/>
    <s v="A"/>
    <n v="5"/>
    <s v="MH1JM0311PK281926"/>
    <s v="JM03E1282114"/>
    <s v="HONDA"/>
    <s v="SCOOPY NON KEYLESS"/>
    <s v="COKLAT KREM"/>
    <s v="JG"/>
    <s v="BELUM JTO"/>
    <n v="3"/>
    <n v="18"/>
    <x v="12"/>
    <s v="COLL"/>
    <x v="0"/>
    <x v="0"/>
    <m/>
  </r>
  <r>
    <n v="86"/>
    <d v="2025-11-03T15:55:33"/>
    <s v="551fa799-4956-44f4-9122-ea915d0399f1"/>
    <s v="LatLng(lat: 1.064653, lng: 103.9192417)"/>
    <s v="OD-25-F0000752"/>
    <s v="REVOLDINATA SIHOTANG"/>
    <s v="BP 2544 O"/>
    <x v="0"/>
    <s v=" "/>
    <s v="A"/>
    <n v="15"/>
    <s v="MH1KCA219MK103000"/>
    <s v="KCA2E1098531"/>
    <s v="HONDA"/>
    <s v="CB 150 R"/>
    <s v="HITAM"/>
    <s v="JG"/>
    <s v="BELUM JTO"/>
    <n v="8"/>
    <n v="18"/>
    <x v="12"/>
    <s v="COLL"/>
    <x v="0"/>
    <x v="0"/>
    <m/>
  </r>
  <r>
    <n v="87"/>
    <d v="2025-11-03T15:57:07"/>
    <s v="5d155998-3b32-426c-9f80-9898af00922a"/>
    <s v="LatLng(lat: 1.0503097, lng: 103.95379)"/>
    <s v="SP-25-F0000856"/>
    <s v="ROBET PURBA"/>
    <s v="BP 2510 J"/>
    <x v="0"/>
    <s v=" "/>
    <s v="A"/>
    <n v="19"/>
    <s v="MH1KB1113MK307361"/>
    <s v="KB11E1306999"/>
    <s v="HONDA"/>
    <s v="SONIC"/>
    <s v="MERAH PUTIH"/>
    <s v="JG"/>
    <s v="BELUM JTO"/>
    <n v="7"/>
    <n v="12"/>
    <x v="4"/>
    <s v="COLL"/>
    <x v="0"/>
    <x v="0"/>
    <m/>
  </r>
  <r>
    <n v="88"/>
    <d v="2025-11-03T15:59:32"/>
    <s v="551fa799-4956-44f4-9122-ea915d0399f1"/>
    <s v="LatLng(lat: 1.0650675, lng: 103.9171489)"/>
    <s v="SP-25-F0000851"/>
    <s v="IRWANSYAH PUTRA ROKAN"/>
    <s v="BP 4335 QE"/>
    <x v="0"/>
    <s v=" "/>
    <s v="A"/>
    <n v="16"/>
    <s v="MH3RG4110GK026546"/>
    <s v="G3H2E0026568"/>
    <s v="YAMAHA"/>
    <s v="R15"/>
    <s v="PUTIH"/>
    <s v="JG"/>
    <s v="BELUM JTO"/>
    <n v="7"/>
    <n v="12"/>
    <x v="12"/>
    <s v="COLL"/>
    <x v="0"/>
    <x v="0"/>
    <m/>
  </r>
  <r>
    <n v="89"/>
    <d v="2025-11-03T16:10:07"/>
    <s v="e0d931cf-6e64-4a91-a81a-04cf02d33a39"/>
    <s v="LatLng(lat: 1.0242217, lng: 103.9660983)"/>
    <s v="SP-24-F0002370"/>
    <s v="NOKTA"/>
    <s v="BP 2502 OM"/>
    <x v="0"/>
    <s v=" "/>
    <s v="D"/>
    <n v="6"/>
    <s v="MH1JM8123PK391242"/>
    <s v="JM81E2388743"/>
    <s v="HONDA"/>
    <s v="BEAT FI"/>
    <s v="MERAH HITAM"/>
    <s v="JG"/>
    <s v="BELUM JTO"/>
    <n v="12"/>
    <n v="18"/>
    <x v="13"/>
    <s v="COLL"/>
    <x v="0"/>
    <x v="0"/>
    <m/>
  </r>
  <r>
    <n v="90"/>
    <d v="2025-11-03T16:16:05"/>
    <s v="5d155998-3b32-426c-9f80-9898af00922a"/>
    <s v="LatLng(lat: 1.0418186, lng: 103.9691966)"/>
    <s v="SP-25-F0001707"/>
    <s v="ERINA YULDRI YANI SIMANJORANG"/>
    <s v="BP 2517 CU"/>
    <x v="0"/>
    <s v=" "/>
    <s v="A"/>
    <n v="15"/>
    <s v="MH1JM3130LK666300"/>
    <s v="JM31E3663275"/>
    <s v="HONDA"/>
    <s v="SCOOPY NON KEYLESS"/>
    <s v="COKLAT HITAM"/>
    <s v="JG"/>
    <s v="BELUM JTO"/>
    <n v="4"/>
    <n v="6"/>
    <x v="4"/>
    <s v="COLL"/>
    <x v="0"/>
    <x v="0"/>
    <m/>
  </r>
  <r>
    <n v="91"/>
    <d v="2025-11-03T17:08:02"/>
    <s v="e0d931cf-6e64-4a91-a81a-04cf02d33a39"/>
    <s v="LatLng(lat: 1.0471633, lng: 103.960355)"/>
    <s v="SP-25-F0002649"/>
    <s v="RIO TEGAR SAMUDRA"/>
    <s v="BP 2802 UC"/>
    <x v="0"/>
    <s v=" "/>
    <s v=" "/>
    <n v="22"/>
    <s v="MH1JM8117LK319610"/>
    <s v="JM81E1321659"/>
    <s v="HONDA"/>
    <s v="BEAT"/>
    <s v="HITAM"/>
    <s v="JG"/>
    <s v="BELUM JTO"/>
    <n v="1"/>
    <n v="18"/>
    <x v="13"/>
    <s v="COLL"/>
    <x v="0"/>
    <x v="0"/>
    <m/>
  </r>
  <r>
    <n v="92"/>
    <d v="2025-11-03T17:11:52"/>
    <s v="e0d931cf-6e64-4a91-a81a-04cf02d33a39"/>
    <s v="LatLng(lat: 1.0475017, lng: 103.9647167)"/>
    <s v="SP-24-F0002687"/>
    <s v="YUNI CARLAN ZEGA"/>
    <s v="BP 2320 GP"/>
    <x v="0"/>
    <s v=" "/>
    <s v="A"/>
    <n v="13"/>
    <s v="MH1JFJ112EK029179"/>
    <s v="JFJ1E1033654"/>
    <s v="HONDA"/>
    <s v="VARIO 125"/>
    <s v="HITAM"/>
    <s v="JG"/>
    <s v="BELUM JTO"/>
    <n v="11"/>
    <n v="12"/>
    <x v="13"/>
    <s v="COLL"/>
    <x v="0"/>
    <x v="0"/>
    <m/>
  </r>
  <r>
    <n v="93"/>
    <d v="2025-11-03T17:11:52"/>
    <s v="eea94692-e3ef-470d-a986-47d8940e37c5"/>
    <s v="1.0425864, 103.9828735"/>
    <s v="SP-25-F0001655"/>
    <s v="ARIF PRASETIA"/>
    <s v="BP 3485 II"/>
    <x v="4"/>
    <s v="TALENTA S"/>
    <s v=" "/>
    <n v="11"/>
    <s v="MH1JM0410NK071667"/>
    <s v="JM04E1071698"/>
    <s v="HONDA"/>
    <s v="SCOOPY NON KEYLESS"/>
    <s v="PUTIH"/>
    <s v="JG"/>
    <s v="GAGAL BAYAR"/>
    <n v="3"/>
    <n v="12"/>
    <x v="8"/>
    <s v="COLL"/>
    <x v="4"/>
    <x v="1"/>
    <m/>
  </r>
  <r>
    <n v="94"/>
    <d v="2025-11-03T15:17:43"/>
    <s v="86afd147-8c0b-48e4-aaf8-44ad72c52985"/>
    <s v="LatLng(lat: 1.0441254, lng: 103.9743318)"/>
    <s v="SP-24-F0002593"/>
    <s v="MUHAMMAD DAVID"/>
    <s v="BP 2315 GM"/>
    <x v="6"/>
    <s v=" "/>
    <s v=" "/>
    <n v="1"/>
    <s v="MH1JF5132CK392524"/>
    <s v="JF51E3365281"/>
    <s v="HONDA"/>
    <s v="BEAT CW"/>
    <s v="HITAM"/>
    <s v="JG"/>
    <s v="BELUM JTO"/>
    <n v="12"/>
    <n v="12"/>
    <x v="15"/>
    <s v="COLL"/>
    <x v="0"/>
    <x v="0"/>
    <m/>
  </r>
  <r>
    <n v="95"/>
    <d v="2025-11-03T15:18:49"/>
    <s v="5d155998-3b32-426c-9f80-9898af00922a"/>
    <s v="LatLng(lat: 1.0564203, lng: 103.948552)"/>
    <s v="OD-24-F0001584"/>
    <s v="MUHAMMAD IKBAL"/>
    <s v="BP 2746 HF"/>
    <x v="1"/>
    <s v="PAUL"/>
    <s v=" "/>
    <n v="13"/>
    <s v="MH1JM1113JK699243"/>
    <s v="JM11E1685593"/>
    <s v="HONDA"/>
    <s v="BEAT"/>
    <s v="MERAH-PUTIH"/>
    <s v="JG"/>
    <s v="GAGAL BAYAR"/>
    <n v="7"/>
    <n v="24"/>
    <x v="4"/>
    <s v="COLL"/>
    <x v="8"/>
    <x v="0"/>
    <m/>
  </r>
  <r>
    <n v="96"/>
    <d v="2025-11-03T15:26:13"/>
    <s v="78c8aa58-d259-49a1-a96c-192417985ecf"/>
    <s v="LatLng(lat: 1.0384278, lng: 103.9567728)"/>
    <s v="SP-25-F0001000"/>
    <s v="HIDAYAT"/>
    <s v="BP 2906 UJ"/>
    <x v="0"/>
    <s v=" "/>
    <s v="A"/>
    <n v="5"/>
    <s v="MH1JM6113MK137723"/>
    <s v="JM61E1197817"/>
    <s v="HONDA"/>
    <s v="GENIO"/>
    <s v="PUTIH SILVER"/>
    <s v="JG"/>
    <s v="BELUM JTO"/>
    <n v="6"/>
    <n v="18"/>
    <x v="16"/>
    <s v="COLL"/>
    <x v="0"/>
    <x v="0"/>
    <m/>
  </r>
  <r>
    <n v="97"/>
    <d v="2025-11-03T15:31:39"/>
    <s v="6f0ee670-8a9a-45ff-8c00-ca014f6aabeb"/>
    <s v="LatLng(lat: 1.0335566, lng: 103.9448635)"/>
    <s v="OD-24-F0002425"/>
    <s v="MUHAMAD ALI"/>
    <s v="BP 5327 OE"/>
    <x v="0"/>
    <s v=" "/>
    <s v="A"/>
    <n v="26"/>
    <s v="MH3SE8810FJ216558"/>
    <s v="E3R2E0223796"/>
    <s v="YAMAHA"/>
    <s v="MIO M3"/>
    <s v="HITAM"/>
    <s v="JG"/>
    <s v="BELUM JTO"/>
    <n v="15"/>
    <n v="24"/>
    <x v="18"/>
    <s v="COLL"/>
    <x v="0"/>
    <x v="0"/>
    <m/>
  </r>
  <r>
    <n v="98"/>
    <d v="2025-11-03T15:38:02"/>
    <s v="551fa799-4956-44f4-9122-ea915d0399f1"/>
    <s v="LatLng(lat: 1.0558261, lng: 103.9465967)"/>
    <s v="OD-24-F0001120"/>
    <s v="ROIS SATUL UMAMAH"/>
    <s v="BP 2204 IU"/>
    <x v="0"/>
    <s v=" "/>
    <s v="A"/>
    <n v="24"/>
    <s v="MH1JM9115LK000275"/>
    <s v="JM91E1000265"/>
    <s v="HONDA"/>
    <s v="BEAT"/>
    <s v="HITAM"/>
    <s v="JG"/>
    <s v="BELUM JTO"/>
    <n v="19"/>
    <n v="24"/>
    <x v="12"/>
    <s v="COLL"/>
    <x v="0"/>
    <x v="0"/>
    <m/>
  </r>
  <r>
    <n v="99"/>
    <d v="2025-11-03T15:47:32"/>
    <s v="5d155998-3b32-426c-9f80-9898af00922a"/>
    <s v="LatLng(lat: 1.0557336, lng: 103.9494342)"/>
    <s v="SP-25-F0001235"/>
    <s v="ANTONI"/>
    <s v="BP 3979 FR"/>
    <x v="0"/>
    <s v=" "/>
    <s v="A"/>
    <n v="1"/>
    <s v="MH1KF1120JK422217"/>
    <s v="KF11E2416666"/>
    <s v="HONDA"/>
    <s v="VARIO 150"/>
    <s v="HITAM"/>
    <s v="JG"/>
    <s v="DONE"/>
    <n v="5"/>
    <n v="12"/>
    <x v="4"/>
    <s v="COLL"/>
    <x v="0"/>
    <x v="0"/>
    <m/>
  </r>
  <r>
    <n v="100"/>
    <d v="2025-11-03T15:47:59"/>
    <s v="a4f24bfd-45be-407a-a9ce-5da8e226108b"/>
    <s v="LatLng(lat: 1.0432992, lng: 103.979592)"/>
    <s v="0100-1168"/>
    <s v="OKTAFIANUS ZEBUA"/>
    <s v="BP 2099 AM"/>
    <x v="9"/>
    <s v=" "/>
    <s v=" "/>
    <n v="1"/>
    <s v="MH1JM1125KK063689"/>
    <s v="JM11E2045900"/>
    <s v="HONDA"/>
    <s v="D1B02N13L2 A/T BEAT SPORTY"/>
    <s v="MERAH HITAM"/>
    <s v="JG"/>
    <s v="GAGAL BAYAR"/>
    <n v="3"/>
    <n v="12"/>
    <x v="2"/>
    <s v="COLL"/>
    <x v="1"/>
    <x v="0"/>
    <m/>
  </r>
  <r>
    <n v="101"/>
    <d v="2025-11-03T15:48:22"/>
    <s v="551fa799-4956-44f4-9122-ea915d0399f1"/>
    <s v="LatLng(lat: 1.0532973, lng: 103.9293661)"/>
    <s v="OD-25-F0001854"/>
    <s v="SULAIMI"/>
    <s v="BP 2495 RM"/>
    <x v="0"/>
    <s v=" "/>
    <s v=" "/>
    <n v="9"/>
    <s v="MH1JM011XNK560209"/>
    <s v="JM01E1558967"/>
    <s v="HONDA"/>
    <s v="SCOOPY"/>
    <s v="BIRU KREM"/>
    <s v="JG"/>
    <s v="BELUM JTO"/>
    <n v="1"/>
    <n v="12"/>
    <x v="12"/>
    <s v="COLL"/>
    <x v="0"/>
    <x v="0"/>
    <m/>
  </r>
  <r>
    <n v="102"/>
    <d v="2025-11-03T15:52:01"/>
    <s v="551fa799-4956-44f4-9122-ea915d0399f1"/>
    <s v="LatLng(lat: 1.0645419, lng: 103.9167388)"/>
    <s v="SP-25-F0001947"/>
    <s v="HARI WIDODO"/>
    <s v="BP 2755 FR"/>
    <x v="0"/>
    <s v=" "/>
    <s v="A"/>
    <n v="5"/>
    <s v="MH1JM0311PK281926"/>
    <s v="JM03E1282114"/>
    <s v="HONDA"/>
    <s v="SCOOPY NON KEYLESS"/>
    <s v="COKLAT KREM"/>
    <s v="JG"/>
    <s v="BELUM JTO"/>
    <n v="3"/>
    <n v="18"/>
    <x v="12"/>
    <s v="COLL"/>
    <x v="0"/>
    <x v="0"/>
    <m/>
  </r>
  <r>
    <n v="103"/>
    <d v="2025-11-03T15:55:33"/>
    <s v="551fa799-4956-44f4-9122-ea915d0399f1"/>
    <s v="LatLng(lat: 1.064653, lng: 103.9192417)"/>
    <s v="OD-25-F0000752"/>
    <s v="REVOLDINATA SIHOTANG"/>
    <s v="BP 2544 O"/>
    <x v="0"/>
    <s v=" "/>
    <s v="A"/>
    <n v="15"/>
    <s v="MH1KCA219MK103000"/>
    <s v="KCA2E1098531"/>
    <s v="HONDA"/>
    <s v="CB 150 R"/>
    <s v="HITAM"/>
    <s v="JG"/>
    <s v="BELUM JTO"/>
    <n v="8"/>
    <n v="18"/>
    <x v="12"/>
    <s v="COLL"/>
    <x v="0"/>
    <x v="0"/>
    <m/>
  </r>
  <r>
    <n v="104"/>
    <d v="2025-11-03T15:57:07"/>
    <s v="5d155998-3b32-426c-9f80-9898af00922a"/>
    <s v="LatLng(lat: 1.0503097, lng: 103.95379)"/>
    <s v="SP-25-F0000856"/>
    <s v="ROBET PURBA"/>
    <s v="BP 2510 J"/>
    <x v="0"/>
    <s v=" "/>
    <s v="A"/>
    <n v="19"/>
    <s v="MH1KB1113MK307361"/>
    <s v="KB11E1306999"/>
    <s v="HONDA"/>
    <s v="SONIC"/>
    <s v="MERAH PUTIH"/>
    <s v="JG"/>
    <s v="BELUM JTO"/>
    <n v="7"/>
    <n v="12"/>
    <x v="4"/>
    <s v="COLL"/>
    <x v="0"/>
    <x v="0"/>
    <m/>
  </r>
  <r>
    <n v="105"/>
    <d v="2025-11-03T15:59:32"/>
    <s v="551fa799-4956-44f4-9122-ea915d0399f1"/>
    <s v="LatLng(lat: 1.0650675, lng: 103.9171489)"/>
    <s v="SP-25-F0000851"/>
    <s v="IRWANSYAH PUTRA ROKAN"/>
    <s v="BP 4335 QE"/>
    <x v="0"/>
    <s v=" "/>
    <s v="A"/>
    <n v="16"/>
    <s v="MH3RG4110GK026546"/>
    <s v="G3H2E0026568"/>
    <s v="YAMAHA"/>
    <s v="R15"/>
    <s v="PUTIH"/>
    <s v="JG"/>
    <s v="BELUM JTO"/>
    <n v="7"/>
    <n v="12"/>
    <x v="12"/>
    <s v="COLL"/>
    <x v="0"/>
    <x v="0"/>
    <m/>
  </r>
  <r>
    <n v="106"/>
    <d v="2025-11-03T16:10:07"/>
    <s v="e0d931cf-6e64-4a91-a81a-04cf02d33a39"/>
    <s v="LatLng(lat: 1.0242217, lng: 103.9660983)"/>
    <s v="SP-24-F0002370"/>
    <s v="NOKTA"/>
    <s v="BP 2502 OM"/>
    <x v="0"/>
    <s v=" "/>
    <s v="D"/>
    <n v="6"/>
    <s v="MH1JM8123PK391242"/>
    <s v="JM81E2388743"/>
    <s v="HONDA"/>
    <s v="BEAT FI"/>
    <s v="MERAH HITAM"/>
    <s v="JG"/>
    <s v="BELUM JTO"/>
    <n v="12"/>
    <n v="18"/>
    <x v="13"/>
    <s v="COLL"/>
    <x v="0"/>
    <x v="0"/>
    <m/>
  </r>
  <r>
    <n v="107"/>
    <d v="2025-11-03T16:16:05"/>
    <s v="5d155998-3b32-426c-9f80-9898af00922a"/>
    <s v="LatLng(lat: 1.0418186, lng: 103.9691966)"/>
    <s v="SP-25-F0001707"/>
    <s v="ERINA YULDRI YANI SIMANJORANG"/>
    <s v="BP 2517 CU"/>
    <x v="0"/>
    <s v=" "/>
    <s v="A"/>
    <n v="15"/>
    <s v="MH1JM3130LK666300"/>
    <s v="JM31E3663275"/>
    <s v="HONDA"/>
    <s v="SCOOPY NON KEYLESS"/>
    <s v="COKLAT HITAM"/>
    <s v="JG"/>
    <s v="BELUM JTO"/>
    <n v="4"/>
    <n v="6"/>
    <x v="4"/>
    <s v="COLL"/>
    <x v="0"/>
    <x v="0"/>
    <m/>
  </r>
  <r>
    <n v="108"/>
    <d v="2025-11-03T17:08:02"/>
    <s v="e0d931cf-6e64-4a91-a81a-04cf02d33a39"/>
    <s v="LatLng(lat: 1.0471633, lng: 103.960355)"/>
    <s v="SP-25-F0002649"/>
    <s v="RIO TEGAR SAMUDRA"/>
    <s v="BP 2802 UC"/>
    <x v="0"/>
    <s v=" "/>
    <s v=" "/>
    <n v="22"/>
    <s v="MH1JM8117LK319610"/>
    <s v="JM81E1321659"/>
    <s v="HONDA"/>
    <s v="BEAT"/>
    <s v="HITAM"/>
    <s v="JG"/>
    <s v="BELUM JTO"/>
    <n v="1"/>
    <n v="18"/>
    <x v="13"/>
    <s v="COLL"/>
    <x v="0"/>
    <x v="0"/>
    <m/>
  </r>
  <r>
    <n v="109"/>
    <d v="2025-11-03T17:11:52"/>
    <s v="e0d931cf-6e64-4a91-a81a-04cf02d33a39"/>
    <s v="LatLng(lat: 1.0475017, lng: 103.9647167)"/>
    <s v="SP-24-F0002687"/>
    <s v="YUNI CARLAN ZEGA"/>
    <s v="BP 2320 GP"/>
    <x v="0"/>
    <s v=" "/>
    <s v="A"/>
    <n v="13"/>
    <s v="MH1JFJ112EK029179"/>
    <s v="JFJ1E1033654"/>
    <s v="HONDA"/>
    <s v="VARIO 125"/>
    <s v="HITAM"/>
    <s v="JG"/>
    <s v="BELUM JTO"/>
    <n v="11"/>
    <n v="12"/>
    <x v="13"/>
    <s v="COLL"/>
    <x v="0"/>
    <x v="0"/>
    <m/>
  </r>
  <r>
    <n v="110"/>
    <d v="2025-11-03T17:47:03"/>
    <s v="5d155998-3b32-426c-9f80-9898af00922a"/>
    <s v="LatLng(lat: 1.033981, lng: 103.9714093)"/>
    <s v="SP-25-F0002268"/>
    <s v="JOGI ROGANTENG SINAGA"/>
    <s v="BP 5370 AM"/>
    <x v="0"/>
    <s v=" "/>
    <s v=" "/>
    <n v="9"/>
    <s v="MH3UG0750NK130558"/>
    <s v="G3E6E0670926"/>
    <s v="YAMAHA"/>
    <s v="JUPITER MX KING"/>
    <s v="MERAH"/>
    <s v="JG"/>
    <s v="BELUM JTO"/>
    <n v="2"/>
    <n v="12"/>
    <x v="4"/>
    <s v="COLL"/>
    <x v="0"/>
    <x v="0"/>
    <m/>
  </r>
  <r>
    <n v="111"/>
    <d v="2025-11-03T17:49:16"/>
    <s v="78c8aa58-d259-49a1-a96c-192417985ecf"/>
    <s v="LatLng(lat: 1.0349952, lng: 103.952356)"/>
    <s v="SP-25-F0002525"/>
    <s v="AGUNG TAUFIQ KS"/>
    <s v="BP 2835 UC"/>
    <x v="0"/>
    <s v=" "/>
    <s v=" "/>
    <n v="9"/>
    <s v="MH1JM8116LK149997"/>
    <s v="JM81E1151043"/>
    <s v="HONDA"/>
    <s v="BEAT DIGITAL"/>
    <s v="PUTIH"/>
    <s v="JG"/>
    <s v="BELUM JTO"/>
    <n v="1"/>
    <n v="12"/>
    <x v="16"/>
    <s v="COLL"/>
    <x v="0"/>
    <x v="0"/>
    <m/>
  </r>
  <r>
    <n v="112"/>
    <d v="2025-11-03T17:50:22"/>
    <s v="5d155998-3b32-426c-9f80-9898af00922a"/>
    <s v="LatLng(lat: 1.0340603, lng: 103.9728411)"/>
    <s v="OD-25-F0000641"/>
    <s v="RIZQI ADI WIJAYA"/>
    <s v="BP 5740 BM"/>
    <x v="0"/>
    <s v=" "/>
    <s v="A"/>
    <n v="4"/>
    <s v="MH33C1205CK084745"/>
    <s v="3C11084524"/>
    <s v="YAMAHA"/>
    <s v="VIXION OLD"/>
    <s v="PUTIH"/>
    <s v="JG"/>
    <s v="BELUM JTO"/>
    <n v="8"/>
    <n v="12"/>
    <x v="4"/>
    <s v="COLL"/>
    <x v="0"/>
    <x v="0"/>
    <m/>
  </r>
  <r>
    <n v="113"/>
    <d v="2025-11-03T18:00:13"/>
    <s v="78c8aa58-d259-49a1-a96c-192417985ecf"/>
    <s v="LatLng(lat: 1.0347718, lng: 103.9741034)"/>
    <s v="OD-25-F0001956"/>
    <s v="TEGAL ARMAN DIKA"/>
    <s v="BP 2084 MP"/>
    <x v="6"/>
    <s v=" "/>
    <s v=" "/>
    <n v="1"/>
    <s v="MH1JFM219EK782773"/>
    <s v="JFM2E1776511"/>
    <s v="HONDA"/>
    <s v="BEAT"/>
    <s v="MERAH"/>
    <s v="JG"/>
    <s v="BELUM JTO"/>
    <n v="1"/>
    <n v="12"/>
    <x v="16"/>
    <s v="COLL"/>
    <x v="0"/>
    <x v="0"/>
    <m/>
  </r>
  <r>
    <n v="114"/>
    <d v="2025-11-03T18:03:26"/>
    <s v="78c8aa58-d259-49a1-a96c-192417985ecf"/>
    <s v="LatLng(lat: 1.0330294, lng: 103.9734431)"/>
    <s v="SP-24-F0000977"/>
    <s v="IRFAN"/>
    <s v="BP 3813 CM"/>
    <x v="0"/>
    <s v=" "/>
    <s v="A"/>
    <n v="16"/>
    <s v="MH1JFZ123JK949047"/>
    <s v="JFZ1E2948063"/>
    <s v="HONDA"/>
    <s v="BEAT"/>
    <s v="HITAM"/>
    <s v="JG"/>
    <s v="BELUM JTO"/>
    <n v="18"/>
    <n v="36"/>
    <x v="16"/>
    <s v="COLL"/>
    <x v="0"/>
    <x v="0"/>
    <m/>
  </r>
  <r>
    <n v="115"/>
    <d v="2025-11-03T18:06:35"/>
    <s v="98b364f6-3d63-49c1-9734-3645a598b42a"/>
    <s v="LatLng(lat: 1.0433135, lng: 103.9794343)"/>
    <s v="OD-25-F0001936"/>
    <s v="PITRA ROHMAN SINAGA"/>
    <s v="BP 3765 HJ"/>
    <x v="6"/>
    <s v=" "/>
    <s v=" "/>
    <n v="1"/>
    <s v="MH1JM5116JK036207"/>
    <s v="JM51E1036144"/>
    <s v="HONDA"/>
    <s v="VARIO 125 CC"/>
    <s v="MERAH"/>
    <s v="JG"/>
    <s v="BELUM JTO"/>
    <n v="1"/>
    <n v="12"/>
    <x v="22"/>
    <s v="ALL"/>
    <x v="1"/>
    <x v="0"/>
    <m/>
  </r>
  <r>
    <n v="116"/>
    <d v="2025-11-03T18:35:25"/>
    <s v="5d155998-3b32-426c-9f80-9898af00922a"/>
    <s v="LatLng(lat: 1.0503357, lng: 103.9693185)"/>
    <s v="SP-25-F0002555"/>
    <s v="ANGGIH SURYA FERDIANSYAH"/>
    <s v="BP 5122 CI"/>
    <x v="6"/>
    <s v=" "/>
    <s v=" "/>
    <n v="14"/>
    <s v="MH1JMB11XPK113359"/>
    <s v="JMB1E1113191"/>
    <s v="HONDA"/>
    <s v="GENIO"/>
    <s v="HITAM"/>
    <s v="JG"/>
    <s v="BELUM JTO"/>
    <n v="2"/>
    <n v="18"/>
    <x v="4"/>
    <s v="COLL"/>
    <x v="0"/>
    <x v="0"/>
    <m/>
  </r>
  <r>
    <n v="117"/>
    <d v="2025-11-03T19:32:22"/>
    <s v="e0d931cf-6e64-4a91-a81a-04cf02d33a39"/>
    <s v="LatLng(lat: 1.047153, lng: 103.960179)"/>
    <s v="SP-24-F0001787"/>
    <s v="AGUSTINA"/>
    <s v="BP 2348 AC"/>
    <x v="0"/>
    <s v=" "/>
    <s v="A"/>
    <n v="1"/>
    <s v="MH1KF0112NK186483"/>
    <s v="KF01E1186239"/>
    <s v="HONDA"/>
    <s v="VARIO"/>
    <s v="HITAM"/>
    <s v="JG"/>
    <s v="GAGAL BAYAR"/>
    <n v="14"/>
    <n v="24"/>
    <x v="13"/>
    <s v="COLL"/>
    <x v="0"/>
    <x v="0"/>
    <m/>
  </r>
  <r>
    <n v="118"/>
    <d v="2025-11-03T19:33:14"/>
    <s v="987e43b5-2fed-4ba1-8992-1b4d84e413ab"/>
    <s v="LatLng(lat: 1.0190957, lng: 103.9644012)"/>
    <s v="SP-24-F0001630"/>
    <s v="HENGKI SIBURIAN"/>
    <s v="BP 3186 UE"/>
    <x v="4"/>
    <s v="TALENTA S"/>
    <s v=" "/>
    <n v="15"/>
    <s v="MH1KF4127MK185814"/>
    <s v="KF41E2190723"/>
    <s v="HONDA"/>
    <s v="VARIO"/>
    <s v="MERAH"/>
    <s v="JG"/>
    <s v="GAGAL BAYAR"/>
    <n v="14"/>
    <n v="24"/>
    <x v="20"/>
    <s v="COLL"/>
    <x v="9"/>
    <x v="0"/>
    <m/>
  </r>
  <r>
    <n v="119"/>
    <d v="2025-11-03T20:29:41"/>
    <s v="e0d931cf-6e64-4a91-a81a-04cf02d33a39"/>
    <s v="LatLng(lat: 1.0479757, lng: 103.9633422)"/>
    <s v="SP-24-F0002402"/>
    <s v="BAMBANG IRAWAN"/>
    <s v="BP 4803 JE"/>
    <x v="0"/>
    <s v=" "/>
    <s v="A"/>
    <n v="9"/>
    <s v="MH354P00ADJ678248"/>
    <s v="54P678310"/>
    <s v="YAMAHA"/>
    <s v="MIO J"/>
    <s v="PUTIH HITAM"/>
    <s v="JG"/>
    <s v="BELUM JTO"/>
    <n v="12"/>
    <n v="12"/>
    <x v="13"/>
    <s v="COLL"/>
    <x v="0"/>
    <x v="0"/>
    <m/>
  </r>
  <r>
    <n v="120"/>
    <d v="2025-11-03T20:56:38"/>
    <s v="65c1341a-686d-45fb-810f-7b8814abe13f"/>
    <s v="LatLng(lat: 1.1469946, lng: 104.0268598)"/>
    <s v="OD-25-F0001814"/>
    <s v="LILIAWATI"/>
    <s v="BP 2102 HQ"/>
    <x v="0"/>
    <s v=" "/>
    <s v=" "/>
    <n v="4"/>
    <s v="MH1KF1121HK152120"/>
    <s v="KF11E2149292"/>
    <s v="HONDA"/>
    <s v="VARIO 150"/>
    <s v="BIRU"/>
    <s v="JG"/>
    <s v="BELUM JTO"/>
    <n v="1"/>
    <n v="18"/>
    <x v="23"/>
    <s v="COLL"/>
    <x v="0"/>
    <x v="0"/>
    <m/>
  </r>
  <r>
    <n v="121"/>
    <d v="2025-11-03T21:00:31"/>
    <s v="74bb1709-aa7b-4b41-a082-a2af867fd15e"/>
    <s v="LatLng(lat: 1.0375441128571687, lng: 103.95638275891542)"/>
    <s v="OD-25-F0000782"/>
    <s v="MUSTAKIM"/>
    <s v="BP 2230 UR"/>
    <x v="0"/>
    <s v=" "/>
    <s v="A"/>
    <n v="19"/>
    <s v="MH1JM6119KK069841"/>
    <s v="JM61E1072167"/>
    <s v="HONDA"/>
    <s v="GENIO"/>
    <s v="HITAM MERAH"/>
    <s v="JG"/>
    <s v="BELUM JTO"/>
    <n v="8"/>
    <n v="18"/>
    <x v="7"/>
    <s v="COLL"/>
    <x v="0"/>
    <x v="0"/>
    <m/>
  </r>
  <r>
    <n v="122"/>
    <d v="2025-11-03T22:58:16"/>
    <s v="3be3f0c1-373f-4a45-946b-0ab494863da5"/>
    <s v="LatLng(lat: 1.1224632, lng: 104.0455113)"/>
    <s v="OD-25-F0000396"/>
    <s v="RISKA KARISMAWATI"/>
    <s v="BP 3349 CR"/>
    <x v="0"/>
    <s v=" "/>
    <s v="D"/>
    <n v="7"/>
    <s v="MH1KFA115NK111413"/>
    <s v="KFA1E1111377"/>
    <s v="HONDA"/>
    <s v="VARIO"/>
    <s v="PUTIH"/>
    <s v="JG"/>
    <s v="BELUM JTO"/>
    <n v="9"/>
    <n v="12"/>
    <x v="17"/>
    <s v="COLL"/>
    <x v="1"/>
    <x v="0"/>
    <m/>
  </r>
  <r>
    <n v="123"/>
    <d v="2025-11-04T09:01:34"/>
    <s v="97b899c7-a738-4c0c-a57d-47d1be720bd2"/>
    <s v="LatLng(lat: 1.0433485, lng: 103.9794553)"/>
    <s v="SP-25-F0002152"/>
    <s v="NAGAN EFENDI"/>
    <s v="BP 2297 UJ"/>
    <x v="0"/>
    <s v="12.JUBRAIDER S"/>
    <s v="A"/>
    <n v="2"/>
    <s v="MH1JM8113MK722193"/>
    <s v="JM81E1723321"/>
    <s v="HONDA"/>
    <s v="BEAT DIGITAL"/>
    <s v="BIRU HITAM"/>
    <s v="JG"/>
    <s v="DONE"/>
    <n v="2"/>
    <n v="12"/>
    <x v="5"/>
    <s v="COLL"/>
    <x v="0"/>
    <x v="0"/>
    <m/>
  </r>
  <r>
    <n v="124"/>
    <d v="2025-11-04T09:23:10"/>
    <s v="f0b79403-18b0-47dd-bacc-d76d9d60a28e"/>
    <s v="LatLng(lat: 1.0433448, lng: 103.9794716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GAGAL BAYAR"/>
    <n v="2"/>
    <n v="18"/>
    <x v="24"/>
    <s v="COLL"/>
    <x v="0"/>
    <x v="0"/>
    <m/>
  </r>
  <r>
    <n v="125"/>
    <d v="2025-11-04T09:24:35"/>
    <s v="e0d931cf-6e64-4a91-a81a-04cf02d33a39"/>
    <s v="LatLng(lat: 1.0433262, lng: 103.9791734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GAGAL BAYAR"/>
    <n v="2"/>
    <n v="18"/>
    <x v="13"/>
    <s v="COLL"/>
    <x v="0"/>
    <x v="0"/>
    <m/>
  </r>
  <r>
    <n v="126"/>
    <d v="2025-11-04T10:26:21"/>
    <s v="6d21de4b-42fc-49f2-86f3-40a2a9759695"/>
    <s v="LatLng(lat: 0.9150548, lng: 104.4968088)"/>
    <s v="TP-25-F0000160"/>
    <s v="NURHAYATI"/>
    <s v="BP 2203 PT"/>
    <x v="0"/>
    <s v="02.REY"/>
    <s v="A"/>
    <n v="18"/>
    <s v="MH1JM312XKK830576"/>
    <s v="JM31E2825840"/>
    <s v="HONDA"/>
    <s v="SCOOPY"/>
    <s v="COKLAT HITAM"/>
    <s v="JG"/>
    <s v="BELUM JTO"/>
    <n v="9"/>
    <n v="18"/>
    <x v="0"/>
    <s v="COLL"/>
    <x v="0"/>
    <x v="0"/>
    <m/>
  </r>
  <r>
    <n v="127"/>
    <d v="2025-11-04T10:27:44"/>
    <s v="6d21de4b-42fc-49f2-86f3-40a2a9759695"/>
    <s v="LatLng(lat: 0.9191149, lng: 104.5052379)"/>
    <s v="TP-24-F0000730"/>
    <s v="FARIDAH"/>
    <s v="BP 4190 OW"/>
    <x v="4"/>
    <s v="SATRIA"/>
    <s v=" "/>
    <n v="23"/>
    <s v="MH3SG5620PK798539"/>
    <s v="G3L8E1684900"/>
    <s v="YAMAHA"/>
    <s v="NMAX"/>
    <s v="MERAH"/>
    <s v="JG"/>
    <s v="PARTIAL"/>
    <n v="11"/>
    <n v="36"/>
    <x v="0"/>
    <s v="COLL"/>
    <x v="0"/>
    <x v="0"/>
    <m/>
  </r>
  <r>
    <n v="128"/>
    <d v="2025-11-04T10:48:24"/>
    <s v="6d21de4b-42fc-49f2-86f3-40a2a9759695"/>
    <s v="LatLng(lat: 0.9065239, lng: 104.4746956)"/>
    <s v="TP-25-F0000237"/>
    <s v="RIKO LISTYO AJI"/>
    <s v="BP 2714 PI"/>
    <x v="0"/>
    <s v="02.REY"/>
    <s v="A"/>
    <n v="24"/>
    <s v="MH1JM0215LK007267"/>
    <s v="JM02E1007322"/>
    <s v="HONDA"/>
    <s v="SCOOPY"/>
    <s v="MERAH"/>
    <s v="JG"/>
    <s v="BELUM JTO"/>
    <n v="8"/>
    <n v="12"/>
    <x v="0"/>
    <s v="COLL"/>
    <x v="0"/>
    <x v="0"/>
    <m/>
  </r>
  <r>
    <n v="129"/>
    <d v="2025-11-04T10:50:25"/>
    <s v="f0b79403-18b0-47dd-bacc-d76d9d60a28e"/>
    <s v="LatLng(lat: 1.0402924, lng: 103.9828169)"/>
    <s v="OD-25-F0000782"/>
    <s v="MUSTAKIM"/>
    <s v="BP 2230 UR"/>
    <x v="0"/>
    <s v="14.CALL CENTER"/>
    <s v="A"/>
    <n v="19"/>
    <s v="MH1JM6119KK069841"/>
    <s v="JM61E1072167"/>
    <s v="HONDA"/>
    <s v="GENIO"/>
    <s v="HITAM MERAH"/>
    <s v="JG"/>
    <s v="BELUM JTO"/>
    <n v="8"/>
    <n v="18"/>
    <x v="24"/>
    <s v="COLL"/>
    <x v="0"/>
    <x v="0"/>
    <m/>
  </r>
  <r>
    <n v="130"/>
    <d v="2025-11-04T10:51:11"/>
    <s v="1770dac3-81ca-4fab-8a6a-e60c63470def"/>
    <s v="LatLng(lat: 1.0402685, lng: 103.9828719)"/>
    <s v="OD-25-F0000782"/>
    <s v="MUSTAKIM"/>
    <s v="BP 2230 UR"/>
    <x v="0"/>
    <s v="14.CALL CENTER"/>
    <s v="A"/>
    <n v="19"/>
    <s v="MH1JM6119KK069841"/>
    <s v="JM61E1072167"/>
    <s v="HONDA"/>
    <s v="GENIO"/>
    <s v="HITAM MERAH"/>
    <s v="JG"/>
    <s v="BELUM JTO"/>
    <n v="8"/>
    <n v="18"/>
    <x v="21"/>
    <s v="COLL"/>
    <x v="0"/>
    <x v="0"/>
    <m/>
  </r>
  <r>
    <n v="131"/>
    <d v="2025-11-04T10:54:12"/>
    <s v="6d21de4b-42fc-49f2-86f3-40a2a9759695"/>
    <s v="LatLng(lat: 0.90608, lng: 104.4742965)"/>
    <s v="TP-24-F0000353"/>
    <s v="SUPARMAN"/>
    <s v="BP 2520 GW"/>
    <x v="0"/>
    <s v="02.REY"/>
    <s v="A"/>
    <n v="8"/>
    <s v="MH1JM3116JK599195"/>
    <s v="JM31E1593994"/>
    <s v="HONDA"/>
    <s v="SCOOPY FI"/>
    <s v="MERAH HITAM"/>
    <s v="JG"/>
    <s v="BELUM JTO"/>
    <n v="16"/>
    <n v="24"/>
    <x v="0"/>
    <s v="COLL"/>
    <x v="0"/>
    <x v="0"/>
    <m/>
  </r>
  <r>
    <n v="132"/>
    <d v="2025-11-04T11:05:43"/>
    <s v="688868a7-408e-44ae-b238-348dfc1995b0"/>
    <s v="LatLng(lat: 1.0486041, lng: 103.9808678)"/>
    <s v="SP-25-F0000122"/>
    <s v="YUSMAIDA SIREGAR"/>
    <s v="BP 2081 HJ"/>
    <x v="0"/>
    <s v="05.BOSPA"/>
    <s v="A"/>
    <n v="15"/>
    <s v="MH1JM2114JK855344"/>
    <s v="JM21E1835947"/>
    <s v="HONDA"/>
    <s v="BEAT FI"/>
    <s v="HITAM"/>
    <s v="JG"/>
    <s v="BELUM JTO"/>
    <n v="10"/>
    <n v="12"/>
    <x v="14"/>
    <s v="COLL"/>
    <x v="0"/>
    <x v="0"/>
    <m/>
  </r>
  <r>
    <n v="133"/>
    <d v="2025-11-04T11:08:57"/>
    <s v="b5e5eb90-c13c-42f2-8aa6-fb5964b939de"/>
    <s v="LatLng(lat: 1.0402853, lng: 103.9828519)"/>
    <s v="OD-25-F0000782"/>
    <s v="MUSTAKIM"/>
    <s v="BP 2230 UR"/>
    <x v="0"/>
    <s v="14.CALL CENTER"/>
    <s v="A"/>
    <n v="19"/>
    <s v="MH1JM6119KK069841"/>
    <s v="JM61E1072167"/>
    <s v="HONDA"/>
    <s v="GENIO"/>
    <s v="HITAM MERAH"/>
    <s v="JG"/>
    <s v="BELUM JTO"/>
    <n v="8"/>
    <n v="18"/>
    <x v="25"/>
    <s v="COLL"/>
    <x v="0"/>
    <x v="0"/>
    <m/>
  </r>
  <r>
    <n v="134"/>
    <d v="2025-11-04T11:10:22"/>
    <s v="987e43b5-2fed-4ba1-8992-1b4d84e413ab"/>
    <s v="LatLng(lat: 1.0564554, lng: 103.9760193)"/>
    <s v="SP-25-F0000005"/>
    <s v="NGATMI"/>
    <s v="BP 3929 RS"/>
    <x v="0"/>
    <s v="11.RIMPUN "/>
    <s v="A"/>
    <n v="3"/>
    <s v="MH1JM0419PK493097"/>
    <s v="JM04E1492906"/>
    <s v="HONDA"/>
    <s v="SCOOPY KEYLESS"/>
    <s v="MERAH"/>
    <s v="JG"/>
    <s v="GAGAL BAYAR"/>
    <n v="10"/>
    <n v="18"/>
    <x v="20"/>
    <s v="COLL"/>
    <x v="0"/>
    <x v="0"/>
    <m/>
  </r>
  <r>
    <n v="135"/>
    <d v="2025-11-04T11:11:48"/>
    <s v="86afd147-8c0b-48e4-aaf8-44ad72c52985"/>
    <s v="LatLng(lat: 1.0562454, lng: 103.9763401)"/>
    <s v="SP-25-F0000005"/>
    <s v="NGATMI"/>
    <s v="BP 3929 RS"/>
    <x v="0"/>
    <s v="11.RIMPUN "/>
    <s v="A"/>
    <n v="3"/>
    <s v="MH1JM0419PK493097"/>
    <s v="JM04E1492906"/>
    <s v="HONDA"/>
    <s v="SCOOPY KEYLESS"/>
    <s v="MERAH"/>
    <s v="JG"/>
    <s v="GAGAL BAYAR"/>
    <n v="10"/>
    <n v="18"/>
    <x v="15"/>
    <s v="COLL"/>
    <x v="0"/>
    <x v="0"/>
    <m/>
  </r>
  <r>
    <n v="136"/>
    <d v="2025-11-04T11:12:32"/>
    <s v="78c8aa58-d259-49a1-a96c-192417985ecf"/>
    <s v="LatLng(lat: 1.0564467, lng: 103.9780284)"/>
    <s v="OD-25-F0000505"/>
    <s v="WAHYUDI"/>
    <s v="BP 3235 QR"/>
    <x v="0"/>
    <s v="08.JOSRI"/>
    <s v=" "/>
    <n v="17"/>
    <s v="MH1JM1112HK221874"/>
    <s v="JM11E1203084"/>
    <s v="HONDA"/>
    <s v="BEAT"/>
    <s v="MAGENTA HITAM"/>
    <s v="JG"/>
    <s v="BELUM JTO"/>
    <n v="9"/>
    <n v="24"/>
    <x v="16"/>
    <s v="COLL"/>
    <x v="0"/>
    <x v="0"/>
    <m/>
  </r>
  <r>
    <n v="137"/>
    <d v="2025-11-04T11:21:03"/>
    <s v="f0b79403-18b0-47dd-bacc-d76d9d60a28e"/>
    <s v="LatLng(lat: 1.0404343, lng: 103.9828199)"/>
    <s v="OD-24-F0002190"/>
    <s v="ABDI HIDAYAT"/>
    <s v="BP 2520 RS"/>
    <x v="1"/>
    <s v="DOKA"/>
    <s v=" "/>
    <n v="3"/>
    <s v="MH1JM8218PK904636"/>
    <s v="JM82E1904151"/>
    <s v="HONDA"/>
    <s v="BEAT"/>
    <s v="SILVER"/>
    <s v="JG"/>
    <s v="GAGAL BAYAR"/>
    <n v="5"/>
    <n v="24"/>
    <x v="24"/>
    <s v="COLL"/>
    <x v="8"/>
    <x v="0"/>
    <m/>
  </r>
  <r>
    <n v="138"/>
    <d v="2025-11-04T11:21:25"/>
    <s v="dcc6f40b-a9a1-43d4-bd37-f0019f505bcd"/>
    <s v="LatLng(lat: 1.0564667, lng: 103.978037)"/>
    <s v="SP-25-F0001720"/>
    <s v="ABDUL MALIK"/>
    <s v="BP 5736 QG"/>
    <x v="0"/>
    <s v="14.CALL CENTER"/>
    <s v="A"/>
    <n v="16"/>
    <s v="MH3SG3120HK365711"/>
    <s v="G3E4E0515454"/>
    <s v="YAMAHA"/>
    <s v="NMAX"/>
    <s v="HITAM"/>
    <s v="JG"/>
    <s v="BELUM JTO"/>
    <n v="4"/>
    <n v="24"/>
    <x v="9"/>
    <s v="COLL"/>
    <x v="0"/>
    <x v="0"/>
    <m/>
  </r>
  <r>
    <n v="139"/>
    <d v="2025-11-04T11:28:20"/>
    <s v="987e43b5-2fed-4ba1-8992-1b4d84e413ab"/>
    <s v="LatLng(lat: 1.0533345, lng: 103.9799179)"/>
    <s v="OD-24-F0002632"/>
    <s v="WAWAN"/>
    <s v="BP 3778 HM"/>
    <x v="0"/>
    <s v="10.MIDUK"/>
    <s v="A"/>
    <n v="13"/>
    <s v="MH1JFZ129JK19948"/>
    <s v="JFZ1E2721568"/>
    <s v="HONDA"/>
    <s v="BEAT"/>
    <s v="HITAM"/>
    <s v="JG"/>
    <s v="BELUM JTO"/>
    <n v="14"/>
    <n v="24"/>
    <x v="20"/>
    <s v="COLL"/>
    <x v="0"/>
    <x v="0"/>
    <m/>
  </r>
  <r>
    <n v="140"/>
    <d v="2025-11-04T11:28:44"/>
    <s v="f0b79403-18b0-47dd-bacc-d76d9d60a28e"/>
    <s v="LatLng(lat: 1.0432625, lng: 103.9793795)"/>
    <s v="SP-25-F0002285"/>
    <s v="ABBAS ALBAR NIRTAMA"/>
    <s v="BP 2590 AI"/>
    <x v="0"/>
    <s v="07.RINTO"/>
    <s v=" "/>
    <n v="10"/>
    <s v="MH1JM5118KK308547"/>
    <s v="JM51E1308114"/>
    <s v="HONDA"/>
    <s v="VARIO 125"/>
    <s v="BIRU"/>
    <s v="JG"/>
    <s v="BELUM JTO"/>
    <n v="2"/>
    <n v="12"/>
    <x v="24"/>
    <s v="COLL"/>
    <x v="0"/>
    <x v="0"/>
    <m/>
  </r>
  <r>
    <n v="141"/>
    <d v="2025-11-04T11:36:55"/>
    <s v="5a9c7fd1-cce7-4fe3-8276-b4f3c2c3057f"/>
    <s v="LatLng(lat: 1.043336, lng: 103.9793394)"/>
    <s v="SP-25-F0002285"/>
    <s v="ABBAS ALBAR NIRTAMA"/>
    <s v="BP 2590 AI"/>
    <x v="0"/>
    <s v="07.RINTO"/>
    <s v=" "/>
    <n v="10"/>
    <s v="MH1JM5118KK308547"/>
    <s v="JM51E1308114"/>
    <s v="HONDA"/>
    <s v="VARIO 125"/>
    <s v="BIRU"/>
    <s v="JG"/>
    <s v="BELUM JTO"/>
    <n v="2"/>
    <n v="12"/>
    <x v="26"/>
    <s v="ALL"/>
    <x v="0"/>
    <x v="0"/>
    <m/>
  </r>
  <r>
    <n v="142"/>
    <d v="2025-11-04T11:37:20"/>
    <s v="5a9c7fd1-cce7-4fe3-8276-b4f3c2c3057f"/>
    <s v="LatLng(lat: 1.0433146, lng: 103.9793418)"/>
    <s v="OD-24-F0002365"/>
    <s v="ABD HALID"/>
    <s v="BP 3293 SW"/>
    <x v="0"/>
    <s v="11.RIMPUN "/>
    <s v="A"/>
    <n v="20"/>
    <s v="MH1KB1119PK345147"/>
    <s v="KB11E1344673"/>
    <s v="HONDA"/>
    <s v="SONIC"/>
    <s v="MERAH-PUTIH"/>
    <s v="JG"/>
    <s v="BELUM JTO"/>
    <n v="15"/>
    <n v="18"/>
    <x v="26"/>
    <s v="ALL"/>
    <x v="0"/>
    <x v="0"/>
    <m/>
  </r>
  <r>
    <n v="143"/>
    <d v="2025-11-04T11:39:38"/>
    <s v="987e43b5-2fed-4ba1-8992-1b4d84e413ab"/>
    <s v="LatLng(lat: 1.052339, lng: 103.9763359)"/>
    <s v="SP-25-F0001590"/>
    <s v="HERU SUPRIADI"/>
    <s v="BP 2295 OU"/>
    <x v="0"/>
    <s v="12.JUBRAIDER S"/>
    <s v="D"/>
    <n v="5"/>
    <s v="MH1JM8111MK537785"/>
    <s v="JM81E1526642"/>
    <s v="HONDA"/>
    <s v="BEAT FI"/>
    <s v="HITAM"/>
    <s v="JG"/>
    <s v="GAGAL BAYAR"/>
    <n v="4"/>
    <n v="24"/>
    <x v="20"/>
    <s v="COLL"/>
    <x v="0"/>
    <x v="0"/>
    <m/>
  </r>
  <r>
    <n v="144"/>
    <d v="2025-11-04T11:42:33"/>
    <s v="f0b79403-18b0-47dd-bacc-d76d9d60a28e"/>
    <s v="LatLng(lat: 1.0452385, lng: 103.9680503)"/>
    <s v="SP-25-F0001707"/>
    <s v="ERINA YULDRI YANI SIMANJORANG"/>
    <s v="BP 2517 CU"/>
    <x v="0"/>
    <s v="14.CALL CENTER"/>
    <s v="A"/>
    <n v="15"/>
    <s v="MH1JM3130LK666300"/>
    <s v="JM31E3663275"/>
    <s v="HONDA"/>
    <s v="SCOOPY NON KEYLESS"/>
    <s v="COKLAT HITAM"/>
    <s v="JG"/>
    <s v="BELUM JTO"/>
    <n v="4"/>
    <n v="6"/>
    <x v="24"/>
    <s v="COLL"/>
    <x v="0"/>
    <x v="0"/>
    <m/>
  </r>
  <r>
    <n v="145"/>
    <d v="2025-11-04T11:50:51"/>
    <s v="b5e5eb90-c13c-42f2-8aa6-fb5964b939de"/>
    <s v="LatLng(lat: 1.066637, lng: 103.9649593)"/>
    <s v="SP-25-F0002561"/>
    <s v="UCOK TAGOR NST"/>
    <s v="BP 2966 SR"/>
    <x v="0"/>
    <s v="14.CALL CENTER"/>
    <s v=" "/>
    <n v="14"/>
    <s v="MH1JM9135PK189615"/>
    <s v="JM91E3180358"/>
    <s v="HONDA"/>
    <s v="BEAT DELUXE"/>
    <s v="HITAM"/>
    <s v="JG"/>
    <s v="BELUM JTO"/>
    <n v="1"/>
    <n v="12"/>
    <x v="25"/>
    <s v="COLL"/>
    <x v="0"/>
    <x v="0"/>
    <m/>
  </r>
  <r>
    <n v="146"/>
    <d v="2025-11-04T11:51:27"/>
    <s v="f0b79403-18b0-47dd-bacc-d76d9d60a28e"/>
    <s v="LatLng(lat: 1.0650478, lng: 103.9624411)"/>
    <s v="SP-25-F0002561"/>
    <s v="UCOK TAGOR NST"/>
    <s v="BP 2966 SR"/>
    <x v="0"/>
    <s v="14.CALL CENTER"/>
    <s v=" "/>
    <n v="14"/>
    <s v="MH1JM9135PK189615"/>
    <s v="JM91E3180358"/>
    <s v="HONDA"/>
    <s v="BEAT DELUXE"/>
    <s v="HITAM"/>
    <s v="JG"/>
    <s v="BELUM JTO"/>
    <n v="1"/>
    <n v="12"/>
    <x v="24"/>
    <s v="COLL"/>
    <x v="0"/>
    <x v="0"/>
    <m/>
  </r>
  <r>
    <n v="147"/>
    <d v="2025-11-04T12:09:13"/>
    <s v="fced54d3-7c26-48e8-91fe-7d7236e7f959"/>
    <s v="LatLng(lat: 1.0418408, lng: 103.9770158)"/>
    <s v="TP-25-F0000486"/>
    <s v="HERWINDITYA"/>
    <s v="BP 3348 EP"/>
    <x v="7"/>
    <s v="SATRIA"/>
    <s v=" "/>
    <n v="5"/>
    <s v="MH1JM0419PK739887"/>
    <s v="JM04E1739894"/>
    <s v="HONDA"/>
    <s v="SCOOPY"/>
    <s v="PUTIH"/>
    <s v="JG"/>
    <s v="PARTIAL"/>
    <n v="3"/>
    <n v="24"/>
    <x v="10"/>
    <s v="COLL"/>
    <x v="1"/>
    <x v="0"/>
    <m/>
  </r>
  <r>
    <n v="148"/>
    <d v="2025-11-04T12:35:17"/>
    <s v="551fa799-4956-44f4-9122-ea915d0399f1"/>
    <s v="LatLng(lat: 1.0615933, lng: 103.9186283)"/>
    <s v="SP-25-F0002335"/>
    <s v="REYN ANDREW JONATHAN"/>
    <s v="BP 2274 AA"/>
    <x v="0"/>
    <s v="13.WILFRIN"/>
    <s v=" "/>
    <n v="16"/>
    <s v="MH1JM8215PK749317"/>
    <s v="JM82E174212"/>
    <s v="HONDA"/>
    <s v="BEAT STREET"/>
    <s v="HITAM"/>
    <s v="JG"/>
    <s v="BELUM JTO"/>
    <n v="2"/>
    <n v="12"/>
    <x v="12"/>
    <s v="COLL"/>
    <x v="0"/>
    <x v="0"/>
    <m/>
  </r>
  <r>
    <n v="149"/>
    <d v="2025-11-04T12:37:43"/>
    <s v="551fa799-4956-44f4-9122-ea915d0399f1"/>
    <s v="LatLng(lat: 1.0625533, lng: 103.9210333)"/>
    <s v="SP-25-F0000686"/>
    <s v="MUHTARUM"/>
    <s v="BP 2311 QO"/>
    <x v="0"/>
    <s v="12.JUBRAIDER S"/>
    <s v="A"/>
    <n v="1"/>
    <s v="MH1JM2114GK146082"/>
    <s v="JM21E1145909"/>
    <s v="HONDA"/>
    <s v="BEAT FI"/>
    <s v="MERAH PUTIH"/>
    <s v="JG"/>
    <s v="GAGAL BAYAR"/>
    <n v="7"/>
    <n v="12"/>
    <x v="12"/>
    <s v="COLL"/>
    <x v="0"/>
    <x v="0"/>
    <m/>
  </r>
  <r>
    <n v="150"/>
    <d v="2025-11-04T12:43:35"/>
    <s v="551fa799-4956-44f4-9122-ea915d0399f1"/>
    <s v="LatLng(lat: 1.052535, lng: 103.9297783)"/>
    <s v="SP-25-F0002495"/>
    <s v="NURDIN SARAGIH"/>
    <s v="BP 4582 HJ"/>
    <x v="0"/>
    <s v="14.CALL CENTER"/>
    <s v=" "/>
    <n v="6"/>
    <s v="MH1JMG114RK012110"/>
    <s v="JMG1E1012334"/>
    <s v="HONDA"/>
    <s v="BEAT STREET"/>
    <s v="HITAM"/>
    <s v="JG"/>
    <s v="BELUM JTO"/>
    <n v="1"/>
    <n v="18"/>
    <x v="12"/>
    <s v="COLL"/>
    <x v="0"/>
    <x v="0"/>
    <m/>
  </r>
  <r>
    <n v="151"/>
    <d v="2025-11-04T12:45:01"/>
    <s v="551fa799-4956-44f4-9122-ea915d0399f1"/>
    <s v="LatLng(lat: 1.0503018, lng: 103.9324409)"/>
    <s v="SP-25-F0002529"/>
    <s v="AGUS EFNUL FATAH"/>
    <s v="BP 2608 IR"/>
    <x v="0"/>
    <s v="14.CALL CENTER"/>
    <s v=" "/>
    <n v="9"/>
    <s v="MH1KF112XHK301172"/>
    <s v="KF11E2297667"/>
    <s v="HONDA"/>
    <s v="VARIO 150 ESP"/>
    <s v="COKLAT"/>
    <s v="JG"/>
    <s v="BELUM JTO"/>
    <n v="1"/>
    <n v="12"/>
    <x v="12"/>
    <s v="COLL"/>
    <x v="0"/>
    <x v="0"/>
    <m/>
  </r>
  <r>
    <n v="152"/>
    <d v="2025-11-04T12:48:23"/>
    <s v="1770dac3-81ca-4fab-8a6a-e60c63470def"/>
    <s v="LatLng(lat: 1.04882, lng: 103.9532781)"/>
    <s v="SP-25-F0001587"/>
    <s v="M KURNIAWAN"/>
    <s v="BP 5139 QI"/>
    <x v="0"/>
    <s v="11.RIMPUN "/>
    <s v="A"/>
    <n v="8"/>
    <s v="MH3RG4610JK085817"/>
    <s v="G3E7E0463569"/>
    <s v="YAMAHA"/>
    <s v="V-IXION V2"/>
    <s v="MERAH HITAM"/>
    <s v="JG"/>
    <s v="BELUM JTO"/>
    <n v="4"/>
    <n v="6"/>
    <x v="21"/>
    <s v="COLL"/>
    <x v="0"/>
    <x v="0"/>
    <m/>
  </r>
  <r>
    <n v="153"/>
    <d v="2025-11-04T13:06:23"/>
    <s v="551fa799-4956-44f4-9122-ea915d0399f1"/>
    <s v="LatLng(lat: 1.0563469, lng: 103.948408)"/>
    <s v="OD-25-F0000864"/>
    <s v="TAKWIM LUBIS"/>
    <s v="BP 5183 AR"/>
    <x v="0"/>
    <s v="14.CALL CENTER"/>
    <s v="A"/>
    <n v="15"/>
    <s v="MH1KC8217HK111112"/>
    <s v="KC82E1109831"/>
    <s v="HONDA"/>
    <s v="CB 150 R LED"/>
    <s v="MERAH"/>
    <s v="JG"/>
    <s v="BELUM JTO"/>
    <n v="7"/>
    <n v="12"/>
    <x v="12"/>
    <s v="COLL"/>
    <x v="0"/>
    <x v="0"/>
    <m/>
  </r>
  <r>
    <n v="154"/>
    <d v="2025-11-04T13:06:42"/>
    <s v="551fa799-4956-44f4-9122-ea915d0399f1"/>
    <s v="LatLng(lat: 1.0563469, lng: 103.948408)"/>
    <s v="OD-24-F0001120"/>
    <s v="ROIS SATUL UMAMAH"/>
    <s v="BP 2204 IU"/>
    <x v="0"/>
    <s v="12.JUBRAIDER S"/>
    <s v="A"/>
    <n v="24"/>
    <s v="MH1JM9115LK000275"/>
    <s v="JM91E1000265"/>
    <s v="HONDA"/>
    <s v="BEAT"/>
    <s v="HITAM"/>
    <s v="JG"/>
    <s v="BELUM JTO"/>
    <n v="19"/>
    <n v="24"/>
    <x v="12"/>
    <s v="COLL"/>
    <x v="0"/>
    <x v="0"/>
    <m/>
  </r>
  <r>
    <n v="155"/>
    <d v="2025-11-04T13:11:31"/>
    <s v="51f658db-9885-4d52-99bd-8e1bf0356977"/>
    <s v="LatLng(lat: 1.0487205, lng: 103.9532709)"/>
    <s v="SP-25-F0001235"/>
    <s v="ANTONI"/>
    <s v="BP 3979 FR"/>
    <x v="0"/>
    <s v="05.BOSPA"/>
    <s v="A"/>
    <n v="1"/>
    <s v="MH1KF1120JK422217"/>
    <s v="KF11E2416666"/>
    <s v="HONDA"/>
    <s v="VARIO 150"/>
    <s v="HITAM"/>
    <s v="JG"/>
    <s v="GAGAL BAYAR"/>
    <n v="5"/>
    <n v="12"/>
    <x v="19"/>
    <s v="COLL"/>
    <x v="0"/>
    <x v="0"/>
    <m/>
  </r>
  <r>
    <n v="156"/>
    <d v="2025-11-04T13:12:00"/>
    <s v="551fa799-4956-44f4-9122-ea915d0399f1"/>
    <s v="LatLng(lat: 1.0564004, lng: 103.9484877)"/>
    <s v="OD-25-F0000350"/>
    <s v="DICKY ISWANDI"/>
    <s v="BP 4561 HR"/>
    <x v="0"/>
    <s v="11.RIMPUN "/>
    <s v="A"/>
    <n v="15"/>
    <s v="MH1JMG11XRK083361"/>
    <s v="JMG1E1083457"/>
    <s v="HONDA"/>
    <s v="BEAT STREET"/>
    <s v="HITAM"/>
    <s v="JG"/>
    <s v="BELUM JTO"/>
    <n v="9"/>
    <n v="24"/>
    <x v="12"/>
    <s v="COLL"/>
    <x v="0"/>
    <x v="0"/>
    <m/>
  </r>
  <r>
    <n v="157"/>
    <d v="2025-11-04T13:15:48"/>
    <s v="6f0ee670-8a9a-45ff-8c00-ca014f6aabeb"/>
    <s v="LatLng(lat: 1.04845, lng: 103.95329)"/>
    <s v="SP-24-F0001806"/>
    <s v="ISRAN MAULUDDIN"/>
    <s v="BP 3457 QH"/>
    <x v="0"/>
    <s v="05.BOSPA"/>
    <s v="A"/>
    <n v="1"/>
    <s v="MH1JFZ116GK031437"/>
    <s v="JFZ1E1038367"/>
    <s v="HONDA"/>
    <s v="BEAT"/>
    <s v="HITAM"/>
    <s v="JG"/>
    <s v="DONE"/>
    <n v="14"/>
    <n v="18"/>
    <x v="18"/>
    <s v="COLL"/>
    <x v="0"/>
    <x v="0"/>
    <m/>
  </r>
  <r>
    <n v="158"/>
    <d v="2025-11-04T13:17:53"/>
    <s v="551fa799-4956-44f4-9122-ea915d0399f1"/>
    <s v="LatLng(lat: 1.0563896, lng: 103.9484525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BELUM JTO"/>
    <n v="16"/>
    <n v="24"/>
    <x v="12"/>
    <s v="COLL"/>
    <x v="0"/>
    <x v="0"/>
    <m/>
  </r>
  <r>
    <n v="159"/>
    <d v="2025-11-04T13:17:58"/>
    <s v="6f0ee670-8a9a-45ff-8c00-ca014f6aabeb"/>
    <s v="LatLng(lat: 1.0485017, lng: 103.9533717)"/>
    <s v="OD-25-F0001380"/>
    <s v="EDY PERDIAN"/>
    <s v="BP 6477 HJ"/>
    <x v="0"/>
    <s v="14.CALL CENTER"/>
    <s v="A"/>
    <n v="16"/>
    <s v="MH1JMF211RK060138"/>
    <s v="JMF2E1060248"/>
    <s v="HONDA"/>
    <s v="BEAT DLX"/>
    <s v="HITAM"/>
    <s v="JG"/>
    <s v="BELUM JTO"/>
    <n v="4"/>
    <n v="24"/>
    <x v="18"/>
    <s v="COLL"/>
    <x v="0"/>
    <x v="0"/>
    <m/>
  </r>
  <r>
    <n v="160"/>
    <d v="2025-11-04T13:20:01"/>
    <s v="51f658db-9885-4d52-99bd-8e1bf0356977"/>
    <s v="LatLng(lat: 1.0487097, lng: 103.9533547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BELUM JTO"/>
    <n v="16"/>
    <n v="24"/>
    <x v="19"/>
    <s v="COLL"/>
    <x v="0"/>
    <x v="0"/>
    <m/>
  </r>
  <r>
    <n v="161"/>
    <d v="2025-11-04T13:20:14"/>
    <s v="1770dac3-81ca-4fab-8a6a-e60c63470def"/>
    <s v="LatLng(lat: 1.0487576, lng: 103.9532226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BELUM JTO"/>
    <n v="16"/>
    <n v="24"/>
    <x v="21"/>
    <s v="COLL"/>
    <x v="0"/>
    <x v="0"/>
    <m/>
  </r>
  <r>
    <n v="162"/>
    <d v="2025-11-04T13:25:30"/>
    <s v="f0b79403-18b0-47dd-bacc-d76d9d60a28e"/>
    <s v="LatLng(lat: 1.0486955, lng: 103.9532481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BELUM JTO"/>
    <n v="16"/>
    <n v="24"/>
    <x v="24"/>
    <s v="COLL"/>
    <x v="0"/>
    <x v="0"/>
    <m/>
  </r>
  <r>
    <n v="163"/>
    <d v="2025-11-04T13:25:38"/>
    <s v="74bb1709-aa7b-4b41-a082-a2af867fd15e"/>
    <s v="LatLng(lat: 1.0405528, lng: 103.9930296)"/>
    <s v="SP-25-F0002698"/>
    <s v="ANGGI KURNIA PRATAMA"/>
    <s v="BP 2609 AH"/>
    <x v="6"/>
    <s v="BELUM JTO"/>
    <s v=" "/>
    <n v="1"/>
    <s v="MH1JFZ138KK081573"/>
    <s v="JFZ1E3084784"/>
    <s v="HONDA"/>
    <s v="BEAT DIGITAL"/>
    <s v="PUTIH"/>
    <s v="JG"/>
    <s v="BELUM JTO"/>
    <n v="1"/>
    <n v="18"/>
    <x v="7"/>
    <s v="COLL"/>
    <x v="0"/>
    <x v="0"/>
    <m/>
  </r>
  <r>
    <n v="164"/>
    <d v="2025-11-04T13:26:22"/>
    <s v="551fa799-4956-44f4-9122-ea915d0399f1"/>
    <s v="LatLng(lat: 1.0563998, lng: 103.9483707)"/>
    <s v="SP-25-F0001254"/>
    <s v="HENDRA SAPUTRA"/>
    <s v="BP 3299 AG"/>
    <x v="0"/>
    <s v="05.BOSPA"/>
    <s v="A"/>
    <n v="3"/>
    <s v="MH1KB1116KK204478"/>
    <s v="KB11E1203798"/>
    <s v="HONDA"/>
    <s v="SONIC"/>
    <s v="MERAH PUTIH"/>
    <s v="JG"/>
    <s v="GAGAL BAYAR"/>
    <n v="5"/>
    <n v="24"/>
    <x v="12"/>
    <s v="COLL"/>
    <x v="0"/>
    <x v="0"/>
    <m/>
  </r>
  <r>
    <n v="165"/>
    <d v="2025-11-04T13:29:13"/>
    <s v="6f0ee670-8a9a-45ff-8c00-ca014f6aabeb"/>
    <s v="LatLng(lat: 1.0484833, lng: 103.9534167)"/>
    <s v="OD-24-F0003609"/>
    <s v="SAMUEL SIAGIAN"/>
    <s v="BP 3827 OI"/>
    <x v="0"/>
    <s v="14.CALL CENTER"/>
    <s v="A"/>
    <n v="3"/>
    <s v="MH1KB1115FK028965"/>
    <s v="KB11E1031125"/>
    <s v="HONDA"/>
    <s v="SONIC"/>
    <s v="PUTIH"/>
    <s v="JG"/>
    <s v="DONE"/>
    <n v="10"/>
    <n v="12"/>
    <x v="18"/>
    <s v="COLL"/>
    <x v="0"/>
    <x v="0"/>
    <m/>
  </r>
  <r>
    <n v="166"/>
    <d v="2025-11-04T13:30:35"/>
    <s v="f0b79403-18b0-47dd-bacc-d76d9d60a28e"/>
    <s v="LatLng(lat: 1.0487001, lng: 103.9532329)"/>
    <s v="SP-25-F0002257"/>
    <s v="M ABDUH"/>
    <s v="BP 5217 HI"/>
    <x v="0"/>
    <s v="05.BOSPA"/>
    <s v=" "/>
    <n v="10"/>
    <s v="MH1JME111RK155794"/>
    <s v="JME1E1157994"/>
    <s v="HONDA"/>
    <s v="BEAT"/>
    <s v="HITAM"/>
    <s v="JG"/>
    <s v="BELUM JTO"/>
    <n v="2"/>
    <n v="12"/>
    <x v="24"/>
    <s v="COLL"/>
    <x v="0"/>
    <x v="0"/>
    <m/>
  </r>
  <r>
    <n v="167"/>
    <d v="2025-11-04T13:30:36"/>
    <s v="6f0ee670-8a9a-45ff-8c00-ca014f6aabeb"/>
    <s v="LatLng(lat: 1.048465, lng: 103.9534383)"/>
    <s v="SP-25-F0002257"/>
    <s v="M ABDUH"/>
    <s v="BP 5217 HI"/>
    <x v="0"/>
    <s v="05.BOSPA"/>
    <s v=" "/>
    <n v="10"/>
    <s v="MH1JME111RK155794"/>
    <s v="JME1E1157994"/>
    <s v="HONDA"/>
    <s v="BEAT"/>
    <s v="HITAM"/>
    <s v="JG"/>
    <s v="BELUM JTO"/>
    <n v="2"/>
    <n v="12"/>
    <x v="18"/>
    <s v="COLL"/>
    <x v="0"/>
    <x v="0"/>
    <m/>
  </r>
  <r>
    <n v="168"/>
    <d v="2025-11-04T13:38:56"/>
    <s v="74bb1709-aa7b-4b41-a082-a2af867fd15e"/>
    <s v="LatLng(lat: 1.0552839, lng: 103.9214734)"/>
    <s v="SP-25-F0002626"/>
    <s v="SAIFUL YUSUP"/>
    <s v="BP 3208 AI"/>
    <x v="0"/>
    <s v="14.CALL CENTER"/>
    <s v=" "/>
    <n v="20"/>
    <s v="MH1JFZ138KK196996"/>
    <s v="JFZ1E3196716"/>
    <s v="HONDA"/>
    <s v="BEAT DIGITAL"/>
    <s v="HITAM"/>
    <s v="JG"/>
    <s v="BELUM JTO"/>
    <n v="1"/>
    <n v="18"/>
    <x v="7"/>
    <s v="COLL"/>
    <x v="0"/>
    <x v="0"/>
    <m/>
  </r>
  <r>
    <n v="169"/>
    <d v="2025-11-04T13:41:44"/>
    <s v="dcc6f40b-a9a1-43d4-bd37-f0019f505bcd"/>
    <s v="LatLng(lat: 1.0520274, lng: 103.9691048)"/>
    <s v="OD-24-F0001616"/>
    <s v="DESIAN"/>
    <s v="BP 3498 CM"/>
    <x v="0"/>
    <s v="05.BOSPA"/>
    <s v="A"/>
    <n v="14"/>
    <s v="MH1JFZ219JK425813"/>
    <s v="JFZ2E1427915"/>
    <s v="HONDA"/>
    <s v="BEAT"/>
    <s v="HITAM"/>
    <s v="JG"/>
    <s v="BELUM JTO"/>
    <n v="17"/>
    <n v="18"/>
    <x v="9"/>
    <s v="COLL"/>
    <x v="0"/>
    <x v="0"/>
    <m/>
  </r>
  <r>
    <n v="170"/>
    <d v="2025-11-04T13:43:37"/>
    <s v="dcc6f40b-a9a1-43d4-bd37-f0019f505bcd"/>
    <s v="LatLng(lat: 1.0524686, lng: 103.9690792)"/>
    <s v="SP-25-F0001662"/>
    <s v="RIVALDO MANURUNG"/>
    <s v="BP 2282 RC"/>
    <x v="0"/>
    <s v="14.CALL CENTER"/>
    <s v="A"/>
    <n v="12"/>
    <s v="MH1KCD218NK023299"/>
    <s v="KCD2E1023320"/>
    <s v="HONDA"/>
    <s v="CB 150 R"/>
    <s v="SILVER"/>
    <s v="JG"/>
    <s v="BELUM JTO"/>
    <n v="4"/>
    <n v="18"/>
    <x v="9"/>
    <s v="COLL"/>
    <x v="0"/>
    <x v="0"/>
    <m/>
  </r>
  <r>
    <n v="171"/>
    <d v="2025-11-04T13:43:47"/>
    <s v="688868a7-408e-44ae-b238-348dfc1995b0"/>
    <s v="LatLng(lat: 1.0519232, lng: 103.9688969)"/>
    <s v="SP-25-F0001662"/>
    <s v="RIVALDO MANURUNG"/>
    <s v="BP 2282 RC"/>
    <x v="0"/>
    <s v="14.CALL CENTER"/>
    <s v="A"/>
    <n v="12"/>
    <s v="MH1KCD218NK023299"/>
    <s v="KCD2E1023320"/>
    <s v="HONDA"/>
    <s v="CB 150 R"/>
    <s v="SILVER"/>
    <s v="JG"/>
    <s v="BELUM JTO"/>
    <n v="4"/>
    <n v="18"/>
    <x v="14"/>
    <s v="COLL"/>
    <x v="0"/>
    <x v="0"/>
    <m/>
  </r>
  <r>
    <n v="172"/>
    <d v="2025-11-04T13:51:54"/>
    <s v="74bb1709-aa7b-4b41-a082-a2af867fd15e"/>
    <s v="LatLng(lat: 1.081961, lng: 103.90751)"/>
    <s v="SP-24-F0002736"/>
    <s v="SYAHIDIN SULAIMAN"/>
    <s v="BP 2049 CU"/>
    <x v="0"/>
    <s v="14.CALL CENTER"/>
    <s v="A"/>
    <n v="20"/>
    <s v="MH1JM8113LK257347"/>
    <s v="JM81E1259267"/>
    <s v="HONDA"/>
    <s v="BEAT FI"/>
    <s v="HITAM"/>
    <s v="JG"/>
    <s v="BELUM JTO"/>
    <n v="11"/>
    <n v="18"/>
    <x v="7"/>
    <s v="COLL"/>
    <x v="0"/>
    <x v="0"/>
    <m/>
  </r>
  <r>
    <n v="173"/>
    <d v="2025-11-04T13:54:14"/>
    <s v="688868a7-408e-44ae-b238-348dfc1995b0"/>
    <s v="LatLng(lat: 1.0518285, lng: 103.9690574)"/>
    <s v="OD-24-F0001091"/>
    <s v="EDI SAHPUTRA"/>
    <s v="BP 3104 M"/>
    <x v="0"/>
    <s v="04.RIZKI A"/>
    <s v="A"/>
    <n v="25"/>
    <s v="MH1JM811XMK439578"/>
    <s v="JM81E1441251"/>
    <s v="HONDA"/>
    <s v="BEAT SPORTY"/>
    <s v="HITAM"/>
    <s v="JG"/>
    <s v="BELUM JTO"/>
    <n v="19"/>
    <n v="24"/>
    <x v="14"/>
    <s v="COLL"/>
    <x v="0"/>
    <x v="0"/>
    <m/>
  </r>
  <r>
    <n v="174"/>
    <d v="2025-11-04T13:54:36"/>
    <s v="e0d931cf-6e64-4a91-a81a-04cf02d33a39"/>
    <s v="LatLng(lat: 1.081575, lng: 103.911725)"/>
    <s v="SP-25-F0002256"/>
    <s v="SUKI"/>
    <s v="BP 3756 IC"/>
    <x v="0"/>
    <s v="13.WILFRIN"/>
    <s v=" "/>
    <n v="8"/>
    <s v="MH1JM1111HK493137"/>
    <s v="JM11E1474980"/>
    <s v="HONDA"/>
    <s v="BEAT"/>
    <s v="MAGENTA HITAM"/>
    <s v="JG"/>
    <s v="BELUM JTO"/>
    <n v="2"/>
    <n v="18"/>
    <x v="13"/>
    <s v="COLL"/>
    <x v="0"/>
    <x v="0"/>
    <m/>
  </r>
  <r>
    <n v="175"/>
    <d v="2025-11-04T14:02:51"/>
    <s v="5d155998-3b32-426c-9f80-9898af00922a"/>
    <s v="LatLng(lat: 1.083474, lng: 103.9091489)"/>
    <s v="SP-25-F0000349"/>
    <s v="OLOAN MARIHOT HUTABARAT"/>
    <s v="BP 3473 GU"/>
    <x v="0"/>
    <s v="11.RIMPUN "/>
    <s v="A"/>
    <n v="12"/>
    <s v="MH1JM1122LK417864"/>
    <s v="JM11E2400078"/>
    <s v="HONDA"/>
    <s v="BEAT FI"/>
    <s v="BIRU-HITAM"/>
    <s v="JG"/>
    <s v="BELUM JTO"/>
    <n v="9"/>
    <n v="24"/>
    <x v="4"/>
    <s v="COLL"/>
    <x v="0"/>
    <x v="0"/>
    <m/>
  </r>
  <r>
    <n v="176"/>
    <d v="2025-11-04T14:07:49"/>
    <s v="a4f24bfd-45be-407a-a9ce-5da8e226108b"/>
    <s v="LatLng(lat: 1.0433256, lng: 103.9793672)"/>
    <s v="OD-25-F0001364"/>
    <s v="TEGUH GUNAWAN"/>
    <s v="BP 2754 II"/>
    <x v="0"/>
    <s v="14.CALL CENTER"/>
    <s v="A"/>
    <n v="14"/>
    <s v="MH1JM0417NK065574"/>
    <s v="JM04E1065610"/>
    <s v="HONDA"/>
    <s v="SCOOPY KEYLESS"/>
    <s v="PUTIH"/>
    <s v="JG"/>
    <s v="BELUM JTO"/>
    <n v="4"/>
    <n v="18"/>
    <x v="2"/>
    <s v="COLL"/>
    <x v="1"/>
    <x v="0"/>
    <m/>
  </r>
  <r>
    <n v="177"/>
    <d v="2025-11-04T14:08:55"/>
    <s v="dcc6f40b-a9a1-43d4-bd37-f0019f505bcd"/>
    <s v="LatLng(lat: 1.0520261, lng: 103.9690558)"/>
    <s v="OD-25-F0001525"/>
    <s v="RAJA MISTRIANA"/>
    <s v="BP 3754 RH"/>
    <x v="0"/>
    <s v="13.WILFRIN"/>
    <s v="A"/>
    <n v="16"/>
    <s v="MH1KFA113NK003680"/>
    <s v="KFA1E1003793"/>
    <s v="HONDA"/>
    <s v="VARIO 160"/>
    <s v="PUTIH"/>
    <s v="JG"/>
    <s v="BELUM JTO"/>
    <n v="3"/>
    <n v="18"/>
    <x v="9"/>
    <s v="COLL"/>
    <x v="0"/>
    <x v="0"/>
    <m/>
  </r>
  <r>
    <n v="178"/>
    <d v="2025-11-04T14:19:47"/>
    <s v="5d155998-3b32-426c-9f80-9898af00922a"/>
    <s v="LatLng(lat: 1.0642184, lng: 103.9170042)"/>
    <s v="SP-25-F0002523"/>
    <s v="CHANDRA ADE SHERLY"/>
    <s v="BP 3691 UR"/>
    <x v="0"/>
    <s v="14.CALL CENTER"/>
    <s v=" "/>
    <n v="8"/>
    <s v="MH1JM8110LK146545"/>
    <s v="JM81E1147544"/>
    <s v="HONDA"/>
    <s v="BEAT DIGITAL"/>
    <s v="PUTIH"/>
    <s v="JG"/>
    <s v="BELUM JTO"/>
    <n v="1"/>
    <n v="12"/>
    <x v="4"/>
    <s v="COLL"/>
    <x v="0"/>
    <x v="0"/>
    <m/>
  </r>
  <r>
    <n v="179"/>
    <d v="2025-11-04T14:35:12"/>
    <s v="dcc6f40b-a9a1-43d4-bd37-f0019f505bcd"/>
    <s v="LatLng(lat: 1.0519751, lng: 103.9690753)"/>
    <s v="SP-25-F0000756"/>
    <s v="GIYAN PUTRI MEITA RAHAYU"/>
    <s v="BP 2671 IA"/>
    <x v="0"/>
    <s v="07.RINTO"/>
    <s v="A"/>
    <n v="5"/>
    <s v="MH1JFZ115HK765200"/>
    <s v="JFZ1E1779819"/>
    <s v="HONDA"/>
    <s v="BEAT FI"/>
    <s v="PUTIH"/>
    <s v="JG"/>
    <s v="GAGAL BAYAR"/>
    <n v="7"/>
    <n v="24"/>
    <x v="9"/>
    <s v="COLL"/>
    <x v="0"/>
    <x v="0"/>
    <m/>
  </r>
  <r>
    <n v="180"/>
    <d v="2025-11-04T14:35:37"/>
    <s v="688868a7-408e-44ae-b238-348dfc1995b0"/>
    <s v="LatLng(lat: 1.0519573, lng: 103.9690601)"/>
    <s v="SP-25-F0000756"/>
    <s v="GIYAN PUTRI MEITA RAHAYU"/>
    <s v="BP 2671 IA"/>
    <x v="0"/>
    <s v="07.RINTO"/>
    <s v="A"/>
    <n v="5"/>
    <s v="MH1JFZ115HK765200"/>
    <s v="JFZ1E1779819"/>
    <s v="HONDA"/>
    <s v="BEAT FI"/>
    <s v="PUTIH"/>
    <s v="JG"/>
    <s v="GAGAL BAYAR"/>
    <n v="7"/>
    <n v="24"/>
    <x v="14"/>
    <s v="COLL"/>
    <x v="0"/>
    <x v="0"/>
    <m/>
  </r>
  <r>
    <n v="181"/>
    <d v="2025-11-04T14:43:16"/>
    <s v="5d155998-3b32-426c-9f80-9898af00922a"/>
    <s v="LatLng(lat: 1.0478723, lng: 103.9381776)"/>
    <s v="SP-25-F0001162"/>
    <s v="PERDIYANSAH"/>
    <s v="BP 5744 QH"/>
    <x v="6"/>
    <s v="BELUM JTO"/>
    <s v=" "/>
    <n v="1"/>
    <s v="MH3RG4710JK050246"/>
    <s v="G3J6E0092632"/>
    <s v="YAMAHA"/>
    <s v="R15"/>
    <s v="BIRU"/>
    <s v="JG"/>
    <s v="BELUM JTO"/>
    <n v="6"/>
    <n v="24"/>
    <x v="4"/>
    <s v="COLL"/>
    <x v="0"/>
    <x v="0"/>
    <m/>
  </r>
  <r>
    <n v="182"/>
    <d v="2025-11-04T14:44:49"/>
    <s v="551fa799-4956-44f4-9122-ea915d0399f1"/>
    <s v="LatLng(lat: 1.04117, lng: 103.91451)"/>
    <s v="SP-25-F0000815"/>
    <s v="MUHAMMAD TEGAR"/>
    <s v="BP 4175 RC"/>
    <x v="0"/>
    <s v="12.JUBRAIDER S"/>
    <s v="A"/>
    <n v="12"/>
    <s v="MH1JFZ129JK956391"/>
    <s v="JFZ1E2949419"/>
    <s v="HONDA"/>
    <s v="BEAT"/>
    <s v="HITAM"/>
    <s v="JG"/>
    <s v="BELUM JTO"/>
    <n v="7"/>
    <n v="12"/>
    <x v="12"/>
    <s v="COLL"/>
    <x v="0"/>
    <x v="0"/>
    <m/>
  </r>
  <r>
    <n v="183"/>
    <d v="2025-11-04T14:45:34"/>
    <s v="551fa799-4956-44f4-9122-ea915d0399f1"/>
    <s v="LatLng(lat: 1.04116, lng: 103.9145033)"/>
    <s v="SP-25-F0002582"/>
    <s v="JULIANTON SIREGAR"/>
    <s v="BP 5880 QI"/>
    <x v="0"/>
    <s v="14.CALL CENTER"/>
    <s v=" "/>
    <n v="14"/>
    <s v="MH3RG4610JK090203"/>
    <s v="G3E7E0467891"/>
    <s v="YAMAHA"/>
    <s v="VIXION VVA 150 CC"/>
    <s v="HITAM"/>
    <s v="JG"/>
    <s v="BELUM JTO"/>
    <n v="1"/>
    <n v="12"/>
    <x v="12"/>
    <s v="COLL"/>
    <x v="0"/>
    <x v="0"/>
    <m/>
  </r>
  <r>
    <n v="184"/>
    <d v="2025-11-04T14:46:04"/>
    <s v="74bb1709-aa7b-4b41-a082-a2af867fd15e"/>
    <s v="LatLng(lat: 1.0406517, lng: 103.914825)"/>
    <s v="SP-25-F0000999"/>
    <s v="IMAM SOLEH MAULANA"/>
    <s v="BP 3723 RU"/>
    <x v="0"/>
    <s v="14.CALL CENTER"/>
    <s v="A"/>
    <n v="5"/>
    <s v="MH1JFZ131KK452587"/>
    <s v="JFZ1E3452447"/>
    <s v="HONDA"/>
    <s v="BEAT FI"/>
    <s v="PUTIH"/>
    <s v="JG"/>
    <s v="GAGAL BAYAR"/>
    <n v="6"/>
    <n v="12"/>
    <x v="7"/>
    <s v="COLL"/>
    <x v="0"/>
    <x v="0"/>
    <m/>
  </r>
  <r>
    <n v="185"/>
    <d v="2025-11-04T14:49:19"/>
    <s v="e0d931cf-6e64-4a91-a81a-04cf02d33a39"/>
    <s v="LatLng(lat: 1.0384933, lng: 103.915025)"/>
    <s v="SP-24-F0002133"/>
    <s v="SHEFTIHADI PERMANA"/>
    <s v="BP 5298 CA"/>
    <x v="0"/>
    <s v="11.RIMPUN "/>
    <s v="A"/>
    <n v="10"/>
    <s v="MH1JM0313PK427839"/>
    <s v="JM03E1427838"/>
    <s v="HONDA"/>
    <s v="SCOOPY NON KEYLESS"/>
    <s v="BIRU PUTIH"/>
    <s v="JG"/>
    <s v="BELUM JTO"/>
    <n v="13"/>
    <n v="18"/>
    <x v="13"/>
    <s v="COLL"/>
    <x v="0"/>
    <x v="0"/>
    <m/>
  </r>
  <r>
    <n v="186"/>
    <d v="2025-11-04T15:13:26"/>
    <s v="5d155998-3b32-426c-9f80-9898af00922a"/>
    <s v="LatLng(lat: 1.0563386, lng: 103.9485267)"/>
    <s v="OD-24-F0001939"/>
    <s v="SUDAR"/>
    <s v="BP 3091 MQ"/>
    <x v="4"/>
    <s v="TALENTA S"/>
    <s v=" "/>
    <n v="13"/>
    <s v="MH1JFM223FK262062"/>
    <s v="JFM2E2254612"/>
    <s v="HONDA"/>
    <s v="BEAT"/>
    <s v="WHITE RED"/>
    <s v="JG"/>
    <s v="GAGAL BAYAR"/>
    <n v="15"/>
    <n v="18"/>
    <x v="4"/>
    <s v="COLL"/>
    <x v="8"/>
    <x v="0"/>
    <m/>
  </r>
  <r>
    <n v="187"/>
    <d v="2025-11-04T16:08:47"/>
    <s v="1770dac3-81ca-4fab-8a6a-e60c63470def"/>
    <s v="LatLng(lat: 1.0321532, lng: 103.9587601)"/>
    <s v="OD-24-F0003506"/>
    <s v="BUDI SETIAWAN"/>
    <s v="BP 6167 GQ"/>
    <x v="0"/>
    <s v="14.CALL CENTER"/>
    <s v="A"/>
    <n v="23"/>
    <s v="MH8DL11AZGJ140650"/>
    <s v="CGA1ID140532"/>
    <s v="SUZUKI"/>
    <s v="SATRIA FU"/>
    <s v="HITAM"/>
    <s v="JG"/>
    <s v="BELUM JTO"/>
    <n v="11"/>
    <n v="12"/>
    <x v="21"/>
    <s v="COLL"/>
    <x v="0"/>
    <x v="0"/>
    <m/>
  </r>
  <r>
    <n v="188"/>
    <d v="2025-11-04T16:12:51"/>
    <s v="a4f24bfd-45be-407a-a9ce-5da8e226108b"/>
    <s v="LatLng(lat: 1.0433303, lng: 103.9793449)"/>
    <s v="TP-24-F0000103"/>
    <s v="FANI DAMAYANTI"/>
    <s v="BP 2421 FW"/>
    <x v="1"/>
    <s v="SATRIA"/>
    <s v=" "/>
    <n v="23"/>
    <s v="MH1JM3117HK292306"/>
    <s v="JM31E1297753"/>
    <s v="HONDA"/>
    <s v="SCOOPY"/>
    <s v="COKLAT HITAM"/>
    <s v="JG"/>
    <s v="GAGAL BAYAR"/>
    <n v="10"/>
    <n v="36"/>
    <x v="2"/>
    <s v="COLL"/>
    <x v="4"/>
    <x v="1"/>
    <m/>
  </r>
  <r>
    <n v="189"/>
    <d v="2025-11-04T16:14:56"/>
    <s v="1770dac3-81ca-4fab-8a6a-e60c63470def"/>
    <s v="LatLng(lat: 1.0498279, lng: 103.9528378)"/>
    <s v="SP-25-F0002097"/>
    <s v="ARMANDIA SINURAT"/>
    <s v="BP 3945 SO"/>
    <x v="7"/>
    <s v="EVENDI"/>
    <s v=" "/>
    <n v="21"/>
    <s v="MH1JM8221PK013760"/>
    <s v="JM82E2012962"/>
    <s v="HONDA"/>
    <s v="BEAT STREET"/>
    <s v="HITAM"/>
    <s v="JG"/>
    <s v="GAGAL BAYAR"/>
    <n v="2"/>
    <n v="18"/>
    <x v="21"/>
    <s v="COLL"/>
    <x v="8"/>
    <x v="0"/>
    <m/>
  </r>
  <r>
    <n v="190"/>
    <d v="2025-11-04T16:31:46"/>
    <s v="1770dac3-81ca-4fab-8a6a-e60c63470def"/>
    <s v="LatLng(lat: 1.0486579, lng: 103.9386395)"/>
    <s v="OD-25-F0000770"/>
    <s v="SAODAH"/>
    <s v="BP 3398 AJ"/>
    <x v="0"/>
    <s v="14.CALL CENTER"/>
    <s v="A"/>
    <n v="17"/>
    <s v="MH1JFZ139KK372986"/>
    <s v="JFZ1E3373066"/>
    <s v="HONDA"/>
    <s v="BEAT"/>
    <s v="HITAM"/>
    <s v="JG"/>
    <s v="BELUM JTO"/>
    <n v="8"/>
    <n v="12"/>
    <x v="21"/>
    <s v="COLL"/>
    <x v="0"/>
    <x v="0"/>
    <m/>
  </r>
  <r>
    <n v="191"/>
    <d v="2025-11-04T16:42:00"/>
    <s v="1770dac3-81ca-4fab-8a6a-e60c63470def"/>
    <s v="LatLng(lat: 1.0539724, lng: 103.9288122)"/>
    <s v="SP-25-F0001721"/>
    <s v="ABDUL RAHMAN"/>
    <s v="BP 4964 HH"/>
    <x v="0"/>
    <s v="04.RIZKI A"/>
    <s v="A"/>
    <n v="17"/>
    <s v="MH1JM0316RK738555"/>
    <s v="JM03E1738175"/>
    <s v="HONDA"/>
    <s v="SCOOPY"/>
    <s v="SILVER HITAM"/>
    <s v="JG"/>
    <s v="BELUM JTO"/>
    <n v="4"/>
    <n v="24"/>
    <x v="21"/>
    <s v="COLL"/>
    <x v="0"/>
    <x v="0"/>
    <m/>
  </r>
  <r>
    <n v="192"/>
    <d v="2025-11-04T16:54:33"/>
    <s v="1544d06d-d3ae-4f27-a81b-96b8341d1255"/>
    <s v="LatLng(lat: 0.9153915, lng: 104.5196981)"/>
    <s v="TP-24-F0000135"/>
    <s v="MARZUKI"/>
    <s v="BP 2484 HT"/>
    <x v="10"/>
    <s v="EKSTERNAL"/>
    <s v=" "/>
    <n v="9"/>
    <s v="MH1JFL119FK182736"/>
    <s v="JFL1E1182843"/>
    <s v="HONDA"/>
    <s v="SCOOPY"/>
    <s v="BIRU - KREM"/>
    <s v="JG"/>
    <s v="GAGAL BAYAR"/>
    <n v="5"/>
    <n v="18"/>
    <x v="6"/>
    <s v="ALL"/>
    <x v="6"/>
    <x v="0"/>
    <m/>
  </r>
  <r>
    <n v="193"/>
    <d v="2025-11-04T16:56:25"/>
    <s v="1770dac3-81ca-4fab-8a6a-e60c63470def"/>
    <s v="LatLng(lat: 1.0486301, lng: 103.9774362)"/>
    <s v="SP-25-F0002315"/>
    <s v="WIRA"/>
    <s v="BP 2538 I"/>
    <x v="0"/>
    <s v="14.CALL CENTER"/>
    <s v=" "/>
    <n v="13"/>
    <s v="MH1KF4121MK304005"/>
    <s v="KF41E2308118"/>
    <s v="HONDA"/>
    <s v="VARIO 150 CC KEYLESH"/>
    <s v="COKLAT"/>
    <s v="JG"/>
    <s v="BELUM JTO"/>
    <n v="2"/>
    <n v="18"/>
    <x v="21"/>
    <s v="COLL"/>
    <x v="0"/>
    <x v="0"/>
    <m/>
  </r>
  <r>
    <n v="194"/>
    <d v="2025-11-04T16:57:50"/>
    <s v="1770dac3-81ca-4fab-8a6a-e60c63470def"/>
    <s v="LatLng(lat: 1.0461899, lng: 103.9825538)"/>
    <s v="SP-25-F0001829"/>
    <s v="HOT BERGANDA SIPAHUTAR"/>
    <s v="BP 2425 HF"/>
    <x v="7"/>
    <s v="EVENDI"/>
    <s v=" "/>
    <n v="1"/>
    <s v="MH1JM2116JK852834"/>
    <s v="JM21E1831754"/>
    <s v="HONDA"/>
    <s v="BEAT"/>
    <s v="BIRU PUTIH"/>
    <s v="JG"/>
    <s v="GAGAL BAYAR"/>
    <n v="2"/>
    <n v="12"/>
    <x v="21"/>
    <s v="COLL"/>
    <x v="9"/>
    <x v="0"/>
    <m/>
  </r>
  <r>
    <n v="195"/>
    <d v="2025-11-04T17:01:02"/>
    <s v="6d21de4b-42fc-49f2-86f3-40a2a9759695"/>
    <s v="LatLng(lat: 0.9231699, lng: 104.4439543)"/>
    <s v="TP-25-F0000138"/>
    <s v="LUSIANA"/>
    <s v="BP 3687 CW"/>
    <x v="0"/>
    <s v="01.SYAMSURI"/>
    <s v="A"/>
    <n v="11"/>
    <s v="MH1JM1113HK206493"/>
    <s v="JM11E1199077"/>
    <s v="HONDA"/>
    <s v="BEAT"/>
    <s v="MERAH PUTIH"/>
    <s v="JG"/>
    <s v="BELUM JTO"/>
    <n v="9"/>
    <n v="24"/>
    <x v="0"/>
    <s v="COLL"/>
    <x v="0"/>
    <x v="0"/>
    <m/>
  </r>
  <r>
    <n v="196"/>
    <d v="2025-11-04T17:02:44"/>
    <s v="1770dac3-81ca-4fab-8a6a-e60c63470def"/>
    <s v="LatLng(lat: 1.0455291, lng: 103.9818363)"/>
    <s v="SP-25-F0001707"/>
    <s v="ERINA YULDRI YANI SIMANJORANG"/>
    <s v="BP 2517 CU"/>
    <x v="0"/>
    <s v="14.CALL CENTER"/>
    <s v="A"/>
    <n v="15"/>
    <s v="MH1JM3130LK666300"/>
    <s v="JM31E3663275"/>
    <s v="HONDA"/>
    <s v="SCOOPY NON KEYLESS"/>
    <s v="COKLAT HITAM"/>
    <s v="JG"/>
    <s v="BELUM JTO"/>
    <n v="4"/>
    <n v="6"/>
    <x v="21"/>
    <s v="COLL"/>
    <x v="0"/>
    <x v="0"/>
    <m/>
  </r>
  <r>
    <n v="197"/>
    <d v="2025-11-04T17:10:16"/>
    <s v="6d21de4b-42fc-49f2-86f3-40a2a9759695"/>
    <s v="LatLng(lat: 0.9264994, lng: 104.4406626)"/>
    <s v="TP-25-F0000671"/>
    <s v="DAVID ARITONANG"/>
    <s v="BP 3362 RB"/>
    <x v="0"/>
    <s v="02.REY"/>
    <s v=" "/>
    <n v="26"/>
    <s v="MH1JM0219MK391393"/>
    <s v="JM02E1393654"/>
    <s v="HONDA"/>
    <s v="SCOOPY"/>
    <s v="PUTIH"/>
    <s v="JG"/>
    <s v="BELUM JTO"/>
    <n v="2"/>
    <n v="24"/>
    <x v="0"/>
    <s v="COLL"/>
    <x v="0"/>
    <x v="0"/>
    <m/>
  </r>
  <r>
    <n v="198"/>
    <d v="2025-11-04T17:36:20"/>
    <s v="6d21de4b-42fc-49f2-86f3-40a2a9759695"/>
    <s v="LatLng(lat: 0.9074424, lng: 104.462444)"/>
    <s v="TP-25-F0000312"/>
    <s v="INDRA SUSANTO"/>
    <s v="BP 2368 RB"/>
    <x v="0"/>
    <s v="14.CALL CENTER"/>
    <s v="A"/>
    <n v="1"/>
    <s v="MH1JM0116MK152062"/>
    <s v="JM01E1151039"/>
    <s v="HONDA"/>
    <s v="SCOOPY"/>
    <s v="KREM-COKLAT"/>
    <s v="JG"/>
    <s v="GAGAL BAYAR"/>
    <n v="6"/>
    <n v="24"/>
    <x v="0"/>
    <s v="COLL"/>
    <x v="0"/>
    <x v="0"/>
    <m/>
  </r>
  <r>
    <n v="199"/>
    <d v="2025-11-04T17:40:17"/>
    <s v="0787ea2f-240f-4392-bead-e10cba282613"/>
    <s v="LatLng(lat: 1.0433599, lng: 103.979329)"/>
    <s v="OD-25-F0001585"/>
    <s v="TANIA YUNI MONIKA"/>
    <s v="BP 3792 UA"/>
    <x v="0"/>
    <s v="14.CALL CENTER"/>
    <s v="A"/>
    <n v="19"/>
    <s v="MH1KF4121LK056563"/>
    <s v="KF41E2060656"/>
    <s v="HONDA"/>
    <s v="VARIO 150 KEYLESS"/>
    <s v="MERAH"/>
    <s v="JG"/>
    <s v="BELUM JTO"/>
    <n v="3"/>
    <n v="12"/>
    <x v="27"/>
    <s v="COLL"/>
    <x v="0"/>
    <x v="0"/>
    <m/>
  </r>
  <r>
    <n v="200"/>
    <d v="2025-11-04T17:48:47"/>
    <s v="5d155998-3b32-426c-9f80-9898af00922a"/>
    <s v="LatLng(lat: 1.036768, lng: 103.9687797)"/>
    <s v="SP-25-F0002360"/>
    <s v="INTO"/>
    <s v="BP 6121 GR"/>
    <x v="0"/>
    <s v="14.CALL CENTER"/>
    <s v=" "/>
    <n v="18"/>
    <s v="MH1JFZ13XKK585882"/>
    <s v="JFZ1E3585765"/>
    <s v="HONDA"/>
    <s v="BEAT DIGITAL"/>
    <s v="HITAM"/>
    <s v="JG"/>
    <s v="BELUM JTO"/>
    <n v="2"/>
    <n v="12"/>
    <x v="4"/>
    <s v="COLL"/>
    <x v="0"/>
    <x v="0"/>
    <m/>
  </r>
  <r>
    <n v="201"/>
    <d v="2025-11-04T17:50:56"/>
    <s v="5d155998-3b32-426c-9f80-9898af00922a"/>
    <s v="LatLng(lat: 1.0368667, lng: 103.9687994)"/>
    <s v="SP-25-F0002556"/>
    <s v="AUDY DANIEL KALANGIE"/>
    <s v="BP 3288 PU"/>
    <x v="0"/>
    <s v="14.CALL CENTER"/>
    <s v=" "/>
    <n v="14"/>
    <s v="MH1JM8217PK915420"/>
    <s v="JM82E1914889"/>
    <s v="HONDA"/>
    <s v="BEAT STREET"/>
    <s v="SILVER"/>
    <s v="JG"/>
    <s v="BELUM JTO"/>
    <n v="1"/>
    <n v="18"/>
    <x v="4"/>
    <s v="COLL"/>
    <x v="0"/>
    <x v="0"/>
    <m/>
  </r>
  <r>
    <n v="202"/>
    <d v="2025-11-04T18:02:50"/>
    <s v="5d155998-3b32-426c-9f80-9898af00922a"/>
    <s v="LatLng(lat: 1.0367435, lng: 103.9688)"/>
    <s v="SP-25-F0000918"/>
    <s v="AMIRUDIN"/>
    <s v="BP 3590 U"/>
    <x v="0"/>
    <s v="05.BOSPA"/>
    <s v="A"/>
    <n v="1"/>
    <s v="MH1JM041XNK043911"/>
    <s v="JM04E1043959"/>
    <s v="HONDA"/>
    <s v="SCOOPY NON KEYLESS"/>
    <s v="PUTIH"/>
    <s v="JG"/>
    <s v="GAGAL BAYAR"/>
    <n v="6"/>
    <n v="12"/>
    <x v="4"/>
    <s v="COLL"/>
    <x v="0"/>
    <x v="0"/>
    <m/>
  </r>
  <r>
    <n v="203"/>
    <d v="2025-11-04T18:23:42"/>
    <s v="306820e2-08cc-4078-ae54-edf70712dc0f"/>
    <s v="LatLng(lat: 1.043289, lng: 103.9795)"/>
    <s v="OD-25-F0001585"/>
    <s v="TANIA YUNI MONIKA"/>
    <s v="BP 3792 UA"/>
    <x v="0"/>
    <s v="14.CALL CENTER"/>
    <s v="A"/>
    <n v="19"/>
    <s v="MH1KF4121LK056563"/>
    <s v="KF41E2060656"/>
    <s v="HONDA"/>
    <s v="VARIO 150 KEYLESS"/>
    <s v="MERAH"/>
    <s v="JG"/>
    <s v="BELUM JTO"/>
    <n v="3"/>
    <n v="12"/>
    <x v="28"/>
    <s v="COLL"/>
    <x v="0"/>
    <x v="0"/>
    <m/>
  </r>
  <r>
    <n v="204"/>
    <d v="2025-11-04T18:39:55"/>
    <s v="3be3f0c1-373f-4a45-946b-0ab494863da5"/>
    <s v="LatLng(lat: 1.0433642, lng: 103.9796946)"/>
    <s v="SP-25-F0001362"/>
    <s v="YOHANES PIMAN LIUS WARUWU"/>
    <s v="BP 2786 RG"/>
    <x v="11"/>
    <s v="DOKA"/>
    <s v=" "/>
    <n v="13"/>
    <s v="MH1JM9124NK030170"/>
    <s v="JM91E2026715"/>
    <s v="HONDA"/>
    <s v="BEAT"/>
    <s v="SILVER"/>
    <s v="JG"/>
    <s v="GAGAL BAYAR"/>
    <n v="1"/>
    <n v="18"/>
    <x v="17"/>
    <s v="COLL"/>
    <x v="1"/>
    <x v="0"/>
    <m/>
  </r>
  <r>
    <n v="205"/>
    <d v="2025-11-04T18:43:40"/>
    <s v="fced54d3-7c26-48e8-91fe-7d7236e7f959"/>
    <s v="LatLng(lat: 1.043243, lng: 103.9798352)"/>
    <s v="SP-25-F0001362"/>
    <s v="YOHANES PIMAN LIUS WARUWU"/>
    <s v="BP 2786 RG"/>
    <x v="11"/>
    <s v="DOKA"/>
    <s v=" "/>
    <n v="13"/>
    <s v="MH1JM9124NK030170"/>
    <s v="JM91E2026715"/>
    <s v="HONDA"/>
    <s v="BEAT"/>
    <s v="SILVER"/>
    <s v="JG"/>
    <s v="GAGAL BAYAR"/>
    <n v="1"/>
    <n v="18"/>
    <x v="10"/>
    <s v="COLL"/>
    <x v="1"/>
    <x v="0"/>
    <m/>
  </r>
  <r>
    <n v="206"/>
    <d v="2025-11-04T18:46:14"/>
    <s v="fced54d3-7c26-48e8-91fe-7d7236e7f959"/>
    <s v="LatLng(lat: 1.043243, lng: 103.9798352)"/>
    <s v="SP-23-F0001866"/>
    <s v="FRENGKY HATUAON ALEX CHANDRA SIANTURI"/>
    <s v="BP 2699 HI"/>
    <x v="10"/>
    <s v="EKSTERNAL"/>
    <s v=" "/>
    <n v="13"/>
    <s v="MH1JFZ129JK562020"/>
    <s v="JFZ1E2572631"/>
    <s v="HONDA"/>
    <s v="BEAT"/>
    <s v="HITAM"/>
    <s v="JG"/>
    <s v="GAGAL BAYAR"/>
    <n v="3"/>
    <n v="18"/>
    <x v="10"/>
    <s v="COLL"/>
    <x v="1"/>
    <x v="0"/>
    <m/>
  </r>
  <r>
    <n v="207"/>
    <d v="2025-11-04T19:04:05"/>
    <s v="5d155998-3b32-426c-9f80-9898af00922a"/>
    <s v="LatLng(lat: 1.0529453, lng: 103.9686468)"/>
    <s v="SP-25-F0000218"/>
    <s v="M YUNUS"/>
    <s v="BP 4312 CD"/>
    <x v="0"/>
    <s v="05.BOSPA"/>
    <s v="A"/>
    <n v="1"/>
    <s v="MH1JFZ119HK467913"/>
    <s v="JFZ1E1448295"/>
    <s v="HONDA"/>
    <s v="BEAT FI"/>
    <s v="HITAM"/>
    <s v="JG"/>
    <s v="GAGAL BAYAR"/>
    <n v="9"/>
    <n v="12"/>
    <x v="4"/>
    <s v="COLL"/>
    <x v="0"/>
    <x v="0"/>
    <m/>
  </r>
  <r>
    <n v="208"/>
    <d v="2025-11-04T19:08:53"/>
    <s v="5d155998-3b32-426c-9f80-9898af00922a"/>
    <s v="LatLng(lat: 1.0526273, lng: 103.9751964)"/>
    <s v="OD-24-F0001613"/>
    <s v="AGUS HENDARIN"/>
    <s v="BP 2923 JO"/>
    <x v="0"/>
    <s v="05.BOSPA"/>
    <s v="A"/>
    <n v="14"/>
    <s v="MH1JFD226DK663098"/>
    <s v="JFD2E2669746"/>
    <s v="HONDA"/>
    <s v="BEAT"/>
    <s v="HIJAU PUTIH"/>
    <s v="JG"/>
    <s v="BELUM JTO"/>
    <n v="17"/>
    <n v="18"/>
    <x v="4"/>
    <s v="COLL"/>
    <x v="0"/>
    <x v="0"/>
    <m/>
  </r>
  <r>
    <n v="209"/>
    <d v="2025-11-04T20:04:21"/>
    <s v="fced54d3-7c26-48e8-91fe-7d7236e7f959"/>
    <s v="LatLng(lat: 1.0955386, lng: 104.0356068)"/>
    <s v="SP-24-F0002348"/>
    <s v="RUDI ARIF SULAIMAN"/>
    <s v="BP 2202 J"/>
    <x v="4"/>
    <s v="EVENDI"/>
    <s v=" "/>
    <n v="4"/>
    <s v="MH1JM8119MK665689"/>
    <s v="JM81E1669211"/>
    <s v="HONDA"/>
    <s v="BEAT FI"/>
    <s v="HITAM"/>
    <s v="JG"/>
    <s v="GAGAL BAYAR"/>
    <n v="11"/>
    <n v="12"/>
    <x v="10"/>
    <s v="COLL"/>
    <x v="1"/>
    <x v="0"/>
    <m/>
  </r>
  <r>
    <n v="210"/>
    <d v="2025-11-05T08:49:25"/>
    <s v="dcc6f40b-a9a1-43d4-bd37-f0019f505bcd"/>
    <s v="LatLng(lat: 1.0402183, lng: 103.9870906)"/>
    <s v="SP-24-F0000997"/>
    <s v="HERMANTO MADERSON SITORUS"/>
    <s v="BP 2741 RF"/>
    <x v="0"/>
    <s v="10.MIDUK"/>
    <s v="A"/>
    <n v="18"/>
    <s v="MH1JM5117MK996138"/>
    <s v="JM51E1995142"/>
    <s v="HONDA"/>
    <s v="VARIO 125"/>
    <s v="HITAM"/>
    <s v="JG"/>
    <s v="BELUM JTO"/>
    <n v="18"/>
    <n v="18"/>
    <x v="9"/>
    <s v="COLL"/>
    <x v="0"/>
    <x v="0"/>
    <m/>
  </r>
  <r>
    <n v="211"/>
    <d v="2025-11-05T10:46:30"/>
    <s v="551fa799-4956-44f4-9122-ea915d0399f1"/>
    <s v="LatLng(lat: 1.0564667, lng: 103.9484767)"/>
    <s v="SP-24-F0000997"/>
    <s v="HERMANTO MADERSON SITORUS"/>
    <s v="BP 2741 RF"/>
    <x v="0"/>
    <s v="10.MIDUK"/>
    <s v="A"/>
    <n v="18"/>
    <s v="MH1JM5117MK996138"/>
    <s v="JM51E1995142"/>
    <s v="HONDA"/>
    <s v="VARIO 125"/>
    <s v="HITAM"/>
    <s v="JG"/>
    <s v="BELUM JTO"/>
    <n v="18"/>
    <n v="18"/>
    <x v="12"/>
    <s v="COLL"/>
    <x v="0"/>
    <x v="0"/>
    <m/>
  </r>
  <r>
    <n v="212"/>
    <d v="2025-11-05T10:47:28"/>
    <s v="551fa799-4956-44f4-9122-ea915d0399f1"/>
    <s v="LatLng(lat: 1.0564667, lng: 103.9484767)"/>
    <s v="SP-24-F0001398"/>
    <s v="SULYANI"/>
    <s v="BP 5404 QH"/>
    <x v="0"/>
    <s v="10.MIDUK"/>
    <s v="A"/>
    <n v="11"/>
    <s v="MH3SG3190JJ013983"/>
    <s v="G3E4E0695303"/>
    <s v="YAMAHA"/>
    <s v="N-MAX"/>
    <s v="HITAM"/>
    <s v="JG"/>
    <s v="BELUM JTO"/>
    <n v="16"/>
    <n v="18"/>
    <x v="12"/>
    <s v="COLL"/>
    <x v="0"/>
    <x v="0"/>
    <m/>
  </r>
  <r>
    <n v="213"/>
    <d v="2025-11-05T10:55:03"/>
    <s v="1544d06d-d3ae-4f27-a81b-96b8341d1255"/>
    <s v="LatLng(lat: 0.909217, lng: 104.4644222)"/>
    <s v="TP-25-F0000324"/>
    <s v="ARI WIBAWA"/>
    <s v="BP 3812 OW"/>
    <x v="0"/>
    <s v="01.SYAMSURI"/>
    <s v="A"/>
    <n v="3"/>
    <s v="MH1KF4118KK699515"/>
    <s v="KF41E1702182"/>
    <s v="HONDA"/>
    <s v="VARIO"/>
    <s v="MERAH"/>
    <s v="JG"/>
    <s v="GAGAL BAYAR"/>
    <n v="6"/>
    <n v="18"/>
    <x v="6"/>
    <s v="ALL"/>
    <x v="0"/>
    <x v="0"/>
    <m/>
  </r>
  <r>
    <n v="214"/>
    <d v="2025-11-05T11:03:55"/>
    <s v="e4173dd7-6d58-43a6-8f0e-8ad94c7a888a"/>
    <s v="LatLng(lat: 1.0563755, lng: 103.9486056)"/>
    <s v="SP-25-F0000916"/>
    <s v="HERSISKA MELIANI SAPUTRI"/>
    <s v="BP 2206 US"/>
    <x v="0"/>
    <s v="14.CALL CENTER"/>
    <s v="A"/>
    <n v="1"/>
    <s v="MH1JM821XPK966023"/>
    <s v="JM82E1965522"/>
    <s v="HONDA"/>
    <s v="BEAT STREET"/>
    <s v="SILVER"/>
    <s v="JG"/>
    <s v="DONE"/>
    <n v="6"/>
    <n v="18"/>
    <x v="29"/>
    <s v="COLL"/>
    <x v="0"/>
    <x v="0"/>
    <m/>
  </r>
  <r>
    <n v="215"/>
    <d v="2025-11-05T11:08:40"/>
    <s v="551fa799-4956-44f4-9122-ea915d0399f1"/>
    <s v="LatLng(lat: 1.0564783, lng: 103.9485067)"/>
    <s v="OD-25-F0000512"/>
    <s v="AGNES VETRA SIREGAR"/>
    <s v="BP 2869 PU"/>
    <x v="0"/>
    <s v="14.CALL CENTER"/>
    <s v="A"/>
    <n v="19"/>
    <s v="MH1JBP11XPK986029"/>
    <s v="JBP1E1986187"/>
    <s v="HONDA"/>
    <s v="SUPRA X"/>
    <s v="HITAM"/>
    <s v="JG"/>
    <s v="BELUM JTO"/>
    <n v="9"/>
    <n v="12"/>
    <x v="12"/>
    <s v="COLL"/>
    <x v="0"/>
    <x v="0"/>
    <m/>
  </r>
  <r>
    <n v="216"/>
    <d v="2025-11-05T11:22:35"/>
    <s v="5d155998-3b32-426c-9f80-9898af00922a"/>
    <s v="LatLng(lat: 1.0563433, lng: 103.9484994)"/>
    <s v="SP-24-F0002133"/>
    <s v="SHEFTIHADI PERMANA"/>
    <s v="BP 5298 CA"/>
    <x v="0"/>
    <s v="11.RIMPUN "/>
    <s v="A"/>
    <n v="10"/>
    <s v="MH1JM0313PK427839"/>
    <s v="JM03E1427838"/>
    <s v="HONDA"/>
    <s v="SCOOPY NON KEYLESS"/>
    <s v="BIRU PUTIH"/>
    <s v="JG"/>
    <s v="BELUM JTO"/>
    <n v="13"/>
    <n v="18"/>
    <x v="4"/>
    <s v="COLL"/>
    <x v="0"/>
    <x v="0"/>
    <m/>
  </r>
  <r>
    <n v="217"/>
    <d v="2025-11-05T11:24:36"/>
    <s v="e4173dd7-6d58-43a6-8f0e-8ad94c7a888a"/>
    <s v="LatLng(lat: 1.0564483, lng: 103.9484853)"/>
    <s v="SP-25-F0002642"/>
    <s v="DEVI AFRIDA"/>
    <s v="BP 5243 HC"/>
    <x v="0"/>
    <s v="14.CALL CENTER"/>
    <s v=" "/>
    <n v="23"/>
    <s v="MH1KFD116RK070121"/>
    <s v="KFD1E1070054"/>
    <s v="HONDA"/>
    <s v="STYLO 160"/>
    <s v="HIJAU"/>
    <s v="JG"/>
    <s v="BELUM JTO"/>
    <n v="1"/>
    <n v="6"/>
    <x v="29"/>
    <s v="COLL"/>
    <x v="0"/>
    <x v="0"/>
    <m/>
  </r>
  <r>
    <n v="218"/>
    <d v="2025-11-05T11:29:23"/>
    <s v="6d21de4b-42fc-49f2-86f3-40a2a9759695"/>
    <s v="LatLng(lat: 0.9105083, lng: 104.541205)"/>
    <s v="TP-24-F0000195"/>
    <s v="ADINDA ELSA YULIANA PASARIBU"/>
    <s v="BP 3596 PI"/>
    <x v="0"/>
    <s v="14.CALL CENTER"/>
    <s v="A"/>
    <n v="13"/>
    <s v="MH1JM0112MK109774"/>
    <s v="JM01E1108667"/>
    <s v="HONDA"/>
    <s v="SCOOPY"/>
    <s v="HITAM"/>
    <s v="JG"/>
    <s v="BELUM JTO"/>
    <n v="18"/>
    <n v="24"/>
    <x v="0"/>
    <s v="COLL"/>
    <x v="0"/>
    <x v="0"/>
    <m/>
  </r>
  <r>
    <n v="219"/>
    <d v="2025-11-05T11:39:53"/>
    <s v="86afd147-8c0b-48e4-aaf8-44ad72c52985"/>
    <s v="LatLng(lat: 1.0376065, lng: 103.986832)"/>
    <s v="SP-24-F0002715"/>
    <s v="PARLUHUTAN SIANTURI"/>
    <s v="BP 3484 UG"/>
    <x v="0"/>
    <s v="12.JUBRAIDER S"/>
    <s v="A"/>
    <n v="17"/>
    <s v="MH1KF412XMK249988"/>
    <s v="KF41E2252575"/>
    <s v="HONDA"/>
    <s v="VARIO 150 KEYLESH"/>
    <s v="MERAH"/>
    <s v="JG"/>
    <s v="BELUM JTO"/>
    <n v="11"/>
    <n v="12"/>
    <x v="15"/>
    <s v="COLL"/>
    <x v="0"/>
    <x v="0"/>
    <m/>
  </r>
  <r>
    <n v="220"/>
    <d v="2025-11-05T11:40:41"/>
    <s v="78c8aa58-d259-49a1-a96c-192417985ecf"/>
    <s v="LatLng(lat: 1.0361424, lng: 103.9861022)"/>
    <s v="OD-25-F0001895"/>
    <s v="INDAH SITOMPUL"/>
    <s v="BP 2964 OM"/>
    <x v="0"/>
    <s v="14.CALL CENTER"/>
    <s v=" "/>
    <n v="17"/>
    <s v="MH1JM8128PK447305"/>
    <s v="JM81E2449418"/>
    <s v="HONDA"/>
    <s v="BEAT"/>
    <s v="MERAH HITAM"/>
    <s v="JG"/>
    <s v="BELUM JTO"/>
    <n v="1"/>
    <n v="12"/>
    <x v="16"/>
    <s v="COLL"/>
    <x v="0"/>
    <x v="0"/>
    <m/>
  </r>
  <r>
    <n v="221"/>
    <d v="2025-11-05T11:41:56"/>
    <s v="dcc6f40b-a9a1-43d4-bd37-f0019f505bcd"/>
    <s v="LatLng(lat: 1.0362876, lng: 103.9875463)"/>
    <s v="SP-24-F0001640"/>
    <s v="JAKA SATRIA GEA"/>
    <s v="BP 3451 QI"/>
    <x v="0"/>
    <s v="14.CALL CENTER"/>
    <s v="A"/>
    <n v="12"/>
    <s v="MH1KF1110GK811150"/>
    <s v="KF11E1809259"/>
    <s v="HONDA"/>
    <s v="VARIO"/>
    <s v="HITAM"/>
    <s v="JG"/>
    <s v="BELUM JTO"/>
    <n v="15"/>
    <n v="18"/>
    <x v="9"/>
    <s v="COLL"/>
    <x v="0"/>
    <x v="0"/>
    <m/>
  </r>
  <r>
    <n v="222"/>
    <d v="2025-11-05T11:48:56"/>
    <s v="dcc6f40b-a9a1-43d4-bd37-f0019f505bcd"/>
    <s v="LatLng(lat: 1.0367529, lng: 103.9857036)"/>
    <s v="OD-25-F0000788"/>
    <s v="ASYURAH"/>
    <s v="BP 5202 GU"/>
    <x v="3"/>
    <s v="PAUL"/>
    <s v=" "/>
    <n v="21"/>
    <s v="MH1JM8228RK121750"/>
    <s v="JM82E2122557"/>
    <s v="HONDA"/>
    <s v="BEAT STREET"/>
    <s v="HITAM"/>
    <s v="JG"/>
    <s v="GAGAL BAYAR"/>
    <n v="6"/>
    <n v="18"/>
    <x v="9"/>
    <s v="COLL"/>
    <x v="4"/>
    <x v="1"/>
    <s v="YBS DI DETEKSI DAN UNIT BERHAIS DI BAWA KE KANTOR OLEH BANG PAUL"/>
  </r>
  <r>
    <n v="223"/>
    <d v="2025-11-05T11:55:35"/>
    <s v="551fa799-4956-44f4-9122-ea915d0399f1"/>
    <s v="LatLng(lat: 1.0718083, lng: 103.919305)"/>
    <s v="SP-25-F0001285"/>
    <s v="WELHELMUS WASSI"/>
    <s v="BP 2274 HH"/>
    <x v="0"/>
    <s v="12.JUBRAIDER S"/>
    <s v="A"/>
    <n v="5"/>
    <s v="MH1JFZ133KK519822"/>
    <s v="JFZ1E3519741"/>
    <s v="HONDA"/>
    <s v="BEAT FI"/>
    <s v="HITAM"/>
    <s v="JG"/>
    <s v="GAGAL BAYAR"/>
    <n v="5"/>
    <n v="24"/>
    <x v="12"/>
    <s v="COLL"/>
    <x v="0"/>
    <x v="0"/>
    <m/>
  </r>
  <r>
    <n v="224"/>
    <d v="2025-11-05T12:25:29"/>
    <s v="6f0ee670-8a9a-45ff-8c00-ca014f6aabeb"/>
    <s v="LatLng(lat: 1.0481136, lng: 103.9537343)"/>
    <s v="OD-25-F0001208"/>
    <s v="ADITYA SAPUTRA"/>
    <s v="BP 3818 HI"/>
    <x v="0"/>
    <s v="14.CALL CENTER"/>
    <s v="A"/>
    <n v="5"/>
    <s v="MH1JM3110JK814781"/>
    <s v="JM31E1810548"/>
    <s v="HONDA"/>
    <s v="SCOOPY NON KEYLESS"/>
    <s v="HITAM-SILVER"/>
    <s v="JG"/>
    <s v="DONE"/>
    <n v="5"/>
    <n v="12"/>
    <x v="18"/>
    <s v="COLL"/>
    <x v="0"/>
    <x v="0"/>
    <m/>
  </r>
  <r>
    <n v="225"/>
    <d v="2025-11-05T12:29:46"/>
    <s v="1770dac3-81ca-4fab-8a6a-e60c63470def"/>
    <s v="LatLng(lat: 1.0484914, lng: 103.9533169)"/>
    <s v="OD-25-F0001370"/>
    <s v="MUKHLISIN SUYATNO"/>
    <s v="BP 2347 OS"/>
    <x v="7"/>
    <s v="EVENDI"/>
    <s v=" "/>
    <n v="19"/>
    <s v="MH1JMD117PK382379"/>
    <s v="JMD1E1382598"/>
    <s v="HONDA"/>
    <s v="VARIO 125"/>
    <s v="HITAM"/>
    <s v="JG"/>
    <s v="GAGAL BAYAR"/>
    <n v="3"/>
    <n v="18"/>
    <x v="21"/>
    <s v="COLL"/>
    <x v="6"/>
    <x v="0"/>
    <m/>
  </r>
  <r>
    <n v="226"/>
    <d v="2025-11-05T12:30:58"/>
    <s v="fced54d3-7c26-48e8-91fe-7d7236e7f959"/>
    <s v="LatLng(lat: 1.051359, lng: 103.9682278)"/>
    <s v="OD-25-F0001599"/>
    <s v="DESI NILAN SARI POILEMA"/>
    <s v="BP 4380 GU"/>
    <x v="0"/>
    <s v="06.ROBEN"/>
    <s v="A"/>
    <n v="22"/>
    <s v="MH1JM0311RK626455"/>
    <s v="JM03E1626370"/>
    <s v="HONDA"/>
    <s v="SCOOPY NON KEYLESS"/>
    <s v="BIRU PUTIH"/>
    <s v="JG"/>
    <s v="DONE"/>
    <n v="3"/>
    <n v="18"/>
    <x v="10"/>
    <s v="COLL"/>
    <x v="1"/>
    <x v="0"/>
    <m/>
  </r>
  <r>
    <n v="227"/>
    <d v="2025-11-05T12:55:19"/>
    <s v="f0b79403-18b0-47dd-bacc-d76d9d60a28e"/>
    <s v="LatLng(lat: 1.0487099, lng: 103.9533009)"/>
    <s v="OD-25-F0000190"/>
    <s v="MUHAMMAD AL - HAZID"/>
    <s v="BP 4118 OE"/>
    <x v="0"/>
    <s v="14.CALL CENTER"/>
    <s v="A"/>
    <n v="20"/>
    <s v="MH31PA004FK893475"/>
    <s v="1PA891733"/>
    <s v="YAMAHA"/>
    <s v="VIXION"/>
    <s v="PUTIH"/>
    <s v="JG"/>
    <s v="BELUM JTO"/>
    <n v="10"/>
    <n v="18"/>
    <x v="24"/>
    <s v="COLL"/>
    <x v="0"/>
    <x v="0"/>
    <m/>
  </r>
  <r>
    <n v="228"/>
    <d v="2025-11-05T13:00:11"/>
    <s v="6f0ee670-8a9a-45ff-8c00-ca014f6aabeb"/>
    <s v="LatLng(lat: 1.0486283, lng: 103.9532903)"/>
    <s v="OD-24-F0001347"/>
    <s v="BAMBANG CHRISTIANTO"/>
    <s v="BP 2060 GR"/>
    <x v="0"/>
    <s v="11.RIMPUN "/>
    <s v="A"/>
    <n v="20"/>
    <s v="MH1JBK110EK067303"/>
    <s v="JBK1E1067217"/>
    <s v="HONDA"/>
    <s v="REVO"/>
    <s v="HITAM"/>
    <s v="JG"/>
    <s v="BELUM JTO"/>
    <n v="18"/>
    <n v="18"/>
    <x v="18"/>
    <s v="COLL"/>
    <x v="0"/>
    <x v="0"/>
    <m/>
  </r>
  <r>
    <n v="229"/>
    <d v="2025-11-05T13:00:26"/>
    <s v="b5e5eb90-c13c-42f2-8aa6-fb5964b939de"/>
    <s v="LatLng(lat: 1.0487208, lng: 103.9532209)"/>
    <s v="OD-24-F0001347"/>
    <s v="BAMBANG CHRISTIANTO"/>
    <s v="BP 2060 GR"/>
    <x v="0"/>
    <s v="11.RIMPUN "/>
    <s v="A"/>
    <n v="20"/>
    <s v="MH1JBK110EK067303"/>
    <s v="JBK1E1067217"/>
    <s v="HONDA"/>
    <s v="REVO"/>
    <s v="HITAM"/>
    <s v="JG"/>
    <s v="BELUM JTO"/>
    <n v="18"/>
    <n v="18"/>
    <x v="25"/>
    <s v="COLL"/>
    <x v="0"/>
    <x v="0"/>
    <m/>
  </r>
  <r>
    <n v="230"/>
    <d v="2025-11-05T13:02:23"/>
    <s v="6f0ee670-8a9a-45ff-8c00-ca014f6aabeb"/>
    <s v="LatLng(lat: 1.0483435, lng: 103.9535613)"/>
    <s v="SP-24-F0001252"/>
    <s v="ANTONI SARAGI"/>
    <s v="BP 3325 CU"/>
    <x v="0"/>
    <s v="10.MIDUK"/>
    <s v="A"/>
    <n v="20"/>
    <s v="MH1JM8119LK284844"/>
    <s v="JM81E1286651"/>
    <s v="HONDA"/>
    <s v="BEAT"/>
    <s v="HITAM"/>
    <s v="JG"/>
    <s v="BELUM JTO"/>
    <n v="17"/>
    <n v="24"/>
    <x v="18"/>
    <s v="COLL"/>
    <x v="0"/>
    <x v="0"/>
    <m/>
  </r>
  <r>
    <n v="231"/>
    <d v="2025-11-05T13:02:57"/>
    <s v="b5e5eb90-c13c-42f2-8aa6-fb5964b939de"/>
    <s v="LatLng(lat: 1.0487492, lng: 103.9532257)"/>
    <s v="OD-25-F0001284"/>
    <s v="MAYURNI"/>
    <s v="BP 3986 UG"/>
    <x v="0"/>
    <s v="09.OLOAN"/>
    <s v="A"/>
    <n v="1"/>
    <s v="MH1JM9118MK555917"/>
    <s v="JM91E1559335"/>
    <s v="HONDA"/>
    <s v="BEAT SPORTY"/>
    <s v="BIRU HITAM"/>
    <s v="JG"/>
    <s v="GAGAL BAYAR"/>
    <n v="4"/>
    <n v="24"/>
    <x v="25"/>
    <s v="COLL"/>
    <x v="0"/>
    <x v="0"/>
    <m/>
  </r>
  <r>
    <n v="232"/>
    <d v="2025-11-05T13:10:44"/>
    <s v="b5e5eb90-c13c-42f2-8aa6-fb5964b939de"/>
    <s v="LatLng(lat: 1.0486658, lng: 103.9536975)"/>
    <s v="SP-25-F0001774"/>
    <s v="ISTIKOMARIAMAH"/>
    <s v="BP 3673 II"/>
    <x v="0"/>
    <s v="08.JOSRI"/>
    <s v="A"/>
    <n v="21"/>
    <s v="MH1JM0411NK078692"/>
    <s v="JM04E1078402"/>
    <s v="HONDA"/>
    <s v="SCOOPY NON KEYLESS"/>
    <s v="COKLAT"/>
    <s v="JG"/>
    <s v="BELUM JTO"/>
    <n v="4"/>
    <n v="12"/>
    <x v="25"/>
    <s v="COLL"/>
    <x v="0"/>
    <x v="0"/>
    <m/>
  </r>
  <r>
    <n v="233"/>
    <d v="2025-11-05T13:10:46"/>
    <s v="51f658db-9885-4d52-99bd-8e1bf0356977"/>
    <s v="LatLng(lat: 1.0485767, lng: 103.9534101)"/>
    <s v="SP-25-F0001774"/>
    <s v="ISTIKOMARIAMAH"/>
    <s v="BP 3673 II"/>
    <x v="0"/>
    <s v="08.JOSRI"/>
    <s v="A"/>
    <n v="21"/>
    <s v="MH1JM0411NK078692"/>
    <s v="JM04E1078402"/>
    <s v="HONDA"/>
    <s v="SCOOPY NON KEYLESS"/>
    <s v="COKLAT"/>
    <s v="JG"/>
    <s v="BELUM JTO"/>
    <n v="4"/>
    <n v="12"/>
    <x v="19"/>
    <s v="COLL"/>
    <x v="0"/>
    <x v="0"/>
    <m/>
  </r>
  <r>
    <n v="234"/>
    <d v="2025-11-05T13:10:48"/>
    <s v="6f0ee670-8a9a-45ff-8c00-ca014f6aabeb"/>
    <s v="LatLng(lat: 1.0480034, lng: 103.9541012)"/>
    <s v="SP-25-F0001774"/>
    <s v="ISTIKOMARIAMAH"/>
    <s v="BP 3673 II"/>
    <x v="0"/>
    <s v="08.JOSRI"/>
    <s v="A"/>
    <n v="21"/>
    <s v="MH1JM0411NK078692"/>
    <s v="JM04E1078402"/>
    <s v="HONDA"/>
    <s v="SCOOPY NON KEYLESS"/>
    <s v="COKLAT"/>
    <s v="JG"/>
    <s v="BELUM JTO"/>
    <n v="4"/>
    <n v="12"/>
    <x v="18"/>
    <s v="COLL"/>
    <x v="0"/>
    <x v="0"/>
    <m/>
  </r>
  <r>
    <n v="235"/>
    <d v="2025-11-05T13:17:49"/>
    <s v="51f658db-9885-4d52-99bd-8e1bf0356977"/>
    <s v="LatLng(lat: 1.0486129, lng: 103.9534278)"/>
    <s v="SP-25-F0002531"/>
    <s v="IBNU MADHAN"/>
    <s v="BP 4877 CA"/>
    <x v="0"/>
    <s v="14.CALL CENTER"/>
    <s v=" "/>
    <n v="10"/>
    <s v="MH1JM8216PK987631"/>
    <s v="JM82E1987131"/>
    <s v="HONDA"/>
    <s v="BEAT STREET"/>
    <s v="HITAM"/>
    <s v="JG"/>
    <s v="BELUM JTO"/>
    <n v="1"/>
    <n v="24"/>
    <x v="19"/>
    <s v="COLL"/>
    <x v="0"/>
    <x v="0"/>
    <m/>
  </r>
  <r>
    <n v="236"/>
    <d v="2025-11-05T13:18:56"/>
    <s v="5d155998-3b32-426c-9f80-9898af00922a"/>
    <s v="LatLng(lat: 1.0391555, lng: 103.948225)"/>
    <s v="SP-24-F0000426"/>
    <s v="MITRA INDANATA"/>
    <s v="BP 3475 CR"/>
    <x v="7"/>
    <s v="EVENDI"/>
    <s v=" "/>
    <n v="2"/>
    <s v="MH1KF0117NK154094"/>
    <s v="KF01E1153603"/>
    <s v="HONDA"/>
    <s v="VARIO"/>
    <s v="HITAM"/>
    <s v="JG"/>
    <s v="PARTIAL"/>
    <n v="19"/>
    <n v="24"/>
    <x v="4"/>
    <s v="COLL"/>
    <x v="0"/>
    <x v="0"/>
    <m/>
  </r>
  <r>
    <n v="237"/>
    <d v="2025-11-05T13:24:57"/>
    <s v="551fa799-4956-44f4-9122-ea915d0399f1"/>
    <s v="LatLng(lat: 1.0563333, lng: 103.9485122)"/>
    <s v="OD-24-F0002658"/>
    <s v="AZMIL"/>
    <s v="BP 2243 HF"/>
    <x v="0"/>
    <s v="12.JUBRAIDER S"/>
    <s v="D"/>
    <n v="17"/>
    <s v="MH1JFZ125JK396806"/>
    <s v="JFZ1E2407636"/>
    <s v="HONDA"/>
    <s v="BEAT"/>
    <s v="HITAM"/>
    <s v="JG"/>
    <s v="BELUM JTO"/>
    <n v="14"/>
    <n v="24"/>
    <x v="12"/>
    <s v="COLL"/>
    <x v="0"/>
    <x v="0"/>
    <m/>
  </r>
  <r>
    <n v="238"/>
    <d v="2025-11-05T13:36:19"/>
    <s v="e0d931cf-6e64-4a91-a81a-04cf02d33a39"/>
    <s v="LatLng(lat: 1.0623567, lng: 103.9431183)"/>
    <s v="OD-25-F0000864"/>
    <s v="TAKWIM LUBIS"/>
    <s v="BP 5183 AR"/>
    <x v="0"/>
    <s v="14.CALL CENTER"/>
    <s v="A"/>
    <n v="15"/>
    <s v="MH1KC8217HK111112"/>
    <s v="KC82E1109831"/>
    <s v="HONDA"/>
    <s v="CB 150 R LED"/>
    <s v="MERAH"/>
    <s v="JG"/>
    <s v="BELUM JTO"/>
    <n v="7"/>
    <n v="12"/>
    <x v="13"/>
    <s v="COLL"/>
    <x v="0"/>
    <x v="0"/>
    <m/>
  </r>
  <r>
    <n v="239"/>
    <d v="2025-11-05T13:39:45"/>
    <s v="551fa799-4956-44f4-9122-ea915d0399f1"/>
    <s v="LatLng(lat: 1.056441, lng: 103.9482247)"/>
    <s v="OD-24-F0001940"/>
    <s v="OKTINA ITA PERNAMA SARI"/>
    <s v="BP 2194 IA"/>
    <x v="0"/>
    <s v="05.BOSPA"/>
    <s v="A"/>
    <n v="13"/>
    <s v="MH1KF1124HK188349"/>
    <s v="KF11E2185504"/>
    <s v="HONDA"/>
    <s v="VARIO"/>
    <s v="HITAM"/>
    <s v="JG"/>
    <s v="BELUM JTO"/>
    <n v="16"/>
    <n v="24"/>
    <x v="12"/>
    <s v="COLL"/>
    <x v="0"/>
    <x v="0"/>
    <m/>
  </r>
  <r>
    <n v="240"/>
    <d v="2025-11-05T13:43:55"/>
    <s v="5d155998-3b32-426c-9f80-9898af00922a"/>
    <s v="LatLng(lat: 1.1033833, lng: 103.9517865)"/>
    <s v="SP-25-F0000839"/>
    <s v="PARDEDE"/>
    <s v="BP 2730 CR"/>
    <x v="0"/>
    <s v="06.ROBEN"/>
    <s v="A"/>
    <n v="14"/>
    <s v="MH1JM912XNK271781"/>
    <s v="JM91E2270093"/>
    <s v="HONDA"/>
    <s v="BEAT FI"/>
    <s v="BIRU"/>
    <s v="JG"/>
    <s v="BELUM JTO"/>
    <n v="7"/>
    <n v="18"/>
    <x v="4"/>
    <s v="COLL"/>
    <x v="0"/>
    <x v="0"/>
    <m/>
  </r>
  <r>
    <n v="241"/>
    <d v="2025-11-05T13:47:54"/>
    <s v="50dfc547-071b-4547-a06d-921c46792c75"/>
    <s v="LatLng(lat: 1.13869, lng: 104.04413)"/>
    <s v="OD-25-F0001516"/>
    <s v="LONIKA MATONDANG"/>
    <s v="BP 3995 RO"/>
    <x v="0"/>
    <s v="14.CALL CENTER"/>
    <s v="A"/>
    <n v="11"/>
    <s v="MH1JM8211NK487437"/>
    <s v="JM82E1485241"/>
    <s v="HONDA"/>
    <s v="BEAT STREET"/>
    <s v="SILVER"/>
    <s v="JG"/>
    <s v="BELUM JTO"/>
    <n v="3"/>
    <n v="24"/>
    <x v="3"/>
    <s v="ALL"/>
    <x v="0"/>
    <x v="0"/>
    <m/>
  </r>
  <r>
    <n v="242"/>
    <d v="2025-11-05T14:00:51"/>
    <s v="551fa799-4956-44f4-9122-ea915d0399f1"/>
    <s v="LatLng(lat: 1.109384, lng: 103.9491975)"/>
    <s v="SP-25-F0002118"/>
    <s v="ANWAR ASH SHIDIQ"/>
    <s v="BP 2027 O"/>
    <x v="0"/>
    <s v="11.RIMPUN "/>
    <s v="A"/>
    <n v="26"/>
    <s v="MH1JM9117MK473774"/>
    <s v="JM91E1473272"/>
    <s v="HONDA"/>
    <s v="BEAT DELUXE"/>
    <s v="SILVER"/>
    <s v="JG"/>
    <s v="BELUM JTO"/>
    <n v="3"/>
    <n v="12"/>
    <x v="12"/>
    <s v="COLL"/>
    <x v="0"/>
    <x v="0"/>
    <m/>
  </r>
  <r>
    <n v="243"/>
    <d v="2025-11-05T14:00:55"/>
    <s v="5d155998-3b32-426c-9f80-9898af00922a"/>
    <s v="LatLng(lat: 1.1092442, lng: 103.9491376)"/>
    <s v="SP-25-F0002118"/>
    <s v="ANWAR ASH SHIDIQ"/>
    <s v="BP 2027 O"/>
    <x v="0"/>
    <s v="11.RIMPUN "/>
    <s v="A"/>
    <n v="26"/>
    <s v="MH1JM9117MK473774"/>
    <s v="JM91E1473272"/>
    <s v="HONDA"/>
    <s v="BEAT DELUXE"/>
    <s v="SILVER"/>
    <s v="JG"/>
    <s v="BELUM JTO"/>
    <n v="3"/>
    <n v="12"/>
    <x v="4"/>
    <s v="COLL"/>
    <x v="0"/>
    <x v="0"/>
    <m/>
  </r>
  <r>
    <n v="244"/>
    <d v="2025-11-05T14:20:44"/>
    <s v="66338f6f-6199-47e8-8fc9-c871a18b6d2c"/>
    <s v="LatLng(lat: 1.0347696, lng: 104.0703214)"/>
    <s v="OD-24-F0001732"/>
    <s v="ANDIKA AHMAD FAUZI"/>
    <s v="BP 2367 LD"/>
    <x v="0"/>
    <s v="03.DAULAT"/>
    <s v="A"/>
    <n v="25"/>
    <s v="MH1JFF117DK252894"/>
    <s v="JFF1E1254261"/>
    <s v="HONDA"/>
    <s v="VARIO 125"/>
    <s v="WHITE SILVER"/>
    <s v="JG"/>
    <s v="BELUM JTO"/>
    <n v="17"/>
    <n v="24"/>
    <x v="30"/>
    <s v="COLL"/>
    <x v="0"/>
    <x v="0"/>
    <m/>
  </r>
  <r>
    <n v="245"/>
    <d v="2025-11-05T14:20:54"/>
    <s v="3be3f0c1-373f-4a45-946b-0ab494863da5"/>
    <s v="LatLng(lat: 1.0432599, lng: 103.9793776)"/>
    <s v="OD-23-F0000666"/>
    <s v="RUPI ADI YORENSON"/>
    <s v="BP 3277 RG"/>
    <x v="10"/>
    <s v="EKSTERNAL"/>
    <s v=" "/>
    <n v="8"/>
    <s v="MH1JM6114NK212697"/>
    <s v="JM61E1212648"/>
    <s v="HONDA"/>
    <s v="GENIO"/>
    <s v="HITAM SILVER"/>
    <s v="JG"/>
    <s v="GAGAL BAYAR"/>
    <n v="5"/>
    <n v="24"/>
    <x v="17"/>
    <s v="COLL"/>
    <x v="1"/>
    <x v="0"/>
    <m/>
  </r>
  <r>
    <n v="246"/>
    <d v="2025-11-05T14:25:37"/>
    <s v="3be3f0c1-373f-4a45-946b-0ab494863da5"/>
    <s v="LatLng(lat: 1.0432599, lng: 103.9793776)"/>
    <s v="OD-25-F0001266"/>
    <s v="AGUNG ADI PRASETYO"/>
    <s v="BP 2890 QG"/>
    <x v="3"/>
    <s v="DOKA"/>
    <s v=" "/>
    <n v="25"/>
    <s v="MH1JFV119GK372940"/>
    <s v="JFV1E1382028"/>
    <s v="HONDA"/>
    <s v="VARIO 125"/>
    <s v="HITAM"/>
    <s v="JG"/>
    <s v="GAGAL BAYAR"/>
    <n v="3"/>
    <n v="12"/>
    <x v="17"/>
    <s v="COLL"/>
    <x v="1"/>
    <x v="0"/>
    <m/>
  </r>
  <r>
    <n v="247"/>
    <d v="2025-11-05T14:50:38"/>
    <s v="a4f24bfd-45be-407a-a9ce-5da8e226108b"/>
    <s v="LatLng(lat: 1.1436431, lng: 104.0289926)"/>
    <s v="SP-25-F0000097"/>
    <s v="NADIA NW NAINGGOLAN"/>
    <s v="BP 5446 AG"/>
    <x v="12"/>
    <s v="PAUL"/>
    <s v=" "/>
    <n v="13"/>
    <s v="MH3SG5670MJ011886"/>
    <s v="G3L8E0398021"/>
    <s v="YAMAHA"/>
    <s v="NMAX CONNECTED"/>
    <s v="HITAM"/>
    <s v="JG"/>
    <s v="GAGAL BAYAR"/>
    <n v="7"/>
    <n v="24"/>
    <x v="2"/>
    <s v="COLL"/>
    <x v="1"/>
    <x v="0"/>
    <m/>
  </r>
  <r>
    <n v="248"/>
    <d v="2025-11-05T14:51:49"/>
    <s v="fced54d3-7c26-48e8-91fe-7d7236e7f959"/>
    <s v="LatLng(lat: 1.0432307, lng: 103.979383)"/>
    <s v="SP-25-F0000097"/>
    <s v="NADIA NW NAINGGOLAN"/>
    <s v="BP 5446 AG"/>
    <x v="12"/>
    <s v="PAUL"/>
    <s v=" "/>
    <n v="13"/>
    <s v="MH3SG5670MJ011886"/>
    <s v="G3L8E0398021"/>
    <s v="YAMAHA"/>
    <s v="NMAX CONNECTED"/>
    <s v="HITAM"/>
    <s v="JG"/>
    <s v="GAGAL BAYAR"/>
    <n v="7"/>
    <n v="24"/>
    <x v="10"/>
    <s v="COLL"/>
    <x v="1"/>
    <x v="0"/>
    <m/>
  </r>
  <r>
    <n v="249"/>
    <d v="2025-11-05T14:56:39"/>
    <s v="551fa799-4956-44f4-9122-ea915d0399f1"/>
    <s v="LatLng(lat: 1.1250995, lng: 103.9279527)"/>
    <s v="SP-24-F0001587"/>
    <s v="M RIAN HIDAYAT"/>
    <s v="BP 4297 QJ"/>
    <x v="6"/>
    <s v="BELUM JTO"/>
    <s v=" "/>
    <n v="3"/>
    <s v="MH3SG3180JK018202"/>
    <s v="G3E4E0860022"/>
    <s v="YAMAHA"/>
    <s v="NMAX ABS"/>
    <s v="HITAM"/>
    <s v="JG"/>
    <s v="BELUM JTO"/>
    <n v="16"/>
    <n v="24"/>
    <x v="12"/>
    <s v="COLL"/>
    <x v="0"/>
    <x v="0"/>
    <m/>
  </r>
  <r>
    <n v="250"/>
    <d v="2025-11-05T14:56:40"/>
    <s v="5d155998-3b32-426c-9f80-9898af00922a"/>
    <s v="LatLng(lat: 1.1250428, lng: 103.9276032)"/>
    <s v="SP-24-F0001587"/>
    <s v="M RIAN HIDAYAT"/>
    <s v="BP 4297 QJ"/>
    <x v="6"/>
    <s v="BELUM JTO"/>
    <s v=" "/>
    <n v="3"/>
    <s v="MH3SG3180JK018202"/>
    <s v="G3E4E0860022"/>
    <s v="YAMAHA"/>
    <s v="NMAX ABS"/>
    <s v="HITAM"/>
    <s v="JG"/>
    <s v="BELUM JTO"/>
    <n v="16"/>
    <n v="24"/>
    <x v="4"/>
    <s v="COLL"/>
    <x v="0"/>
    <x v="0"/>
    <m/>
  </r>
  <r>
    <n v="251"/>
    <d v="2025-11-05T14:57:54"/>
    <s v="6d21de4b-42fc-49f2-86f3-40a2a9759695"/>
    <s v="LatLng(lat: 0.9311589, lng: 104.4404142)"/>
    <s v="OD-25-F0000103"/>
    <s v="ZULFADLI"/>
    <s v="BP 3925 RC"/>
    <x v="0"/>
    <s v="06.ROBEN"/>
    <s v="A"/>
    <n v="14"/>
    <s v="MH1JM912XNK226615"/>
    <s v="JM91E2224943"/>
    <s v="HONDA"/>
    <s v="BEAT"/>
    <s v="SILVER"/>
    <s v="JG"/>
    <s v="BELUM JTO"/>
    <n v="10"/>
    <n v="24"/>
    <x v="0"/>
    <s v="COLL"/>
    <x v="0"/>
    <x v="0"/>
    <m/>
  </r>
  <r>
    <n v="252"/>
    <d v="2025-11-05T14:58:39"/>
    <s v="78c8aa58-d259-49a1-a96c-192417985ecf"/>
    <s v="LatLng(lat: 1.0474591, lng: 103.9679897)"/>
    <s v="0200-0198"/>
    <s v="ARLENA AZHARI"/>
    <s v="BP 3260 UM"/>
    <x v="9"/>
    <s v="EKSTERNAL"/>
    <s v=" "/>
    <n v="23"/>
    <s v="MH1JM0111LK001306"/>
    <s v="JM01E1001247"/>
    <s v="HONDA"/>
    <s v="F1CO2N46L2 A/T SCOPPY"/>
    <s v="HITAM"/>
    <s v="JG"/>
    <s v="GAGAL BAYAR"/>
    <n v="4"/>
    <n v="12"/>
    <x v="16"/>
    <s v="COLL"/>
    <x v="6"/>
    <x v="0"/>
    <m/>
  </r>
  <r>
    <n v="253"/>
    <d v="2025-11-05T14:58:53"/>
    <s v="6d21de4b-42fc-49f2-86f3-40a2a9759695"/>
    <s v="LatLng(lat: 0.9311468, lng: 104.4403292)"/>
    <s v="TP-25-F0000544"/>
    <s v="SURYADI"/>
    <s v="BP 2588 BY"/>
    <x v="0"/>
    <s v="14.CALL CENTER"/>
    <s v="A"/>
    <n v="1"/>
    <s v="MH1JFP219FK069441"/>
    <s v="JFP2E1071500"/>
    <s v="HONDA"/>
    <s v="BEAT FI"/>
    <s v="PUTIH BIRU"/>
    <s v="JG"/>
    <s v="DONE"/>
    <n v="3"/>
    <n v="24"/>
    <x v="0"/>
    <s v="COLL"/>
    <x v="0"/>
    <x v="0"/>
    <m/>
  </r>
  <r>
    <n v="254"/>
    <d v="2025-11-05T15:13:47"/>
    <s v="78c8aa58-d259-49a1-a96c-192417985ecf"/>
    <s v="LatLng(lat: 1.0963773, lng: 103.9628855)"/>
    <s v="SP-25-F0000678"/>
    <s v="VINA SYAHRINA HIDAYAT"/>
    <s v="BP 5783 CG"/>
    <x v="4"/>
    <s v="EVENDI"/>
    <s v=" "/>
    <n v="22"/>
    <s v="MH3SEK610PJ083858"/>
    <s v="E34KE0083862"/>
    <s v="YAMAHA"/>
    <s v="FILANO"/>
    <s v="BIRU"/>
    <s v="JG"/>
    <s v="GAGAL BAYAR"/>
    <n v="7"/>
    <n v="18"/>
    <x v="16"/>
    <s v="COLL"/>
    <x v="10"/>
    <x v="0"/>
    <s v="YBS DI DTEEK TGL 5 NAH RUNAPNYA YBS INI UDAH DI BULAN 10 YBS DI EKSEKUSI LAUNSG DI RUMAH ORNAG TUANYA TETAOI YBS MEMBUAT PERJANJIAN KAUA SEMISLAKAN TGL 8 NOV 2025 TIDKA DI BAYARKAN ANGSURANNYA MAKA TEAM JG BERHAK UNTUK MENARIK MOTORNTA"/>
  </r>
  <r>
    <n v="255"/>
    <d v="2025-11-05T15:58:51"/>
    <s v="688868a7-408e-44ae-b238-348dfc1995b0"/>
    <s v="LatLng(lat: 1.0546098, lng: 103.9685774)"/>
    <s v="SP-25-F0001709"/>
    <s v="KURNIAWAN"/>
    <s v="BP 4497 AF"/>
    <x v="0"/>
    <s v="14.CALL CENTER"/>
    <s v="A"/>
    <n v="15"/>
    <s v="MH3SG5620LK029479"/>
    <s v="G3L8E0029731"/>
    <s v="YAMAHA"/>
    <s v="NMAX NON CONNECTED"/>
    <s v="HITAM"/>
    <s v="JG"/>
    <s v="BELUM JTO"/>
    <n v="4"/>
    <n v="18"/>
    <x v="14"/>
    <s v="COLL"/>
    <x v="0"/>
    <x v="0"/>
    <m/>
  </r>
  <r>
    <n v="256"/>
    <d v="2025-11-05T16:18:17"/>
    <s v="6d21de4b-42fc-49f2-86f3-40a2a9759695"/>
    <s v="LatLng(lat: 0.9096364, lng: 104.4769112)"/>
    <s v="TP-24-F0000745"/>
    <s v="AL FATHUL FERDIAN"/>
    <s v="BP 2511 BU"/>
    <x v="0"/>
    <s v="14.CALL CENTER"/>
    <s v="A"/>
    <n v="1"/>
    <s v="MH1JFZ216JK451480"/>
    <s v="JFZ2E1451400"/>
    <s v="HONDA"/>
    <s v="BEAT STREET"/>
    <s v="HITAM"/>
    <s v="JG"/>
    <s v="DONE"/>
    <n v="11"/>
    <n v="24"/>
    <x v="0"/>
    <s v="COLL"/>
    <x v="0"/>
    <x v="0"/>
    <m/>
  </r>
  <r>
    <n v="257"/>
    <d v="2025-11-05T16:27:04"/>
    <s v="688868a7-408e-44ae-b238-348dfc1995b0"/>
    <s v="LatLng(lat: 1.040715, lng: 103.987445)"/>
    <s v="SP-25-F0000027"/>
    <s v="HAERUL BAHRI"/>
    <s v="BP 4108 OA"/>
    <x v="11"/>
    <s v="MARTIN"/>
    <s v=" "/>
    <n v="4"/>
    <s v="MH1KD1119PK471437"/>
    <s v="KD11E1470632"/>
    <s v="HONDA"/>
    <s v="CRF"/>
    <s v="HIJAU HITAM"/>
    <s v="JG"/>
    <s v="GAGAL BAYAR"/>
    <n v="6"/>
    <n v="18"/>
    <x v="14"/>
    <s v="COLL"/>
    <x v="3"/>
    <x v="0"/>
    <m/>
  </r>
  <r>
    <n v="258"/>
    <d v="2025-11-05T17:08:22"/>
    <s v="fced54d3-7c26-48e8-91fe-7d7236e7f959"/>
    <s v="LatLng(lat: 1.0432805, lng: 103.9794255)"/>
    <s v="SP-25-F0001669"/>
    <s v="ADRI KOTO"/>
    <s v="BP 4824 AF"/>
    <x v="3"/>
    <s v="PAUL"/>
    <s v=" "/>
    <n v="12"/>
    <s v="MH3SEF320KJ032240"/>
    <s v="E31VE0151762"/>
    <s v="YAMAHA"/>
    <s v="LEXI"/>
    <s v="BIRU TUA"/>
    <s v="JG"/>
    <s v="GAGAL BAYAR"/>
    <n v="2"/>
    <n v="18"/>
    <x v="10"/>
    <s v="COLL"/>
    <x v="1"/>
    <x v="0"/>
    <m/>
  </r>
  <r>
    <n v="259"/>
    <d v="2025-11-05T17:47:39"/>
    <s v="6b3dc071-be8e-4fa6-84b3-ef2c87247cf2"/>
    <s v="LatLng(lat: 1.0432886, lng: 103.9793711)"/>
    <s v="OD-25-F0001756"/>
    <s v="M SUBADAR"/>
    <s v="BP 5950 MF"/>
    <x v="0"/>
    <s v="14.CALL CENTER"/>
    <s v=" "/>
    <n v="23"/>
    <s v="MH33C1205DK179967"/>
    <s v="3C11179633"/>
    <s v="VIXION OLD"/>
    <s v="YAMAHA"/>
    <s v="MERAH MARUN"/>
    <s v="JG"/>
    <s v="BELUM JTO"/>
    <n v="2"/>
    <n v="12"/>
    <x v="31"/>
    <s v="COLL"/>
    <x v="0"/>
    <x v="0"/>
    <m/>
  </r>
  <r>
    <n v="260"/>
    <d v="2025-11-05T17:48:14"/>
    <s v="65c1341a-686d-45fb-810f-7b8814abe13f"/>
    <s v="LatLng(lat: 1.1485852, lng: 104.0160377)"/>
    <s v="OD-25-F0001657"/>
    <s v="RONI ROMANSYAH"/>
    <s v="BP 3468 IC"/>
    <x v="0"/>
    <s v="14.CALL CENTER"/>
    <s v=" "/>
    <n v="6"/>
    <s v="MH1JM2118HK553162"/>
    <s v="JM21E1536968"/>
    <s v="HONDA"/>
    <s v="BEAT"/>
    <s v="HITAM"/>
    <s v="JG"/>
    <s v="BELUM JTO"/>
    <n v="2"/>
    <n v="12"/>
    <x v="23"/>
    <s v="COLL"/>
    <x v="0"/>
    <x v="0"/>
    <m/>
  </r>
  <r>
    <n v="261"/>
    <d v="2025-11-05T18:28:34"/>
    <s v="5d155998-3b32-426c-9f80-9898af00922a"/>
    <s v="LatLng(lat: 1.0330473, lng: 103.976217)"/>
    <s v="SP-24-F0002338"/>
    <s v="SUDARMAN"/>
    <s v="BP 4428 QF"/>
    <x v="6"/>
    <s v="BELUM JTO"/>
    <s v=" "/>
    <n v="2"/>
    <s v="MH3SE8860HJ092134"/>
    <s v="E3R2E1336323"/>
    <s v="YAMAHA"/>
    <s v="MIO M3"/>
    <s v="PUTIH PERAK"/>
    <s v="JG"/>
    <s v="BELUM JTO"/>
    <n v="13"/>
    <n v="18"/>
    <x v="4"/>
    <s v="COLL"/>
    <x v="0"/>
    <x v="0"/>
    <m/>
  </r>
  <r>
    <n v="262"/>
    <d v="2025-11-05T18:31:53"/>
    <s v="65c1341a-686d-45fb-810f-7b8814abe13f"/>
    <s v="LatLng(lat: 1.1469891, lng: 104.0268464)"/>
    <s v="OD-24-F0001528"/>
    <s v="HERY ABRIAN"/>
    <s v="BP 2135 QQ"/>
    <x v="0"/>
    <s v="14.CALL CENTER"/>
    <s v="A"/>
    <n v="8"/>
    <s v="MH1JFZ11XGK424406"/>
    <s v="JFZ1E1414646"/>
    <s v="HONDA"/>
    <s v="BEAT"/>
    <s v="PUTIH"/>
    <s v="JG"/>
    <s v="BELUM JTO"/>
    <n v="17"/>
    <n v="18"/>
    <x v="23"/>
    <s v="COLL"/>
    <x v="0"/>
    <x v="0"/>
    <m/>
  </r>
  <r>
    <n v="263"/>
    <d v="2025-11-05T18:54:35"/>
    <s v="83ca24fc-042d-4a7a-aea3-35465e9db033"/>
    <s v="LatLng(lat: 1.081295, lng: 103.9045047)"/>
    <s v="SP-25-F0000349"/>
    <s v="OLOAN MARIHOT HUTABARAT"/>
    <s v="BP 3473 GU"/>
    <x v="0"/>
    <s v="11.RIMPUN "/>
    <s v="A"/>
    <n v="12"/>
    <s v="MH1JM1122LK417864"/>
    <s v="JM11E2400078"/>
    <s v="HONDA"/>
    <s v="BEAT FI"/>
    <s v="BIRU-HITAM"/>
    <s v="JG"/>
    <s v="BELUM JTO"/>
    <n v="9"/>
    <n v="24"/>
    <x v="32"/>
    <s v="COLL"/>
    <x v="0"/>
    <x v="0"/>
    <m/>
  </r>
  <r>
    <n v="264"/>
    <d v="2025-11-05T18:56:54"/>
    <s v="83ca24fc-042d-4a7a-aea3-35465e9db033"/>
    <s v="LatLng(lat: 1.0798648, lng: 103.9061619)"/>
    <s v="OD-24-F0001100"/>
    <s v="REFLIZAR"/>
    <s v="BP 2478 ME"/>
    <x v="1"/>
    <s v="PAUL"/>
    <s v=" "/>
    <n v="20"/>
    <s v="MH1JFD230EK007652"/>
    <s v="JFD2E2999713"/>
    <s v="HONDA"/>
    <s v="BEAT CW"/>
    <s v="BIRU- PUTIH"/>
    <s v="JG"/>
    <s v="GAGAL BAYAR"/>
    <n v="12"/>
    <n v="24"/>
    <x v="32"/>
    <s v="COLL"/>
    <x v="4"/>
    <x v="1"/>
    <m/>
  </r>
  <r>
    <n v="265"/>
    <d v="2025-11-05T19:34:30"/>
    <s v="5d155998-3b32-426c-9f80-9898af00922a"/>
    <s v="LatLng(lat: 1.0547572, lng: 103.9580988)"/>
    <s v="OD-25-F0001615"/>
    <s v="SAMSIN SIGALINGGING"/>
    <s v="BP 6525 JC"/>
    <x v="0"/>
    <s v="14.CALL CENTER"/>
    <s v="A"/>
    <n v="1"/>
    <s v="MH1KB111XRK352837"/>
    <s v="KB11E1352262"/>
    <s v="HONDA"/>
    <s v="SONIC"/>
    <s v="MERAH PUTIH"/>
    <s v="JG"/>
    <s v="DONE"/>
    <n v="2"/>
    <n v="12"/>
    <x v="4"/>
    <s v="COLL"/>
    <x v="0"/>
    <x v="0"/>
    <m/>
  </r>
  <r>
    <n v="266"/>
    <d v="2025-11-05T19:36:29"/>
    <s v="1770dac3-81ca-4fab-8a6a-e60c63470def"/>
    <s v="LatLng(lat: 1.0458283, lng: 103.9572502)"/>
    <s v="OD-25-F0001853"/>
    <s v="INDRA SAPRIMA"/>
    <s v="BP 5636 AC"/>
    <x v="0"/>
    <s v="14.CALL CENTER"/>
    <s v=" "/>
    <n v="9"/>
    <s v="MH3SEF320JJ024312"/>
    <s v="E31VE0115315"/>
    <s v="YAMAHA"/>
    <s v="LEXI"/>
    <s v="BIRU TUA"/>
    <s v="JG"/>
    <s v="BELUM JTO"/>
    <n v="1"/>
    <n v="18"/>
    <x v="21"/>
    <s v="COLL"/>
    <x v="0"/>
    <x v="0"/>
    <m/>
  </r>
  <r>
    <n v="267"/>
    <d v="2025-11-05T19:43:26"/>
    <s v="5d155998-3b32-426c-9f80-9898af00922a"/>
    <s v="LatLng(lat: 1.0564211, lng: 103.9481284)"/>
    <s v="OD-25-F0001260"/>
    <s v="FERY MADANI BUTAR BUTAR"/>
    <s v="BP 2708 QS"/>
    <x v="0"/>
    <s v="13.WILFRIN"/>
    <s v="A"/>
    <n v="21"/>
    <s v="MH1JM812XPK687620"/>
    <s v="JM81E2687745"/>
    <s v="HONDA"/>
    <s v="BEAT"/>
    <s v="SILVER HITAM"/>
    <s v="JG"/>
    <s v="BELUM JTO"/>
    <n v="5"/>
    <n v="12"/>
    <x v="4"/>
    <s v="COLL"/>
    <x v="0"/>
    <x v="0"/>
    <m/>
  </r>
  <r>
    <n v="268"/>
    <d v="2025-11-05T19:44:51"/>
    <s v="5d155998-3b32-426c-9f80-9898af00922a"/>
    <s v="LatLng(lat: 1.0563805, lng: 103.9479799)"/>
    <s v="SP-24-F0002337"/>
    <s v="SAHRUL IZAM"/>
    <s v="BP 2275 HE"/>
    <x v="0"/>
    <s v="05.BOSPA"/>
    <s v="A"/>
    <n v="4"/>
    <s v="MH1JM211XJK724256"/>
    <s v="JM21E1714470"/>
    <s v="HONDA"/>
    <s v="BEAT"/>
    <s v="HITAM"/>
    <s v="JG"/>
    <s v="GAGAL BAYAR"/>
    <n v="12"/>
    <n v="18"/>
    <x v="4"/>
    <s v="COLL"/>
    <x v="0"/>
    <x v="0"/>
    <m/>
  </r>
  <r>
    <n v="269"/>
    <d v="2025-11-05T19:53:42"/>
    <s v="5d155998-3b32-426c-9f80-9898af00922a"/>
    <s v="LatLng(lat: 1.0563283, lng: 103.948075)"/>
    <s v="OD-24-F0003343"/>
    <s v="EFRIYANSYAH"/>
    <s v="BP 2414 UI"/>
    <x v="0"/>
    <s v="10.MIDUK"/>
    <s v="A"/>
    <n v="5"/>
    <s v="MH1JM9116MK714658"/>
    <s v="JM91E1714235"/>
    <s v="HONDA"/>
    <s v="BEAT"/>
    <s v="BIRU SILVER"/>
    <s v="JG"/>
    <s v="GAGAL BAYAR"/>
    <n v="11"/>
    <n v="24"/>
    <x v="4"/>
    <s v="COLL"/>
    <x v="0"/>
    <x v="0"/>
    <m/>
  </r>
  <r>
    <n v="270"/>
    <d v="2025-11-05T19:56:57"/>
    <s v="5d155998-3b32-426c-9f80-9898af00922a"/>
    <s v="LatLng(lat: 1.0564275, lng: 103.9480064)"/>
    <s v="SP-25-F0002318"/>
    <s v="SULAIMAN"/>
    <s v="BP 3586 IO"/>
    <x v="0"/>
    <s v="14.CALL CENTER"/>
    <s v=" "/>
    <n v="15"/>
    <s v="MH1JFB115DK635709"/>
    <s v="JFB1E1590193"/>
    <s v="HONDA"/>
    <s v="VARIO 125"/>
    <s v="WHITE BLUE"/>
    <s v="JG"/>
    <s v="BELUM JTO"/>
    <n v="2"/>
    <n v="12"/>
    <x v="4"/>
    <s v="COLL"/>
    <x v="0"/>
    <x v="0"/>
    <m/>
  </r>
  <r>
    <n v="271"/>
    <d v="2025-11-05T19:57:17"/>
    <s v="5d155998-3b32-426c-9f80-9898af00922a"/>
    <s v="LatLng(lat: 1.0564275, lng: 103.9480064)"/>
    <s v="SP-25-F0000190"/>
    <s v="MALASARI"/>
    <s v="BP 3367 AE"/>
    <x v="0"/>
    <s v="14.CALL CENTER"/>
    <s v="A"/>
    <n v="23"/>
    <s v="MH1JFZ135KK085211"/>
    <s v="JFZ1E3087373"/>
    <s v="HONDA"/>
    <s v="BEAT FI"/>
    <s v="HITAM"/>
    <s v="JG"/>
    <s v="DONE"/>
    <n v="10"/>
    <n v="12"/>
    <x v="4"/>
    <s v="COLL"/>
    <x v="0"/>
    <x v="0"/>
    <m/>
  </r>
  <r>
    <n v="272"/>
    <d v="2025-11-05T20:00:57"/>
    <s v="5d155998-3b32-426c-9f80-9898af00922a"/>
    <s v="LatLng(lat: 1.0563571, lng: 103.9479854)"/>
    <s v="SP-25-F0000139"/>
    <s v="M RIDWAN"/>
    <s v="BP 2282 RG"/>
    <x v="0"/>
    <s v="14.CALL CENTER"/>
    <s v="A"/>
    <n v="18"/>
    <s v="MH1JM0210NK604555"/>
    <s v="JM02E1604540"/>
    <s v="HONDA"/>
    <s v="SCOOPY KEYLESS"/>
    <s v="COKLAT"/>
    <s v="JG"/>
    <s v="BELUM JTO"/>
    <n v="10"/>
    <n v="12"/>
    <x v="4"/>
    <s v="COLL"/>
    <x v="0"/>
    <x v="0"/>
    <m/>
  </r>
  <r>
    <n v="273"/>
    <d v="2025-11-05T20:02:42"/>
    <s v="5d155998-3b32-426c-9f80-9898af00922a"/>
    <s v="LatLng(lat: 1.0562732, lng: 103.9480921)"/>
    <s v="SP-25-F0001522"/>
    <s v="ALI MAKMUR"/>
    <s v="BP 5274 AQ"/>
    <x v="0"/>
    <s v="14.CALL CENTER"/>
    <s v="A"/>
    <n v="1"/>
    <s v="MH3SG5670PK281211"/>
    <s v="G3L8E1490474"/>
    <s v="YAMAHA"/>
    <s v="N MAX CONNECTED"/>
    <s v="MERAH"/>
    <s v="JG"/>
    <s v="GAGAL BAYAR"/>
    <n v="4"/>
    <n v="18"/>
    <x v="4"/>
    <s v="COLL"/>
    <x v="0"/>
    <x v="0"/>
    <m/>
  </r>
  <r>
    <n v="274"/>
    <d v="2025-11-05T20:06:14"/>
    <s v="5d155998-3b32-426c-9f80-9898af00922a"/>
    <s v="LatLng(lat: 1.0584853, lng: 103.9633709)"/>
    <s v="SP-25-F0000939"/>
    <s v="WERLIN SAMUEL MALAU"/>
    <s v="BP 3014 IF"/>
    <x v="0"/>
    <s v="11.RIMPUN "/>
    <s v="A"/>
    <n v="1"/>
    <s v="MH1KCD212NK030684"/>
    <s v="KCD2E1030751"/>
    <s v="HONDA"/>
    <s v="CB 150"/>
    <s v="HITAM"/>
    <s v="JG"/>
    <s v="GAGAL BAYAR"/>
    <n v="6"/>
    <n v="18"/>
    <x v="4"/>
    <s v="COLL"/>
    <x v="11"/>
    <x v="0"/>
    <m/>
  </r>
  <r>
    <n v="275"/>
    <d v="2025-11-05T20:17:33"/>
    <s v="5d155998-3b32-426c-9f80-9898af00922a"/>
    <s v="LatLng(lat: 1.051719, lng: 103.9682219)"/>
    <s v="OD-25-F0001837"/>
    <s v="LEGON HUTASOIT"/>
    <s v="BP 3784 UG"/>
    <x v="0"/>
    <s v="14.CALL CENTER"/>
    <s v=" "/>
    <n v="8"/>
    <s v="MH1JM0213MK216699"/>
    <s v="JM02E1216250"/>
    <s v="HONDA"/>
    <s v="SCOOPY"/>
    <s v="COKLAT"/>
    <s v="JG"/>
    <s v="BELUM JTO"/>
    <n v="1"/>
    <n v="18"/>
    <x v="4"/>
    <s v="COLL"/>
    <x v="0"/>
    <x v="0"/>
    <m/>
  </r>
  <r>
    <n v="276"/>
    <d v="2025-11-05T20:18:52"/>
    <s v="5d155998-3b32-426c-9f80-9898af00922a"/>
    <s v="LatLng(lat: 1.0520326, lng: 103.9690732)"/>
    <s v="SP-25-F0001350"/>
    <s v="IOT PANJAITAN"/>
    <s v="BP 2131 UP"/>
    <x v="0"/>
    <s v="14.CALL CENTER"/>
    <s v="A"/>
    <n v="12"/>
    <s v="MH1JM9137PK103415"/>
    <s v="JM91E3100855"/>
    <s v="HONDA"/>
    <s v="BEAT FI"/>
    <s v="HIJAU"/>
    <s v="JG"/>
    <s v="BELUM JTO"/>
    <n v="5"/>
    <n v="12"/>
    <x v="4"/>
    <s v="COLL"/>
    <x v="0"/>
    <x v="0"/>
    <m/>
  </r>
  <r>
    <n v="277"/>
    <d v="2025-11-05T20:20:38"/>
    <s v="5d155998-3b32-426c-9f80-9898af00922a"/>
    <s v="LatLng(lat: 1.0518824, lng: 103.9682129)"/>
    <s v="SP-25-F0002295"/>
    <s v="DANIEL LUMBANTORUAN"/>
    <s v="BP 5285 QD"/>
    <x v="0"/>
    <s v="14.CALL CENTER"/>
    <s v=" "/>
    <n v="16"/>
    <s v="MH3RG1810GK281186"/>
    <s v="G3E7E0283656"/>
    <s v="YAMAHA"/>
    <s v="VIXION ADV"/>
    <s v="HITAM MERAH"/>
    <s v="JG"/>
    <s v="BELUM JTO"/>
    <n v="2"/>
    <n v="18"/>
    <x v="4"/>
    <s v="COLL"/>
    <x v="0"/>
    <x v="0"/>
    <m/>
  </r>
  <r>
    <n v="278"/>
    <d v="2025-11-05T20:27:09"/>
    <s v="5d155998-3b32-426c-9f80-9898af00922a"/>
    <s v="LatLng(lat: 1.0515007, lng: 103.9682181)"/>
    <s v="OD-25-F0001738"/>
    <s v="TUMINI"/>
    <s v="BP 2795 IA"/>
    <x v="0"/>
    <s v="13.WILFRIN"/>
    <s v=" "/>
    <n v="19"/>
    <s v="MH1JFS115HK398581"/>
    <s v="JFS1E1391303"/>
    <s v="HONDA"/>
    <s v="BEAT"/>
    <s v="PUTIH HITAM"/>
    <s v="JG"/>
    <s v="BELUM JTO"/>
    <n v="2"/>
    <n v="18"/>
    <x v="4"/>
    <s v="COLL"/>
    <x v="0"/>
    <x v="0"/>
    <m/>
  </r>
  <r>
    <n v="279"/>
    <d v="2025-11-05T20:41:30"/>
    <s v="5d155998-3b32-426c-9f80-9898af00922a"/>
    <s v="LatLng(lat: 1.0521876, lng: 103.9689996)"/>
    <s v="OD-24-F0003181"/>
    <s v="LEGON HUTASOIT"/>
    <s v="BP 2399 HE"/>
    <x v="0"/>
    <s v="10.MIDUK"/>
    <s v=" "/>
    <n v="16"/>
    <s v="MH1KC8118JK180799"/>
    <s v="KC81E1174484"/>
    <s v="HONDA"/>
    <s v="CB 150 R"/>
    <s v="HITAM"/>
    <s v="JG"/>
    <s v="BELUM JTO"/>
    <n v="12"/>
    <n v="18"/>
    <x v="4"/>
    <s v="COLL"/>
    <x v="0"/>
    <x v="0"/>
    <m/>
  </r>
  <r>
    <n v="280"/>
    <d v="2025-11-05T20:50:37"/>
    <s v="eea94692-e3ef-470d-a986-47d8940e37c5"/>
    <s v="LatLng(lat: 1.0562153, lng: 103.9490615)"/>
    <s v="OD-25-F0001943"/>
    <s v="HANDA ALPIAN"/>
    <s v="BP 2988 OH"/>
    <x v="6"/>
    <s v="BELUM JTO"/>
    <s v=" "/>
    <n v="1"/>
    <s v="MH1JFP211FK147890"/>
    <s v="JFP2E1147875"/>
    <s v="HONDA"/>
    <s v="BEAT CW"/>
    <s v="HITAM"/>
    <s v="JG"/>
    <s v="BELUM JTO"/>
    <n v="1"/>
    <n v="12"/>
    <x v="8"/>
    <s v="COLL"/>
    <x v="0"/>
    <x v="0"/>
    <m/>
  </r>
  <r>
    <n v="281"/>
    <d v="2025-11-05T21:00:46"/>
    <s v="eea94692-e3ef-470d-a986-47d8940e37c5"/>
    <s v="LatLng(lat: 1.0541788, lng: 103.9692092)"/>
    <s v="SP-25-F0002449"/>
    <s v="SARIHON MANULLANG"/>
    <s v="BP 4750 CF"/>
    <x v="0"/>
    <s v="14.CALL CENTER"/>
    <s v=" "/>
    <n v="5"/>
    <s v="MH1JFD221EK854302"/>
    <s v="JFD2E2849240"/>
    <s v="HONDA"/>
    <s v="BEAT CW"/>
    <s v="BIRU PUTIH"/>
    <s v="JG"/>
    <s v="GAGAL BAYAR"/>
    <n v="1"/>
    <n v="12"/>
    <x v="8"/>
    <s v="COLL"/>
    <x v="0"/>
    <x v="0"/>
    <m/>
  </r>
  <r>
    <n v="282"/>
    <d v="2025-11-05T21:21:49"/>
    <s v="eea94692-e3ef-470d-a986-47d8940e37c5"/>
    <s v="LatLng(lat: 1.0541765, lng: 103.9692067)"/>
    <s v="SP-25-F0002460"/>
    <s v="DANI HERWANSYAH"/>
    <s v="BP 5537 CG"/>
    <x v="0"/>
    <s v="12.JUBRAIDER S"/>
    <s v=" "/>
    <n v="2"/>
    <s v="MH1JM0419RK791734"/>
    <s v="JM04E1791745"/>
    <s v="HONDA"/>
    <s v="SCOOPY KEYLESS"/>
    <s v="HIJAU"/>
    <s v="JG"/>
    <s v="GAGAL BAYAR"/>
    <n v="1"/>
    <n v="18"/>
    <x v="8"/>
    <s v="COLL"/>
    <x v="0"/>
    <x v="0"/>
    <m/>
  </r>
  <r>
    <n v="283"/>
    <d v="2025-11-06T07:55:59"/>
    <s v="66338f6f-6199-47e8-8fc9-c871a18b6d2c"/>
    <s v="LatLng(lat: 1.0546284, lng: 104.0098479)"/>
    <s v="OD-25-F0001341"/>
    <s v="YONDIAN FIRMAN ANUGRAH UTAMA"/>
    <s v="BP 2409 HP"/>
    <x v="6"/>
    <s v="C"/>
    <s v=" "/>
    <n v="11"/>
    <s v="MH1JFZ120JK963102"/>
    <s v="JFZ1E2961295"/>
    <s v="HONDA"/>
    <s v="BEAT"/>
    <s v="HITAM"/>
    <s v="JG"/>
    <s v="BELUM JTO"/>
    <n v="5"/>
    <n v="12"/>
    <x v="30"/>
    <s v="COLL"/>
    <x v="0"/>
    <x v="0"/>
    <m/>
  </r>
  <r>
    <n v="284"/>
    <d v="2025-11-06T08:56:10"/>
    <s v="dcc6f40b-a9a1-43d4-bd37-f0019f505bcd"/>
    <s v="LatLng(lat: 1.0407402, lng: 103.9874656)"/>
    <s v="SP-25-F0001715"/>
    <s v="HERI SUSANTO"/>
    <s v="BP 3012 RG"/>
    <x v="0"/>
    <s v="14.CALL CENTER"/>
    <s v="A"/>
    <n v="16"/>
    <s v="MH1JM8118NK856084"/>
    <s v="JM81E1858065"/>
    <s v="HONDA"/>
    <s v="BEAT FI"/>
    <s v="MERAH-HITAM"/>
    <s v="JG"/>
    <s v="BELUM JTO"/>
    <n v="4"/>
    <n v="24"/>
    <x v="9"/>
    <s v="COLL"/>
    <x v="0"/>
    <x v="0"/>
    <m/>
  </r>
  <r>
    <n v="285"/>
    <d v="2025-11-06T08:57:20"/>
    <s v="dcc6f40b-a9a1-43d4-bd37-f0019f505bcd"/>
    <s v="LatLng(lat: 1.0407419, lng: 103.9874658)"/>
    <s v="OD-25-F0000998"/>
    <s v="IMAM SAFI I"/>
    <s v="BP 2789 HI"/>
    <x v="6"/>
    <s v="C"/>
    <s v=" "/>
    <n v="1"/>
    <s v="MH1KF4110JK025437"/>
    <s v="KF41E1026285"/>
    <s v="HONDA"/>
    <s v="VARIO"/>
    <s v="HITAM"/>
    <s v="JG"/>
    <s v="BELUM JTO"/>
    <n v="7"/>
    <n v="18"/>
    <x v="9"/>
    <s v="COLL"/>
    <x v="0"/>
    <x v="0"/>
    <m/>
  </r>
  <r>
    <n v="286"/>
    <d v="2025-11-06T08:57:27"/>
    <s v="688868a7-408e-44ae-b238-348dfc1995b0"/>
    <s v="LatLng(lat: 1.0403301, lng: 103.9873201)"/>
    <s v="OD-25-F0000998"/>
    <s v="IMAM SAFI I"/>
    <s v="BP 2789 HI"/>
    <x v="6"/>
    <s v="C"/>
    <s v=" "/>
    <n v="1"/>
    <s v="MH1KF4110JK025437"/>
    <s v="KF41E1026285"/>
    <s v="HONDA"/>
    <s v="VARIO"/>
    <s v="HITAM"/>
    <s v="JG"/>
    <s v="BELUM JTO"/>
    <n v="7"/>
    <n v="18"/>
    <x v="14"/>
    <s v="COLL"/>
    <x v="0"/>
    <x v="0"/>
    <m/>
  </r>
  <r>
    <n v="287"/>
    <d v="2025-11-06T08:58:48"/>
    <s v="dcc6f40b-a9a1-43d4-bd37-f0019f505bcd"/>
    <s v="LatLng(lat: 1.0407427, lng: 103.9874669)"/>
    <s v="SP-25-F0002116"/>
    <s v="ONDIHON MANURUNG"/>
    <s v="BP 6313 HJ"/>
    <x v="0"/>
    <s v="14.CALL CENTER"/>
    <s v="A"/>
    <n v="22"/>
    <s v="MH1KB111XRK350165"/>
    <s v="KB11E1349707"/>
    <s v="HONDA"/>
    <s v="SONIC"/>
    <s v="HITAM"/>
    <s v="JG"/>
    <s v="BELUM JTO"/>
    <n v="3"/>
    <n v="6"/>
    <x v="9"/>
    <s v="COLL"/>
    <x v="0"/>
    <x v="0"/>
    <m/>
  </r>
  <r>
    <n v="288"/>
    <d v="2025-11-06T10:06:59"/>
    <s v="551fa799-4956-44f4-9122-ea915d0399f1"/>
    <s v="LatLng(lat: 1.0563531, lng: 103.9484302)"/>
    <s v="OD-24-F0001120"/>
    <s v="ROIS SATUL UMAMAH"/>
    <s v="BP 2204 IU"/>
    <x v="0"/>
    <s v="12.JUBRAIDER S"/>
    <s v="A"/>
    <n v="24"/>
    <s v="MH1JM9115LK000275"/>
    <s v="JM91E1000265"/>
    <s v="HONDA"/>
    <s v="BEAT"/>
    <s v="HITAM"/>
    <s v="JG"/>
    <s v="BELUM JTO"/>
    <n v="19"/>
    <n v="24"/>
    <x v="12"/>
    <s v="COLL"/>
    <x v="0"/>
    <x v="0"/>
    <m/>
  </r>
  <r>
    <n v="289"/>
    <d v="2025-11-06T10:20:53"/>
    <s v="551fa799-4956-44f4-9122-ea915d0399f1"/>
    <s v="LatLng(lat: 1.0563545, lng: 103.9484065)"/>
    <s v="OD-25-F0000183"/>
    <s v="DESI HANDAYANI"/>
    <s v="BP 3121 JU"/>
    <x v="0"/>
    <s v="11.RIMPUN "/>
    <s v="A"/>
    <n v="18"/>
    <s v="MH1JM3138LK389704"/>
    <s v="JM31E3385284"/>
    <s v="HONDA"/>
    <s v="SCOOPY STYLISH"/>
    <s v="COKLAT HITAM"/>
    <s v="JG"/>
    <s v="BELUM JTO"/>
    <n v="10"/>
    <n v="24"/>
    <x v="12"/>
    <s v="COLL"/>
    <x v="0"/>
    <x v="0"/>
    <m/>
  </r>
  <r>
    <n v="290"/>
    <d v="2025-11-06T11:14:28"/>
    <s v="51f658db-9885-4d52-99bd-8e1bf0356977"/>
    <s v="LatLng(lat: 1.0432998, lng: 103.954679)"/>
    <s v="SP-25-F0001141"/>
    <s v="INDRA YANTO"/>
    <s v="BP 3509 AO"/>
    <x v="0"/>
    <s v="12.JUBRAIDER S"/>
    <s v="A"/>
    <n v="20"/>
    <s v="MH1KF4116KK675844"/>
    <s v="KF41E1678537"/>
    <s v="HONDA"/>
    <s v="VARIO 150"/>
    <s v="MERAH"/>
    <s v="JG"/>
    <s v="BELUM JTO"/>
    <n v="6"/>
    <n v="12"/>
    <x v="19"/>
    <s v="COLL"/>
    <x v="0"/>
    <x v="0"/>
    <m/>
  </r>
  <r>
    <n v="291"/>
    <d v="2025-11-06T11:16:32"/>
    <s v="987e43b5-2fed-4ba1-8992-1b4d84e413ab"/>
    <s v="LatLng(lat: 1.0423536, lng: 103.9830536)"/>
    <s v="SP-24-F0000997"/>
    <s v="HERMANTO MADERSON SITORUS"/>
    <s v="BP 2741 RF"/>
    <x v="0"/>
    <s v="10.MIDUK"/>
    <s v="A"/>
    <n v="18"/>
    <s v="MH1JM5117MK996138"/>
    <s v="JM51E1995142"/>
    <s v="HONDA"/>
    <s v="VARIO 125"/>
    <s v="HITAM"/>
    <s v="JG"/>
    <s v="BELUM JTO"/>
    <n v="18"/>
    <n v="18"/>
    <x v="20"/>
    <s v="COLL"/>
    <x v="0"/>
    <x v="0"/>
    <m/>
  </r>
  <r>
    <n v="292"/>
    <d v="2025-11-06T11:19:16"/>
    <s v="6f0ee670-8a9a-45ff-8c00-ca014f6aabeb"/>
    <s v="LatLng(lat: 1.0441464, lng: 103.9541995)"/>
    <s v="SP-25-F0002097"/>
    <s v="ARMANDIA SINURAT"/>
    <s v="BP 3945 SO"/>
    <x v="7"/>
    <s v="EVENDI"/>
    <s v=" "/>
    <n v="21"/>
    <s v="MH1JM8221PK013760"/>
    <s v="JM82E2012962"/>
    <s v="HONDA"/>
    <s v="BEAT STREET"/>
    <s v="HITAM"/>
    <s v="JG"/>
    <s v="GAGAL BAYAR"/>
    <n v="2"/>
    <n v="18"/>
    <x v="18"/>
    <s v="COLL"/>
    <x v="6"/>
    <x v="0"/>
    <m/>
  </r>
  <r>
    <n v="293"/>
    <d v="2025-11-06T11:36:15"/>
    <s v="fced54d3-7c26-48e8-91fe-7d7236e7f959"/>
    <s v="LatLng(lat: 1.0432791, lng: 103.9793803)"/>
    <s v="SP-25-F0001049"/>
    <s v="ALDI HALASSON SILITONGA"/>
    <s v="BP 2231 AI"/>
    <x v="3"/>
    <s v="PAUL"/>
    <s v=" "/>
    <n v="10"/>
    <s v="MH1JFZ139KK284228"/>
    <s v="JFZ1E3284351"/>
    <s v="HONDA"/>
    <s v="BEAT"/>
    <s v="HITAM"/>
    <s v="JG"/>
    <s v="GAGAL BAYAR"/>
    <n v="4"/>
    <n v="12"/>
    <x v="10"/>
    <s v="COLL"/>
    <x v="1"/>
    <x v="0"/>
    <m/>
  </r>
  <r>
    <n v="294"/>
    <d v="2025-11-06T11:39:57"/>
    <s v="5d155998-3b32-426c-9f80-9898af00922a"/>
    <s v="LatLng(lat: 1.0563295, lng: 103.9484423)"/>
    <s v="OD-25-F0000540"/>
    <s v="TUTY YAMAHANI"/>
    <s v="BP 5767 HR"/>
    <x v="0"/>
    <s v="14.CALL CENTER"/>
    <s v=" "/>
    <n v="21"/>
    <s v="MH1JMD110RK649039"/>
    <s v="JMD1E1648641"/>
    <s v="HONDA"/>
    <s v="VARIO"/>
    <s v="HITAM"/>
    <s v="JG"/>
    <s v="BELUM JTO"/>
    <n v="9"/>
    <n v="24"/>
    <x v="4"/>
    <s v="COLL"/>
    <x v="0"/>
    <x v="0"/>
    <m/>
  </r>
  <r>
    <n v="295"/>
    <d v="2025-11-06T11:40:01"/>
    <s v="551fa799-4956-44f4-9122-ea915d0399f1"/>
    <s v="LatLng(lat: 1.0564986, lng: 103.9484634)"/>
    <s v="OD-25-F0000540"/>
    <s v="TUTY YAMAHANI"/>
    <s v="BP 5767 HR"/>
    <x v="0"/>
    <s v="14.CALL CENTER"/>
    <s v=" "/>
    <n v="21"/>
    <s v="MH1JMD110RK649039"/>
    <s v="JMD1E1648641"/>
    <s v="HONDA"/>
    <s v="VARIO"/>
    <s v="HITAM"/>
    <s v="JG"/>
    <s v="BELUM JTO"/>
    <n v="9"/>
    <n v="24"/>
    <x v="12"/>
    <s v="COLL"/>
    <x v="0"/>
    <x v="0"/>
    <m/>
  </r>
  <r>
    <n v="296"/>
    <d v="2025-11-06T11:44:38"/>
    <s v="5d155998-3b32-426c-9f80-9898af00922a"/>
    <s v="LatLng(lat: 1.0563576, lng: 103.9479919)"/>
    <s v="SP-25-F0001235"/>
    <s v="ANTONI"/>
    <s v="BP 3979 FR"/>
    <x v="0"/>
    <s v="05.BOSPA"/>
    <s v="A"/>
    <n v="1"/>
    <s v="MH1KF1120JK422217"/>
    <s v="KF11E2416666"/>
    <s v="HONDA"/>
    <s v="VARIO 150"/>
    <s v="HITAM"/>
    <s v="JG"/>
    <s v="GAGAL BAYAR"/>
    <n v="5"/>
    <n v="12"/>
    <x v="4"/>
    <s v="COLL"/>
    <x v="0"/>
    <x v="0"/>
    <m/>
  </r>
  <r>
    <n v="297"/>
    <d v="2025-11-06T11:47:48"/>
    <s v="551fa799-4956-44f4-9122-ea915d0399f1"/>
    <s v="LatLng(lat: 1.0563588, lng: 103.9484684)"/>
    <s v="SP-25-F0002415"/>
    <s v="AHMAD YANI"/>
    <s v="BP 3132 RC"/>
    <x v="0"/>
    <s v="05.BOSPA"/>
    <s v=" "/>
    <n v="26"/>
    <s v="MH1JMB114NK027672"/>
    <s v="JMB1E1027736"/>
    <s v="HONDA"/>
    <s v="GENIO"/>
    <s v="COKLAT"/>
    <s v="JG"/>
    <s v="BELUM JTO"/>
    <n v="2"/>
    <n v="6"/>
    <x v="12"/>
    <s v="COLL"/>
    <x v="0"/>
    <x v="0"/>
    <m/>
  </r>
  <r>
    <n v="298"/>
    <d v="2025-11-06T11:51:43"/>
    <s v="51f658db-9885-4d52-99bd-8e1bf0356977"/>
    <s v="LatLng(lat: 1.0425781, lng: 103.9526373)"/>
    <s v="OD-24-F0000100"/>
    <s v="TEUKU ANANDA"/>
    <s v="BP 3119 HJ"/>
    <x v="10"/>
    <s v="EKSTERNAL"/>
    <s v=" "/>
    <n v="10"/>
    <s v="MH1JM2118JK957102"/>
    <s v="JM21E1937286"/>
    <s v="HONDA"/>
    <s v="BEAT"/>
    <s v="MERAH PUTIH"/>
    <s v="JG"/>
    <s v="GAGAL BAYAR"/>
    <n v="6"/>
    <n v="12"/>
    <x v="19"/>
    <s v="COLL"/>
    <x v="6"/>
    <x v="0"/>
    <m/>
  </r>
  <r>
    <n v="299"/>
    <d v="2025-11-06T11:58:58"/>
    <s v="5d155998-3b32-426c-9f80-9898af00922a"/>
    <s v="LatLng(lat: 1.0563625, lng: 103.9485143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DONE"/>
    <n v="16"/>
    <n v="24"/>
    <x v="4"/>
    <s v="COLL"/>
    <x v="0"/>
    <x v="0"/>
    <m/>
  </r>
  <r>
    <n v="300"/>
    <d v="2025-11-06T12:06:36"/>
    <s v="a4f24bfd-45be-407a-a9ce-5da8e226108b"/>
    <s v="LatLng(lat: 1.0432451, lng: 103.9796069)"/>
    <s v="OD-25-F0001412"/>
    <s v="MAISAROH"/>
    <s v="BP 2589 IR"/>
    <x v="3"/>
    <s v="PAUL"/>
    <s v=" "/>
    <n v="21"/>
    <s v="MH1JM2112HK581491"/>
    <s v="JM21E1566278"/>
    <s v="HONDA"/>
    <s v="BEAT FI"/>
    <s v="HITAM"/>
    <s v="JG"/>
    <s v="GAGAL BAYAR"/>
    <n v="2"/>
    <n v="24"/>
    <x v="2"/>
    <s v="COLL"/>
    <x v="1"/>
    <x v="0"/>
    <m/>
  </r>
  <r>
    <n v="301"/>
    <d v="2025-11-06T12:07:51"/>
    <s v="6f0ee670-8a9a-45ff-8c00-ca014f6aabeb"/>
    <s v="LatLng(lat: 1.0427365, lng: 103.9525177)"/>
    <s v="SP-25-F0002173"/>
    <s v="HERNIYATI TANJUNG"/>
    <s v="BP 3675 RR"/>
    <x v="0"/>
    <s v="10.MIDUK"/>
    <s v=" "/>
    <n v="26"/>
    <s v="MH1JFZ138KK458077"/>
    <s v="JFZ1E3457905"/>
    <s v="HONDA"/>
    <s v="BEAT"/>
    <s v="HITAM"/>
    <s v="JG"/>
    <s v="BELUM JTO"/>
    <n v="2"/>
    <n v="18"/>
    <x v="18"/>
    <s v="COLL"/>
    <x v="0"/>
    <x v="0"/>
    <m/>
  </r>
  <r>
    <n v="302"/>
    <d v="2025-11-06T12:09:08"/>
    <s v="b5e5eb90-c13c-42f2-8aa6-fb5964b939de"/>
    <s v="LatLng(lat: 1.0427046, lng: 103.952523)"/>
    <s v="SP-25-F0002173"/>
    <s v="HERNIYATI TANJUNG"/>
    <s v="BP 3675 RR"/>
    <x v="0"/>
    <s v="10.MIDUK"/>
    <s v=" "/>
    <n v="26"/>
    <s v="MH1JFZ138KK458077"/>
    <s v="JFZ1E3457905"/>
    <s v="HONDA"/>
    <s v="BEAT"/>
    <s v="HITAM"/>
    <s v="JG"/>
    <s v="BELUM JTO"/>
    <n v="2"/>
    <n v="18"/>
    <x v="25"/>
    <s v="COLL"/>
    <x v="0"/>
    <x v="0"/>
    <m/>
  </r>
  <r>
    <n v="303"/>
    <d v="2025-11-06T12:12:16"/>
    <s v="2d9d422f-1d0e-4451-8950-dc9e388e3850"/>
    <s v="LatLng(lat: 1.0463422, lng: 103.975031)"/>
    <s v="OD-24-F0001877"/>
    <s v="RIDWAN"/>
    <s v="BP 4913 RG"/>
    <x v="0"/>
    <s v="05.BOSPA"/>
    <s v="A"/>
    <n v="10"/>
    <s v="MH31PA002DK112748"/>
    <s v="1PA112222"/>
    <s v="YAMAHA"/>
    <s v="VIXION"/>
    <s v="TITANIUM GOLD"/>
    <s v="JG"/>
    <s v="BELUM JTO"/>
    <n v="16"/>
    <n v="24"/>
    <x v="33"/>
    <s v="COLL"/>
    <x v="0"/>
    <x v="0"/>
    <m/>
  </r>
  <r>
    <n v="304"/>
    <d v="2025-11-06T12:21:19"/>
    <s v="fced54d3-7c26-48e8-91fe-7d7236e7f959"/>
    <s v="LatLng(lat: 1.044837, lng: 103.9769326)"/>
    <s v="OD-24-F0003134"/>
    <s v="LUKMAN FARID"/>
    <s v="BP 6373 HE"/>
    <x v="13"/>
    <s v="MARTIN"/>
    <s v=" "/>
    <n v="12"/>
    <s v="MH8DL11AZHJ151721"/>
    <s v="CGA1ID151759"/>
    <s v="SUZUKI"/>
    <s v="SATRIA FU"/>
    <s v="HITAM"/>
    <s v="JG"/>
    <s v="GAGAL BAYAR"/>
    <n v="6"/>
    <n v="12"/>
    <x v="10"/>
    <s v="COLL"/>
    <x v="1"/>
    <x v="0"/>
    <m/>
  </r>
  <r>
    <n v="305"/>
    <d v="2025-11-06T12:27:41"/>
    <s v="5d155998-3b32-426c-9f80-9898af00922a"/>
    <s v="LatLng(lat: 1.0570103, lng: 103.9445794)"/>
    <s v="SP-25-F0002460"/>
    <s v="DANI HERWANSYAH"/>
    <s v="BP 5537 CG"/>
    <x v="0"/>
    <s v="12.JUBRAIDER S"/>
    <s v=" "/>
    <n v="2"/>
    <s v="MH1JM0419RK791734"/>
    <s v="JM04E1791745"/>
    <s v="HONDA"/>
    <s v="SCOOPY KEYLESS"/>
    <s v="HIJAU"/>
    <s v="JG"/>
    <s v="DONE"/>
    <n v="1"/>
    <n v="18"/>
    <x v="4"/>
    <s v="COLL"/>
    <x v="0"/>
    <x v="0"/>
    <m/>
  </r>
  <r>
    <n v="306"/>
    <d v="2025-11-06T12:51:10"/>
    <s v="551fa799-4956-44f4-9122-ea915d0399f1"/>
    <s v="LatLng(lat: 1.1076514, lng: 103.9534109)"/>
    <s v="OD-25-F0001947"/>
    <s v="MANGARANAP BUDI SILABAN"/>
    <s v="BP 3356 UG"/>
    <x v="6"/>
    <s v="C"/>
    <s v=" "/>
    <n v="1"/>
    <s v="MH1JM8113MK538064"/>
    <s v="JM81E1539953"/>
    <s v="HONDA"/>
    <s v="BEAT"/>
    <s v="MERAH HITAM"/>
    <s v="JG"/>
    <s v="BELUM JTO"/>
    <n v="1"/>
    <n v="12"/>
    <x v="12"/>
    <s v="COLL"/>
    <x v="0"/>
    <x v="0"/>
    <m/>
  </r>
  <r>
    <n v="307"/>
    <d v="2025-11-06T12:53:09"/>
    <s v="74bb1709-aa7b-4b41-a082-a2af867fd15e"/>
    <s v="LatLng(lat: 1.1067206, lng: 103.9525505)"/>
    <s v="OD-25-F0001947"/>
    <s v="MANGARANAP BUDI SILABAN"/>
    <s v="BP 3356 UG"/>
    <x v="6"/>
    <s v="C"/>
    <s v=" "/>
    <n v="1"/>
    <s v="MH1JM8113MK538064"/>
    <s v="JM81E1539953"/>
    <s v="HONDA"/>
    <s v="BEAT"/>
    <s v="MERAH HITAM"/>
    <s v="JG"/>
    <s v="BELUM JTO"/>
    <n v="1"/>
    <n v="12"/>
    <x v="7"/>
    <s v="COLL"/>
    <x v="0"/>
    <x v="0"/>
    <m/>
  </r>
  <r>
    <n v="308"/>
    <d v="2025-11-06T12:56:46"/>
    <s v="551fa799-4956-44f4-9122-ea915d0399f1"/>
    <s v="LatLng(lat: 1.1095844, lng: 103.9505976)"/>
    <s v="SP-25-F0001291"/>
    <s v="NUNING"/>
    <s v="BP 2593 OJ"/>
    <x v="0"/>
    <s v="14.CALL CENTER"/>
    <s v="A"/>
    <n v="7"/>
    <s v="MH1JFW119FK261860"/>
    <s v="JFW1E1256950"/>
    <s v="HONDA"/>
    <s v="SCOOPY F1 CW"/>
    <s v="BIRU PUTIH"/>
    <s v="JG"/>
    <s v="BELUM JTO"/>
    <n v="5"/>
    <n v="18"/>
    <x v="12"/>
    <s v="COLL"/>
    <x v="0"/>
    <x v="0"/>
    <m/>
  </r>
  <r>
    <n v="309"/>
    <d v="2025-11-06T13:00:59"/>
    <s v="5d155998-3b32-426c-9f80-9898af00922a"/>
    <s v="LatLng(lat: 1.1085463, lng: 103.9568102)"/>
    <s v="OD-24-F0002509"/>
    <s v="PAUL SISWANTO"/>
    <s v="BP 5045 CD"/>
    <x v="0"/>
    <s v="08.JOSRI"/>
    <s v="A"/>
    <n v="7"/>
    <s v="MH1JFM211EK817404"/>
    <s v="JFM2E1798667"/>
    <s v="HONDA"/>
    <s v="BEAT"/>
    <s v="WHITE BLUE"/>
    <s v="JG"/>
    <s v="BELUM JTO"/>
    <n v="14"/>
    <n v="24"/>
    <x v="4"/>
    <s v="COLL"/>
    <x v="0"/>
    <x v="0"/>
    <m/>
  </r>
  <r>
    <n v="310"/>
    <d v="2025-11-06T13:04:53"/>
    <s v="e0d931cf-6e64-4a91-a81a-04cf02d33a39"/>
    <s v="LatLng(lat: 1.1142117, lng: 103.9545317)"/>
    <s v="SP-24-F0002260"/>
    <s v="AHMAD AL FAUZI PUTRA PERDANA"/>
    <s v="BP 3282 QF"/>
    <x v="1"/>
    <s v="PAUL"/>
    <s v=" "/>
    <n v="23"/>
    <s v="MH1KB1118GK058429"/>
    <s v="KB11E1059854"/>
    <s v="HONDA"/>
    <s v="SONIC"/>
    <s v="PUTIH"/>
    <s v="JG"/>
    <s v="GAGAL BAYAR"/>
    <n v="6"/>
    <n v="18"/>
    <x v="13"/>
    <s v="COLL"/>
    <x v="6"/>
    <x v="0"/>
    <m/>
  </r>
  <r>
    <n v="311"/>
    <d v="2025-11-06T13:06:29"/>
    <s v="551fa799-4956-44f4-9122-ea915d0399f1"/>
    <s v="LatLng(lat: 1.1127754, lng: 103.9547483)"/>
    <s v="SP-25-F0000370"/>
    <s v="SAMA SIMANULLANG"/>
    <s v="BP 3716 QC"/>
    <x v="0"/>
    <s v="10.MIDUK"/>
    <s v="A"/>
    <n v="14"/>
    <s v="MH1JM0314PK197390"/>
    <s v="JM03E1197392"/>
    <s v="HONDA"/>
    <s v="SCOOPY"/>
    <s v="COKLAT KREM"/>
    <s v="JG"/>
    <s v="BELUM JTO"/>
    <n v="9"/>
    <n v="18"/>
    <x v="12"/>
    <s v="COLL"/>
    <x v="0"/>
    <x v="0"/>
    <m/>
  </r>
  <r>
    <n v="312"/>
    <d v="2025-11-06T13:12:54"/>
    <s v="551fa799-4956-44f4-9122-ea915d0399f1"/>
    <s v="LatLng(lat: 1.1067461, lng: 103.9545752)"/>
    <s v="OD-25-F0000528"/>
    <s v="DARIMI TANJUNG"/>
    <s v="BP 2441 AH"/>
    <x v="0"/>
    <s v="05.BOSPA"/>
    <s v=" "/>
    <n v="21"/>
    <s v="MH1JM3125KK602338"/>
    <s v="JM31E2596401"/>
    <s v="HONDA"/>
    <s v="SCOOPY"/>
    <s v="HITAM SILVER"/>
    <s v="JG"/>
    <s v="BELUM JTO"/>
    <n v="9"/>
    <n v="18"/>
    <x v="12"/>
    <s v="COLL"/>
    <x v="0"/>
    <x v="0"/>
    <m/>
  </r>
  <r>
    <n v="313"/>
    <d v="2025-11-06T13:12:55"/>
    <s v="74bb1709-aa7b-4b41-a082-a2af867fd15e"/>
    <s v="LatLng(lat: 1.1108808, lng: 103.9494689)"/>
    <s v="SP-25-F0001232"/>
    <s v="KASMINI SITANGGANG"/>
    <s v="BP 3890 CA"/>
    <x v="0"/>
    <s v="08.JOSRI"/>
    <s v="A"/>
    <n v="1"/>
    <s v="MH1JM0214NK925126"/>
    <s v="JM02E1925265"/>
    <s v="HONDA"/>
    <s v="SCOOPY KEYLESS"/>
    <s v="COKLAT"/>
    <s v="JG"/>
    <s v="GAGAL BAYAR"/>
    <n v="5"/>
    <n v="18"/>
    <x v="7"/>
    <s v="COLL"/>
    <x v="0"/>
    <x v="0"/>
    <m/>
  </r>
  <r>
    <n v="314"/>
    <d v="2025-11-06T13:14:39"/>
    <s v="551fa799-4956-44f4-9122-ea915d0399f1"/>
    <s v="LatLng(lat: 1.1071083, lng: 103.9566665)"/>
    <s v="OD-25-F0001493"/>
    <s v="MUSTIKA SUGIARTI"/>
    <s v="BP 4606 HI"/>
    <x v="0"/>
    <s v="13.WILFRIN"/>
    <s v="A"/>
    <n v="14"/>
    <s v="MH1JMD119RK696792"/>
    <s v="JMD1E1696298"/>
    <s v="HONDA"/>
    <s v="VARIO 125"/>
    <s v="MERAH"/>
    <s v="JG"/>
    <s v="BELUM JTO"/>
    <n v="3"/>
    <n v="18"/>
    <x v="12"/>
    <s v="COLL"/>
    <x v="0"/>
    <x v="0"/>
    <m/>
  </r>
  <r>
    <n v="315"/>
    <d v="2025-11-06T13:19:19"/>
    <s v="97b899c7-a738-4c0c-a57d-47d1be720bd2"/>
    <s v="LatLng(lat: 1.1217412, lng: 104.0573668)"/>
    <s v="SP-25-F0002329"/>
    <s v="REZA DAMARA"/>
    <s v="BP 2625 UA"/>
    <x v="0"/>
    <s v="14.CALL CENTER"/>
    <s v=" "/>
    <n v="22"/>
    <s v="MH1JM3138LK607124"/>
    <s v="JM31E3605406"/>
    <s v="HONDA"/>
    <s v="SCOOPY"/>
    <s v="MERAH HITAM"/>
    <s v="JG"/>
    <s v="BELUM JTO"/>
    <n v="2"/>
    <n v="18"/>
    <x v="5"/>
    <s v="COLL"/>
    <x v="0"/>
    <x v="0"/>
    <m/>
  </r>
  <r>
    <n v="316"/>
    <d v="2025-11-06T13:22:59"/>
    <s v="1770dac3-81ca-4fab-8a6a-e60c63470def"/>
    <s v="LatLng(lat: 1.0486785, lng: 103.9532844)"/>
    <s v="OD-25-F0001853"/>
    <s v="INDRA SAPRIMA"/>
    <s v="BP 5636 AC"/>
    <x v="0"/>
    <s v="14.CALL CENTER"/>
    <s v=" "/>
    <n v="9"/>
    <s v="MH3SEF320JJ024312"/>
    <s v="E31VE0115315"/>
    <s v="YAMAHA"/>
    <s v="LEXI"/>
    <s v="BIRU TUA"/>
    <s v="JG"/>
    <s v="BELUM JTO"/>
    <n v="1"/>
    <n v="18"/>
    <x v="21"/>
    <s v="COLL"/>
    <x v="0"/>
    <x v="0"/>
    <m/>
  </r>
  <r>
    <n v="317"/>
    <d v="2025-11-06T13:24:12"/>
    <s v="551fa799-4956-44f4-9122-ea915d0399f1"/>
    <s v="LatLng(lat: 1.1098701, lng: 103.9706314)"/>
    <s v="OD-24-F0002112"/>
    <s v="R. HUSNUL MAAB"/>
    <s v="BP 3160 QA"/>
    <x v="0"/>
    <s v="09.OLOAN"/>
    <s v="A"/>
    <n v="1"/>
    <s v="MH1KF1117GK561129"/>
    <s v="KF11E1562276"/>
    <s v="HONDA"/>
    <s v="VARIO"/>
    <s v="HITAM"/>
    <s v="JG"/>
    <s v="GAGAL BAYAR"/>
    <n v="15"/>
    <n v="18"/>
    <x v="12"/>
    <s v="COLL"/>
    <x v="0"/>
    <x v="0"/>
    <m/>
  </r>
  <r>
    <n v="318"/>
    <d v="2025-11-06T13:26:54"/>
    <s v="5d155998-3b32-426c-9f80-9898af00922a"/>
    <s v="LatLng(lat: 1.1137269, lng: 103.9619115)"/>
    <s v="OD-25-F0001858"/>
    <s v="ANDREAS DOMINGGOS"/>
    <s v="BP 3618 JU"/>
    <x v="0"/>
    <s v="14.CALL CENTER"/>
    <s v=" "/>
    <n v="10"/>
    <s v="MH1KCA216LK080001"/>
    <s v="KCA2E1075623"/>
    <s v="HONDA"/>
    <s v="CB LED"/>
    <s v="HITAM"/>
    <s v="JG"/>
    <s v="BELUM JTO"/>
    <n v="1"/>
    <n v="18"/>
    <x v="4"/>
    <s v="COLL"/>
    <x v="0"/>
    <x v="0"/>
    <m/>
  </r>
  <r>
    <n v="319"/>
    <d v="2025-11-06T13:35:13"/>
    <s v="e0d931cf-6e64-4a91-a81a-04cf02d33a39"/>
    <s v="LatLng(lat: 1.11511, lng: 103.97186)"/>
    <s v="OD-25-F0001819"/>
    <s v="ADI NINGRAT"/>
    <s v="BP 4391 JR"/>
    <x v="0"/>
    <s v="14.CALL CENTER"/>
    <s v=" "/>
    <n v="15"/>
    <s v="MH31PA004EK566079"/>
    <s v="1PA566301"/>
    <s v="YAMAHA"/>
    <s v="VIXION KS"/>
    <s v="PUTIH"/>
    <s v="JG"/>
    <s v="BELUM JTO"/>
    <n v="1"/>
    <n v="12"/>
    <x v="13"/>
    <s v="COLL"/>
    <x v="0"/>
    <x v="0"/>
    <m/>
  </r>
  <r>
    <n v="320"/>
    <d v="2025-11-06T13:36:15"/>
    <s v="e0d931cf-6e64-4a91-a81a-04cf02d33a39"/>
    <s v="LatLng(lat: 1.1157367, lng: 103.97404)"/>
    <s v="OD-24-F0002704"/>
    <s v="DIAN NOVITA SARI"/>
    <s v="BP 3614 OI"/>
    <x v="0"/>
    <s v="08.JOSRI"/>
    <s v="A"/>
    <n v="20"/>
    <s v="MH1JFV115FK248470"/>
    <s v="JFV1E1248022"/>
    <s v="HONDA"/>
    <s v="VARIO"/>
    <s v="PUTIH"/>
    <s v="JG"/>
    <s v="BELUM JTO"/>
    <n v="14"/>
    <n v="18"/>
    <x v="13"/>
    <s v="COLL"/>
    <x v="0"/>
    <x v="0"/>
    <m/>
  </r>
  <r>
    <n v="321"/>
    <d v="2025-11-06T13:38:18"/>
    <s v="1770dac3-81ca-4fab-8a6a-e60c63470def"/>
    <s v="LatLng(lat: 1.0460126, lng: 103.9529305)"/>
    <s v="SP-25-F0002197"/>
    <s v="M FAISAL"/>
    <s v="BP 4155 RI"/>
    <x v="6"/>
    <s v="C"/>
    <s v=" "/>
    <n v="1"/>
    <s v="MH1JMH212SK153283"/>
    <s v="JMH2E1153589"/>
    <s v="HONDA"/>
    <s v="SCOOPY"/>
    <s v="HITAM"/>
    <s v="JG"/>
    <s v="BELUM JTO"/>
    <n v="3"/>
    <n v="18"/>
    <x v="21"/>
    <s v="COLL"/>
    <x v="6"/>
    <x v="0"/>
    <m/>
  </r>
  <r>
    <n v="322"/>
    <d v="2025-11-06T13:39:13"/>
    <s v="1770dac3-81ca-4fab-8a6a-e60c63470def"/>
    <s v="LatLng(lat: 1.0430236, lng: 103.9517625)"/>
    <s v="SP-25-F0001732"/>
    <s v="SURIYONO"/>
    <s v="BP 3815 IA"/>
    <x v="0"/>
    <s v="14.CALL CENTER"/>
    <s v="A"/>
    <n v="17"/>
    <s v="MH1JFU117HK951498"/>
    <s v="JFU1E1954597"/>
    <s v="HONDA"/>
    <s v="VARIO 125"/>
    <s v="HITAM"/>
    <s v="JG"/>
    <s v="BELUM JTO"/>
    <n v="4"/>
    <n v="18"/>
    <x v="21"/>
    <s v="COLL"/>
    <x v="0"/>
    <x v="0"/>
    <m/>
  </r>
  <r>
    <n v="323"/>
    <d v="2025-11-06T13:40:34"/>
    <s v="97b899c7-a738-4c0c-a57d-47d1be720bd2"/>
    <s v="LatLng(lat: 1.1150535, lng: 104.0906048)"/>
    <s v="OD-25-F0001087"/>
    <s v="AHMAD SOFIYAN"/>
    <s v="BP 3603 HI"/>
    <x v="0"/>
    <s v="13.WILFRIN"/>
    <s v="A"/>
    <n v="14"/>
    <s v="MH1JFZ129JK447059"/>
    <s v="JFZ1E2457006"/>
    <s v="HONDA"/>
    <s v="BEAT"/>
    <s v="PUTIH"/>
    <s v="JG"/>
    <s v="BELUM JTO"/>
    <n v="6"/>
    <n v="18"/>
    <x v="5"/>
    <s v="COLL"/>
    <x v="0"/>
    <x v="0"/>
    <m/>
  </r>
  <r>
    <n v="324"/>
    <d v="2025-11-06T13:41:42"/>
    <s v="86afd147-8c0b-48e4-aaf8-44ad72c52985"/>
    <s v="LatLng(lat: 1.0360081, lng: 103.9552496)"/>
    <s v="SP-24-F0001257"/>
    <s v="SUSWANTO"/>
    <s v="BP 3281 QR"/>
    <x v="0"/>
    <s v="05.BOSPA"/>
    <s v="A"/>
    <n v="21"/>
    <s v="MH1JFZ116HK602703"/>
    <s v="JFZ1E1609376"/>
    <s v="HONDA"/>
    <s v="BEAT"/>
    <s v="PUTIH"/>
    <s v="JG"/>
    <s v="BELUM JTO"/>
    <n v="17"/>
    <n v="24"/>
    <x v="15"/>
    <s v="COLL"/>
    <x v="0"/>
    <x v="0"/>
    <m/>
  </r>
  <r>
    <n v="325"/>
    <d v="2025-11-06T13:44:01"/>
    <s v="6d21de4b-42fc-49f2-86f3-40a2a9759695"/>
    <s v="LatLng(lat: 0.9080152, lng: 104.46166)"/>
    <s v="TP-25-F0000297"/>
    <s v="ANDI AFRIYANTO"/>
    <s v="BP 6198 UB"/>
    <x v="0"/>
    <s v="14.CALL CENTER"/>
    <s v="A"/>
    <n v="22"/>
    <s v="MH1JM8227RK169997"/>
    <s v="JM82E2170824"/>
    <s v="HONDA"/>
    <s v="BEAT STREET"/>
    <s v="SILVER"/>
    <s v="JG"/>
    <s v="BELUM JTO"/>
    <n v="7"/>
    <n v="24"/>
    <x v="0"/>
    <s v="COLL"/>
    <x v="0"/>
    <x v="0"/>
    <m/>
  </r>
  <r>
    <n v="326"/>
    <d v="2025-11-06T13:50:59"/>
    <s v="a4f24bfd-45be-407a-a9ce-5da8e226108b"/>
    <s v="LatLng(lat: 1.0432396, lng: 103.9793955)"/>
    <s v="SP-25-F0001594"/>
    <s v="RIKO ANWARDI"/>
    <s v="BP 2564 QC"/>
    <x v="3"/>
    <s v="PAUL"/>
    <s v=" "/>
    <n v="8"/>
    <s v="MH1JM9129PK854412"/>
    <s v="JM91E2852196"/>
    <s v="HONDA"/>
    <s v="BEAT FI"/>
    <s v="HIJAU"/>
    <s v="JG"/>
    <s v="GAGAL BAYAR"/>
    <n v="2"/>
    <n v="24"/>
    <x v="2"/>
    <s v="COLL"/>
    <x v="1"/>
    <x v="0"/>
    <m/>
  </r>
  <r>
    <n v="327"/>
    <d v="2025-11-06T13:52:19"/>
    <s v="fced54d3-7c26-48e8-91fe-7d7236e7f959"/>
    <s v="LatLng(lat: 1.0432744, lng: 103.9793708)"/>
    <s v="SP-25-F0001594"/>
    <s v="RIKO ANWARDI"/>
    <s v="BP 2564 QC"/>
    <x v="3"/>
    <s v="PAUL"/>
    <s v=" "/>
    <n v="8"/>
    <s v="MH1JM9129PK854412"/>
    <s v="JM91E2852196"/>
    <s v="HONDA"/>
    <s v="BEAT FI"/>
    <s v="HIJAU"/>
    <s v="JG"/>
    <s v="GAGAL BAYAR"/>
    <n v="2"/>
    <n v="24"/>
    <x v="10"/>
    <s v="COLL"/>
    <x v="1"/>
    <x v="0"/>
    <m/>
  </r>
  <r>
    <n v="328"/>
    <d v="2025-11-06T14:22:45"/>
    <s v="66338f6f-6199-47e8-8fc9-c871a18b6d2c"/>
    <s v="LatLng(lat: 1.0283262, lng: 104.0599353)"/>
    <s v="OD-25-F0001031"/>
    <s v="OKTAVIANUS PARULIAN HUTAGALUNG"/>
    <s v="BP  4624 RC"/>
    <x v="0"/>
    <s v="03.DAULAT"/>
    <s v="A"/>
    <n v="2"/>
    <s v="MH1JFZ219KK732075"/>
    <s v="JFZ2E1730876"/>
    <s v="HONDA"/>
    <s v="BEAT STREET"/>
    <s v="HITAM"/>
    <s v="JG"/>
    <s v="GAGAL BAYAR"/>
    <n v="6"/>
    <n v="18"/>
    <x v="30"/>
    <s v="COLL"/>
    <x v="0"/>
    <x v="0"/>
    <m/>
  </r>
  <r>
    <n v="329"/>
    <d v="2025-11-06T14:22:50"/>
    <s v="eea94692-e3ef-470d-a986-47d8940e37c5"/>
    <s v="LatLng(lat: 1.0515443, lng: 103.9727732)"/>
    <s v="SP-25-F0000939"/>
    <s v="WERLIN SAMUEL MALAU"/>
    <s v="BP 3014 IF"/>
    <x v="0"/>
    <s v="11.RIMPUN "/>
    <s v="A"/>
    <n v="1"/>
    <s v="MH1KCD212NK030684"/>
    <s v="KCD2E1030751"/>
    <s v="HONDA"/>
    <s v="CB 150"/>
    <s v="HITAM"/>
    <s v="JG"/>
    <s v="GAGAL BAYAR"/>
    <n v="6"/>
    <n v="18"/>
    <x v="8"/>
    <s v="COLL"/>
    <x v="0"/>
    <x v="0"/>
    <m/>
  </r>
  <r>
    <n v="330"/>
    <d v="2025-11-06T14:33:41"/>
    <s v="987e43b5-2fed-4ba1-8992-1b4d84e413ab"/>
    <s v="LatLng(lat: 1.0417019, lng: 103.9562888)"/>
    <s v="SP-25-F0002581"/>
    <s v="SHOUM WAL AKRA BILNA"/>
    <s v="BP 3620 UJ"/>
    <x v="0"/>
    <s v="14.CALL CENTER"/>
    <s v=" "/>
    <n v="15"/>
    <s v="MH1KF7115PK48995"/>
    <s v="KF71E1549008"/>
    <s v="HONDA"/>
    <s v="PCX"/>
    <s v="PUTIH"/>
    <s v="JG"/>
    <s v="BELUM JTO"/>
    <n v="1"/>
    <n v="12"/>
    <x v="20"/>
    <s v="COLL"/>
    <x v="0"/>
    <x v="0"/>
    <m/>
  </r>
  <r>
    <n v="331"/>
    <d v="2025-11-06T14:37:27"/>
    <s v="78c8aa58-d259-49a1-a96c-192417985ecf"/>
    <s v="LatLng(lat: 1.0485472, lng: 103.9532656)"/>
    <s v="SP-25-F0002626"/>
    <s v="SAIFUL YUSUP"/>
    <s v="BP 3208 AI"/>
    <x v="0"/>
    <s v="14.CALL CENTER"/>
    <s v=" "/>
    <n v="20"/>
    <s v="MH1JFZ138KK196996"/>
    <s v="JFZ1E3196716"/>
    <s v="HONDA"/>
    <s v="BEAT DIGITAL"/>
    <s v="HITAM"/>
    <s v="JG"/>
    <s v="BELUM JTO"/>
    <n v="1"/>
    <n v="18"/>
    <x v="16"/>
    <s v="COLL"/>
    <x v="0"/>
    <x v="0"/>
    <m/>
  </r>
  <r>
    <n v="332"/>
    <d v="2025-11-06T15:17:20"/>
    <s v="74bb1709-aa7b-4b41-a082-a2af867fd15e"/>
    <s v="LatLng(lat: 1.0999067, lng: 103.9624033)"/>
    <s v="OD-25-F0001344"/>
    <s v="RISKA SAFITRI"/>
    <s v="BP 6513 CG"/>
    <x v="0"/>
    <s v="14.CALL CENTER"/>
    <s v="A"/>
    <n v="11"/>
    <s v="MJAP17MP3PJ100021"/>
    <s v="KV249FMMR1001592"/>
    <s v="BENELLI"/>
    <s v="KEEWAY SCR 250"/>
    <s v="ABU-ABU"/>
    <s v="JG"/>
    <s v="BELUM JTO"/>
    <n v="4"/>
    <n v="24"/>
    <x v="7"/>
    <s v="COLL"/>
    <x v="0"/>
    <x v="0"/>
    <m/>
  </r>
  <r>
    <n v="333"/>
    <d v="2025-11-06T15:23:52"/>
    <s v="a4f24bfd-45be-407a-a9ce-5da8e226108b"/>
    <s v="LatLng(lat: 1.0433345, lng: 103.9794496)"/>
    <s v="OD-24-F0001351"/>
    <s v="ABDUL RAHMAN"/>
    <s v="BP 2993 GJ"/>
    <x v="0"/>
    <s v="10.MIDUK"/>
    <s v="A"/>
    <n v="18"/>
    <s v="MH1JFB11XCK194397"/>
    <s v="JFB1E1193042"/>
    <s v="HONDA"/>
    <s v="VARIO"/>
    <s v="WHITE SILVER"/>
    <s v="JG"/>
    <s v="BELUM JTO"/>
    <n v="18"/>
    <n v="18"/>
    <x v="2"/>
    <s v="COLL"/>
    <x v="1"/>
    <x v="0"/>
    <m/>
  </r>
  <r>
    <n v="334"/>
    <d v="2025-11-06T15:26:34"/>
    <s v="a4f24bfd-45be-407a-a9ce-5da8e226108b"/>
    <s v="LatLng(lat: 1.0432729, lng: 103.9794236)"/>
    <s v="OD-25-F0001534"/>
    <s v="YOSEF BESA"/>
    <s v="BP 3823 CA"/>
    <x v="0"/>
    <s v="14.CALL CENTER"/>
    <s v="A"/>
    <n v="14"/>
    <s v="MH1JM0214NK940905"/>
    <s v="JM02E1940822"/>
    <s v="HONDA"/>
    <s v="SCOOPY KEYLESS"/>
    <s v="HITAM"/>
    <s v="JG"/>
    <s v="BELUM JTO"/>
    <n v="3"/>
    <n v="18"/>
    <x v="2"/>
    <s v="COLL"/>
    <x v="1"/>
    <x v="0"/>
    <m/>
  </r>
  <r>
    <n v="335"/>
    <d v="2025-11-06T15:40:54"/>
    <s v="240e927b-449f-4469-8c98-e687f0b41cf8"/>
    <s v="LatLng(lat: 1.126455, lng: 104.099415)"/>
    <s v="OD-24-F0002374"/>
    <s v="ARWAN LESMANA"/>
    <s v="BP 3814 AP"/>
    <x v="0"/>
    <s v="14.CALL CENTER"/>
    <s v="A"/>
    <n v="20"/>
    <s v="MH1KB2211PK031755"/>
    <s v="KB22E1031672"/>
    <s v="HONDA"/>
    <s v="SUPRA"/>
    <s v="MERAH HITAM"/>
    <s v="JG"/>
    <s v="BELUM JTO"/>
    <n v="15"/>
    <n v="18"/>
    <x v="34"/>
    <s v="COLL"/>
    <x v="0"/>
    <x v="0"/>
    <m/>
  </r>
  <r>
    <n v="336"/>
    <d v="2025-11-06T15:46:34"/>
    <s v="688868a7-408e-44ae-b238-348dfc1995b0"/>
    <s v="LatLng(lat: 1.0485929, lng: 103.9532741)"/>
    <s v="SP-25-F0000959"/>
    <s v="RATRI WULANDARI"/>
    <s v="BP 4406 J"/>
    <x v="0"/>
    <s v="05.BOSPA"/>
    <s v="A"/>
    <n v="3"/>
    <s v="MH1JME111RK277765"/>
    <s v="JME1E1278072"/>
    <s v="HONDA"/>
    <s v="BEAT FI"/>
    <s v="MERAH HITAM"/>
    <s v="JG"/>
    <s v="GAGAL BAYAR"/>
    <n v="6"/>
    <n v="12"/>
    <x v="14"/>
    <s v="COLL"/>
    <x v="0"/>
    <x v="0"/>
    <m/>
  </r>
  <r>
    <n v="337"/>
    <d v="2025-11-06T16:00:28"/>
    <s v="b5e5eb90-c13c-42f2-8aa6-fb5964b939de"/>
    <s v="LatLng(lat: 1.0492632, lng: 103.9441545)"/>
    <s v="OD-25-F0000894"/>
    <s v="ABD. RAHMAN"/>
    <s v="BP 4810 QJ"/>
    <x v="0"/>
    <s v="12.JUBRAIDER S"/>
    <s v="A"/>
    <n v="7"/>
    <s v="MH3SEE410JJ046627"/>
    <s v="E3R2E1868361"/>
    <s v="YAMAHA"/>
    <s v="MIO S"/>
    <s v="HIJAU PUTIH"/>
    <s v="JG"/>
    <s v="DONE"/>
    <n v="7"/>
    <n v="24"/>
    <x v="25"/>
    <s v="COLL"/>
    <x v="0"/>
    <x v="0"/>
    <m/>
  </r>
  <r>
    <n v="338"/>
    <d v="2025-11-06T16:09:00"/>
    <s v="6334c9e2-f39a-47fc-883e-dc49b291c247"/>
    <s v="LatLng(lat: 1.0400486, lng: 103.9871249)"/>
    <s v="OD-25-F0000337"/>
    <s v="HERIYANTO"/>
    <s v="BP 3021 UH"/>
    <x v="6"/>
    <s v="C"/>
    <s v=" "/>
    <n v="1"/>
    <s v="MH1JM3123KK995434"/>
    <s v="JM31E2990940"/>
    <s v="HONDA"/>
    <s v="SCOOPY"/>
    <s v="HITAM SILVER"/>
    <s v="JG"/>
    <s v="BELUM JTO"/>
    <n v="10"/>
    <n v="12"/>
    <x v="35"/>
    <s v="COLL"/>
    <x v="0"/>
    <x v="0"/>
    <m/>
  </r>
  <r>
    <n v="339"/>
    <d v="2025-11-06T16:24:40"/>
    <s v="83ca24fc-042d-4a7a-aea3-35465e9db033"/>
    <s v="LatLng(lat: 1.058173, lng: 103.9645338)"/>
    <s v="SP-25-F0002566"/>
    <s v="YULI WIDIASTUTI"/>
    <s v="BP 6177 CG"/>
    <x v="0"/>
    <s v="14.CALL CENTER"/>
    <s v=" "/>
    <n v="13"/>
    <s v="MH1JM031XRK567311"/>
    <s v="JM03E1567332"/>
    <s v="HONDA"/>
    <s v="SCOOPY NON KEYLESS"/>
    <s v="SILVER HITAM"/>
    <s v="JG"/>
    <s v="BELUM JTO"/>
    <n v="1"/>
    <n v="12"/>
    <x v="32"/>
    <s v="COLL"/>
    <x v="0"/>
    <x v="0"/>
    <m/>
  </r>
  <r>
    <n v="340"/>
    <d v="2025-11-06T16:47:56"/>
    <s v="83ca24fc-042d-4a7a-aea3-35465e9db033"/>
    <s v="LatLng(lat: 1.1128801, lng: 103.9777821)"/>
    <s v="OD-25-F0001869"/>
    <s v="RENOL YEHEZKIEL MALAU"/>
    <s v="BP 6897 CI"/>
    <x v="0"/>
    <s v="14.CALL CENTER"/>
    <s v=" "/>
    <n v="11"/>
    <s v="MH1JM0412RK775648"/>
    <s v="JM04E1775660"/>
    <s v="HONDA"/>
    <s v="SCOOPY"/>
    <s v="PUTIH"/>
    <s v="JG"/>
    <s v="BELUM JTO"/>
    <n v="1"/>
    <n v="18"/>
    <x v="32"/>
    <s v="COLL"/>
    <x v="0"/>
    <x v="0"/>
    <m/>
  </r>
  <r>
    <n v="341"/>
    <d v="2025-11-06T17:41:17"/>
    <s v="5d155998-3b32-426c-9f80-9898af00922a"/>
    <s v="LatLng(lat: 1.0368283, lng: 103.9688144)"/>
    <s v="OD-24-F0003330"/>
    <s v="DIAN TANTRI"/>
    <s v="BP 3766 QU"/>
    <x v="4"/>
    <s v="DOKA"/>
    <s v=" "/>
    <n v="3"/>
    <s v="MH1KF4119LK954383"/>
    <s v="KF41E1956793"/>
    <s v="HONDA"/>
    <s v="VARIO 150"/>
    <s v="MERAH"/>
    <s v="JG"/>
    <s v="GAGAL BAYAR"/>
    <n v="10"/>
    <n v="12"/>
    <x v="4"/>
    <s v="COLL"/>
    <x v="12"/>
    <x v="0"/>
    <m/>
  </r>
  <r>
    <n v="342"/>
    <d v="2025-11-06T17:48:09"/>
    <s v="702dc462-24c0-4894-b1c2-8bb9fe7a2806"/>
    <s v="LatLng(lat: 1.0350676, lng: 103.9988364)"/>
    <s v="SP-25-F0002011"/>
    <s v="SIMON SIAGIAN"/>
    <s v="BP 3922 PR"/>
    <x v="0"/>
    <s v="14.CALL CENTER"/>
    <s v="A"/>
    <n v="11"/>
    <s v="MH1JM9137PK101082"/>
    <s v="JM91E3096944"/>
    <s v="HONDA"/>
    <s v="BEAT DELUXE"/>
    <s v="SILVER"/>
    <s v="JG"/>
    <s v="BELUM JTO"/>
    <n v="3"/>
    <n v="18"/>
    <x v="36"/>
    <s v="COLL"/>
    <x v="0"/>
    <x v="0"/>
    <m/>
  </r>
  <r>
    <n v="343"/>
    <d v="2025-11-06T18:14:28"/>
    <s v="e3a70ada-a915-4680-aaa7-28e4b7d6722b"/>
    <s v="LatLng(lat: 1.147087, lng: 104.0268409)"/>
    <s v="SP-25-F0002248"/>
    <s v="ROBBY PATRIYO"/>
    <s v="BP 2202 UH"/>
    <x v="0"/>
    <s v="04.RIZKI A"/>
    <s v=" "/>
    <n v="8"/>
    <s v="MH1JM1127KK337796"/>
    <s v="JM11E2319938"/>
    <s v="HONDA"/>
    <s v="BEAT DIGITAL"/>
    <s v="MAGENTA HITAM"/>
    <s v="JG"/>
    <s v="BELUM JTO"/>
    <n v="2"/>
    <n v="12"/>
    <x v="37"/>
    <s v="COLL"/>
    <x v="0"/>
    <x v="0"/>
    <m/>
  </r>
  <r>
    <n v="344"/>
    <d v="2025-11-06T18:20:27"/>
    <s v="1770dac3-81ca-4fab-8a6a-e60c63470def"/>
    <s v="LatLng(lat: 1.0468759, lng: 103.9543045)"/>
    <s v="OD-25-F0000049"/>
    <s v="RUDI NASIB PASARIBU"/>
    <s v="BP 6598 CA"/>
    <x v="0"/>
    <s v="10.MIDUK"/>
    <s v="A"/>
    <n v="10"/>
    <s v="MH1JMC110RK305754"/>
    <s v="JMC1E1304677"/>
    <s v="HONDA"/>
    <s v="VARIO"/>
    <s v="HITAM"/>
    <s v="JG"/>
    <s v="BELUM JTO"/>
    <n v="10"/>
    <n v="24"/>
    <x v="21"/>
    <s v="COLL"/>
    <x v="0"/>
    <x v="0"/>
    <m/>
  </r>
  <r>
    <n v="345"/>
    <d v="2025-11-06T18:27:29"/>
    <s v="e0d931cf-6e64-4a91-a81a-04cf02d33a39"/>
    <s v="LatLng(lat: 1.0475333, lng: 103.9643767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3"/>
    <s v="COLL"/>
    <x v="0"/>
    <x v="0"/>
    <m/>
  </r>
  <r>
    <n v="346"/>
    <d v="2025-11-06T18:35:27"/>
    <s v="1770dac3-81ca-4fab-8a6a-e60c63470def"/>
    <s v="LatLng(lat: 1.0407279, lng: 103.9416449)"/>
    <s v="SP-25-F0001283"/>
    <s v="ZURDINATA SIKUMBANG"/>
    <s v="BP 2849 RI"/>
    <x v="0"/>
    <s v="14.CALL CENTER"/>
    <s v="A"/>
    <n v="5"/>
    <s v="MH1JM0119NK546995"/>
    <s v="JM01E1546508"/>
    <s v="HONDA"/>
    <s v="SCOOPY KEYLESS"/>
    <s v="HITAM"/>
    <s v="JG"/>
    <s v="DONE"/>
    <n v="5"/>
    <n v="12"/>
    <x v="21"/>
    <s v="COLL"/>
    <x v="0"/>
    <x v="0"/>
    <m/>
  </r>
  <r>
    <n v="347"/>
    <d v="2025-11-06T18:38:30"/>
    <s v="702dc462-24c0-4894-b1c2-8bb9fe7a2806"/>
    <s v="LatLng(lat: 1.0414333, lng: 103.9830014)"/>
    <s v="SP-23-F0002226"/>
    <s v="GUSTI BAGUS URGANATA"/>
    <s v="BP 2866 UD"/>
    <x v="0"/>
    <s v="10.MIDUK"/>
    <s v="D"/>
    <n v="1"/>
    <s v="MH1JFZ130KK574079"/>
    <s v="JFZ1E3573944"/>
    <s v="HONDA"/>
    <s v="BEAT"/>
    <s v="HITAM"/>
    <s v="JG"/>
    <s v="GAGAL BAYAR"/>
    <n v="22"/>
    <n v="24"/>
    <x v="36"/>
    <s v="COLL"/>
    <x v="13"/>
    <x v="0"/>
    <s v="YBS DI DETEK PADA TANGGAL 16 BULAN OKTOBER 2025 OLEH TIM INTENRAL CEKUNIT NAMANYA ITU PAK PHANTOM, NAH KARNA YBS KATEGORY DN AKHIRNYA DI TEMUKAN ALAMAT YBS YANG BARU"/>
  </r>
  <r>
    <n v="348"/>
    <d v="2025-11-06T18:48:47"/>
    <s v="702dc462-24c0-4894-b1c2-8bb9fe7a2806"/>
    <s v="LatLng(lat: 1.0414699, lng: 103.9826812)"/>
    <s v="OD-25-F0000466"/>
    <s v="ALI"/>
    <s v="BP 3224 IA"/>
    <x v="0"/>
    <s v="14.CALL CENTER"/>
    <s v="A"/>
    <n v="14"/>
    <s v="MH1JFU115HK972575"/>
    <s v="JFU1E1975930"/>
    <s v="HONDA"/>
    <s v="VARIO"/>
    <s v="WHITE RED"/>
    <s v="JG"/>
    <s v="BELUM JTO"/>
    <n v="9"/>
    <n v="18"/>
    <x v="36"/>
    <s v="COLL"/>
    <x v="0"/>
    <x v="0"/>
    <m/>
  </r>
  <r>
    <n v="349"/>
    <d v="2025-11-06T19:28:55"/>
    <s v="5d155998-3b32-426c-9f80-9898af00922a"/>
    <s v="LatLng(lat: 1.04085, lng: 103.9421314)"/>
    <s v="SP-25-F0000836"/>
    <s v="AFDHAL RIZKYA JERNALIS"/>
    <s v="BP 3855 QR"/>
    <x v="0"/>
    <s v="05.BOSPA"/>
    <s v="A"/>
    <n v="14"/>
    <s v="MH1JFZ112HK646570"/>
    <s v="JFZ1E1655085"/>
    <s v="HONDA"/>
    <s v="BEAT"/>
    <s v="PUTIH"/>
    <s v="JG"/>
    <s v="BELUM JTO"/>
    <n v="7"/>
    <n v="24"/>
    <x v="4"/>
    <s v="COLL"/>
    <x v="0"/>
    <x v="0"/>
    <m/>
  </r>
  <r>
    <n v="350"/>
    <d v="2025-11-06T19:31:00"/>
    <s v="5d155998-3b32-426c-9f80-9898af00922a"/>
    <s v="LatLng(lat: 1.0419196, lng: 103.9373305)"/>
    <s v="OD-25-F0001379"/>
    <s v="DONI BINTORO"/>
    <s v="BP 2204 P"/>
    <x v="0"/>
    <s v="14.CALL CENTER"/>
    <s v="A"/>
    <n v="16"/>
    <s v="MH1KF0117PK577759"/>
    <s v="KF01E1577783"/>
    <s v="HONDA"/>
    <s v="VARIO 160"/>
    <s v="HITAM"/>
    <s v="JG"/>
    <s v="BELUM JTO"/>
    <n v="4"/>
    <n v="18"/>
    <x v="4"/>
    <s v="COLL"/>
    <x v="0"/>
    <x v="0"/>
    <m/>
  </r>
  <r>
    <n v="351"/>
    <d v="2025-11-06T19:37:18"/>
    <s v="5d155998-3b32-426c-9f80-9898af00922a"/>
    <s v="LatLng(lat: 1.0487206, lng: 103.942745)"/>
    <s v="SP-25-F0002193"/>
    <s v="RIDHO HANAFI POHAN"/>
    <s v="BP 5312 UA"/>
    <x v="6"/>
    <s v="C"/>
    <s v=" "/>
    <n v="1"/>
    <s v="MH1JMA11XRK150456"/>
    <s v="JMA1E1150240"/>
    <s v="HONDA"/>
    <s v="GENIO"/>
    <s v="HITAM-MERAH"/>
    <s v="JG"/>
    <s v="BELUM JTO"/>
    <n v="5"/>
    <n v="12"/>
    <x v="4"/>
    <s v="COLL"/>
    <x v="0"/>
    <x v="0"/>
    <m/>
  </r>
  <r>
    <n v="352"/>
    <d v="2025-11-06T19:38:54"/>
    <s v="eea94692-e3ef-470d-a986-47d8940e37c5"/>
    <s v="LatLng(lat: 1.071481, lng: 103.9193976)"/>
    <s v="SP-25-F0000803"/>
    <s v="HENDRIZAL"/>
    <s v="BP 2596 US"/>
    <x v="0"/>
    <s v="14.CALL CENTER"/>
    <s v="A"/>
    <n v="10"/>
    <s v="MH1JM8123PK705617"/>
    <s v="JM81E2705877"/>
    <s v="HONDA"/>
    <s v="BEAT FI"/>
    <s v="HITAM"/>
    <s v="JG"/>
    <s v="BELUM JTO"/>
    <n v="7"/>
    <n v="12"/>
    <x v="8"/>
    <s v="COLL"/>
    <x v="0"/>
    <x v="0"/>
    <m/>
  </r>
  <r>
    <n v="353"/>
    <d v="2025-11-06T19:40:09"/>
    <s v="b5022170-5138-4d36-a599-749fef2d3ebb"/>
    <s v="LatLng(lat: 1.1042225, lng: 104.0688847)"/>
    <s v="SP-25-F0001286"/>
    <s v="SUDIRA MUABDA"/>
    <s v="BP 2420 AH"/>
    <x v="0"/>
    <s v="14.CALL CENTER"/>
    <s v="A"/>
    <n v="5"/>
    <s v="MH1JFZ13XKK251688"/>
    <s v="JFZ1E3252670"/>
    <s v="HONDA"/>
    <s v="BEAT FI"/>
    <s v="HITAM"/>
    <s v="JG"/>
    <s v="GAGAL BAYAR"/>
    <n v="5"/>
    <n v="12"/>
    <x v="38"/>
    <s v="COLL"/>
    <x v="0"/>
    <x v="0"/>
    <m/>
  </r>
  <r>
    <n v="354"/>
    <d v="2025-11-06T20:23:43"/>
    <s v="5d155998-3b32-426c-9f80-9898af00922a"/>
    <s v="LatLng(lat: 1.0446455, lng: 103.9813727)"/>
    <s v="OD-24-F0002807"/>
    <s v="RIZKY MAULANA RIDWAN"/>
    <s v="BP 4837 QI"/>
    <x v="0"/>
    <s v="11.RIMPUN "/>
    <s v="A"/>
    <n v="5"/>
    <s v="MH3RG4810HK005732"/>
    <s v="G3J6E0041843"/>
    <s v="YAMAHA"/>
    <s v="VIXION"/>
    <s v="MERAH HITAM"/>
    <s v="JG"/>
    <s v="GAGAL BAYAR"/>
    <n v="13"/>
    <n v="24"/>
    <x v="4"/>
    <s v="COLL"/>
    <x v="14"/>
    <x v="0"/>
    <m/>
  </r>
  <r>
    <n v="355"/>
    <d v="2025-11-06T21:23:11"/>
    <s v="78c8aa58-d259-49a1-a96c-192417985ecf"/>
    <s v="LatLng(lat: 1.053002, lng: 103.9676243)"/>
    <s v="SP-24-F0001597"/>
    <s v="EDUARDUS NAHAK"/>
    <s v="BP 2372 AP"/>
    <x v="4"/>
    <s v="EVENDI"/>
    <s v=" "/>
    <n v="6"/>
    <s v="MH1JM8127PK396136"/>
    <s v="JM81E2399735"/>
    <s v="HONDA"/>
    <s v="BEAT"/>
    <s v="SILVER-HITAM"/>
    <s v="JG"/>
    <s v="GAGAL BAYAR"/>
    <n v="14"/>
    <n v="18"/>
    <x v="16"/>
    <s v="COLL"/>
    <x v="6"/>
    <x v="0"/>
    <m/>
  </r>
  <r>
    <n v="356"/>
    <d v="2025-11-06T21:25:22"/>
    <s v="78c8aa58-d259-49a1-a96c-192417985ecf"/>
    <s v="LatLng(lat: 1.0527824, lng: 103.9676753)"/>
    <s v="SP-25-F0000925"/>
    <s v="JEPRY HARIANJA"/>
    <s v="BP 2987 CU"/>
    <x v="0"/>
    <s v="05.BOSPA"/>
    <s v="A"/>
    <n v="1"/>
    <s v="MH1JM9116LK282278"/>
    <s v="JM91E1283112"/>
    <s v="HONDA"/>
    <s v="BEAT FI"/>
    <s v="MAGENTA HITAM"/>
    <s v="JG"/>
    <s v="GAGAL BAYAR"/>
    <n v="6"/>
    <n v="18"/>
    <x v="16"/>
    <s v="COLL"/>
    <x v="0"/>
    <x v="0"/>
    <m/>
  </r>
  <r>
    <n v="357"/>
    <d v="2025-11-06T21:33:21"/>
    <s v="78c8aa58-d259-49a1-a96c-192417985ecf"/>
    <s v="LatLng(lat: 1.0533126, lng: 103.9668432)"/>
    <s v="OD-24-F0002661"/>
    <s v="EGIDHEA NIRMA SAVITRI"/>
    <s v="BP 4153 HE"/>
    <x v="0"/>
    <s v="03.DAULAT"/>
    <s v="A"/>
    <n v="17"/>
    <s v="MH3SEK610PJ051580"/>
    <s v="E34KE0051581"/>
    <s v="YAMAHA"/>
    <s v="FILANO"/>
    <s v="PUTIH"/>
    <s v="JG"/>
    <s v="BELUM JTO"/>
    <n v="14"/>
    <n v="24"/>
    <x v="16"/>
    <s v="COLL"/>
    <x v="0"/>
    <x v="0"/>
    <m/>
  </r>
  <r>
    <n v="358"/>
    <d v="2025-11-07T06:59:49"/>
    <s v="688868a7-408e-44ae-b238-348dfc1995b0"/>
    <s v="LatLng(lat: 1.0285135, lng: 103.9653544)"/>
    <s v="OD-25-F0001712"/>
    <s v="AGUNG VERNANDO"/>
    <s v="BP 2562 AR"/>
    <x v="0"/>
    <s v="14.CALL CENTER"/>
    <s v=" "/>
    <n v="15"/>
    <s v="MH1JM2113HK648048"/>
    <s v="JM21E1635871"/>
    <s v="HONDA"/>
    <s v="BEAT DIGITAL"/>
    <s v="HITAM"/>
    <s v="JG"/>
    <s v="BELUM JTO"/>
    <n v="2"/>
    <n v="18"/>
    <x v="14"/>
    <s v="COLL"/>
    <x v="0"/>
    <x v="0"/>
    <m/>
  </r>
  <r>
    <n v="359"/>
    <d v="2025-11-07T07:27:08"/>
    <s v="66338f6f-6199-47e8-8fc9-c871a18b6d2c"/>
    <s v="LatLng(lat: 1.0699598, lng: 104.0243472)"/>
    <s v="SP-24-F0002564"/>
    <s v="ISMAN"/>
    <s v="BP 2480 UC"/>
    <x v="6"/>
    <s v="C"/>
    <s v=" "/>
    <n v="1"/>
    <s v="MH1KF4116LK991603"/>
    <s v="KF41E1993910"/>
    <s v="HONDA"/>
    <s v="VARIO 150 KEYLESS"/>
    <s v="SILVER"/>
    <s v="JG"/>
    <s v="BELUM JTO"/>
    <n v="12"/>
    <n v="12"/>
    <x v="30"/>
    <s v="COLL"/>
    <x v="0"/>
    <x v="0"/>
    <m/>
  </r>
  <r>
    <n v="360"/>
    <d v="2025-11-07T08:38:20"/>
    <s v="a4f24bfd-45be-407a-a9ce-5da8e226108b"/>
    <s v="LatLng(lat: 1.0421685, lng: 103.9809209)"/>
    <s v="SP-24-F0002804"/>
    <s v="DANIEL PARLINGGOMAN SIMBOLON"/>
    <s v="BP 3965 RR"/>
    <x v="11"/>
    <s v="PAUL"/>
    <s v=" "/>
    <n v="1"/>
    <s v="MH1JFZ132KK464781"/>
    <s v="JFZ1E3464688"/>
    <s v="HONDA"/>
    <s v="BEAT FI"/>
    <s v="HITAM"/>
    <s v="JG"/>
    <s v="GAGAL BAYAR"/>
    <n v="7"/>
    <n v="18"/>
    <x v="2"/>
    <s v="COLL"/>
    <x v="1"/>
    <x v="0"/>
    <m/>
  </r>
  <r>
    <n v="361"/>
    <d v="2025-11-07T09:11:39"/>
    <s v="97b899c7-a738-4c0c-a57d-47d1be720bd2"/>
    <s v="LatLng(lat: 1.0433576, lng: 103.9795071)"/>
    <s v="SP-25-F0002010"/>
    <s v="MARIA DIANA MALIDA PENGO"/>
    <s v="BP 3415 PR"/>
    <x v="0"/>
    <s v="14.CALL CENTER"/>
    <s v="A"/>
    <n v="12"/>
    <s v="MH1JM0317PK334872"/>
    <s v="JM03E1334782"/>
    <s v="HONDA"/>
    <s v="SCOOPY NON KEYLESS"/>
    <s v="HITAM SILVER"/>
    <s v="JG"/>
    <s v="BELUM JTO"/>
    <n v="3"/>
    <n v="12"/>
    <x v="5"/>
    <s v="COLL"/>
    <x v="0"/>
    <x v="0"/>
    <m/>
  </r>
  <r>
    <n v="362"/>
    <d v="2025-11-07T10:23:47"/>
    <s v="e0d931cf-6e64-4a91-a81a-04cf02d33a39"/>
    <s v="LatLng(lat: 1.0474205, lng: 103.9657442)"/>
    <s v="SP-24-F0002687"/>
    <s v="YUNI CARLAN ZEGA"/>
    <s v="BP 2320 GP"/>
    <x v="0"/>
    <s v="14.CALL CENTER"/>
    <s v="A"/>
    <n v="13"/>
    <s v="MH1JFJ112EK029179"/>
    <s v="JFJ1E1033654"/>
    <s v="HONDA"/>
    <s v="VARIO 125"/>
    <s v="HITAM"/>
    <s v="JG"/>
    <s v="BELUM JTO"/>
    <n v="11"/>
    <n v="12"/>
    <x v="13"/>
    <s v="COLL"/>
    <x v="0"/>
    <x v="0"/>
    <m/>
  </r>
  <r>
    <n v="363"/>
    <d v="2025-11-07T10:24:46"/>
    <s v="e0d931cf-6e64-4a91-a81a-04cf02d33a39"/>
    <s v="LatLng(lat: 1.0475596, lng: 103.963883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13"/>
    <s v="COLL"/>
    <x v="0"/>
    <x v="0"/>
    <m/>
  </r>
  <r>
    <n v="364"/>
    <d v="2025-11-07T10:24:54"/>
    <s v="74bb1709-aa7b-4b41-a082-a2af867fd15e"/>
    <s v="LatLng(lat: 1.04754, lng: 103.9639933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7"/>
    <s v="COLL"/>
    <x v="0"/>
    <x v="0"/>
    <m/>
  </r>
  <r>
    <n v="365"/>
    <d v="2025-11-07T10:50:56"/>
    <s v="74bb1709-aa7b-4b41-a082-a2af867fd15e"/>
    <s v="LatLng(lat: 1.02944, lng: 103.9589153)"/>
    <s v="SP-25-F0000093"/>
    <s v="AFRIZAL CHANDRA"/>
    <s v="BP 2176 Q"/>
    <x v="0"/>
    <s v="10.MIDUK"/>
    <s v="A"/>
    <n v="11"/>
    <s v="MH1JM0411PK226827"/>
    <s v="JM04E1226846"/>
    <s v="HONDA"/>
    <s v="SCOOPY KEYLESS"/>
    <s v="HIJAU"/>
    <s v="JG"/>
    <s v="BELUM JTO"/>
    <n v="10"/>
    <n v="12"/>
    <x v="7"/>
    <s v="COLL"/>
    <x v="0"/>
    <x v="0"/>
    <m/>
  </r>
  <r>
    <n v="366"/>
    <d v="2025-11-07T11:51:57"/>
    <s v="e0d931cf-6e64-4a91-a81a-04cf02d33a39"/>
    <s v="LatLng(lat: 1.0367733, lng: 103.9629717)"/>
    <s v="SP-25-F0000656"/>
    <s v="WIJANARKO"/>
    <s v="BP 2052 FR"/>
    <x v="0"/>
    <s v="08.JOSRI"/>
    <s v="A"/>
    <n v="20"/>
    <s v="MH1JM1117HK523290"/>
    <s v="JM11E1506067"/>
    <s v="HONDA"/>
    <s v="BEAT FI"/>
    <s v="MERAH PUTIH"/>
    <s v="JG"/>
    <s v="BELUM JTO"/>
    <n v="8"/>
    <n v="12"/>
    <x v="13"/>
    <s v="COLL"/>
    <x v="0"/>
    <x v="0"/>
    <m/>
  </r>
  <r>
    <n v="367"/>
    <d v="2025-11-07T11:57:47"/>
    <s v="551fa799-4956-44f4-9122-ea915d0399f1"/>
    <s v="LatLng(lat: 1.04172, lng: 103.983755)"/>
    <s v="SP-24-F0001856"/>
    <s v="AHMAD IBRAHIM"/>
    <s v="BP 3497 EG"/>
    <x v="0"/>
    <s v="11.RIMPUN "/>
    <s v="A"/>
    <n v="4"/>
    <s v="MH1JM0314PK277286"/>
    <s v="JM03E1277072"/>
    <s v="HONDA"/>
    <s v="SCOOPY"/>
    <s v="HITAM-SILVER"/>
    <s v="JG"/>
    <s v="GAGAL BAYAR"/>
    <n v="14"/>
    <n v="24"/>
    <x v="12"/>
    <s v="COLL"/>
    <x v="0"/>
    <x v="0"/>
    <m/>
  </r>
  <r>
    <n v="368"/>
    <d v="2025-11-07T12:11:08"/>
    <s v="eea94692-e3ef-470d-a986-47d8940e37c5"/>
    <s v="LatLng(lat: 1.0425564, lng: 103.9828581)"/>
    <s v="SP-25-F0000006"/>
    <s v="WINORA INDRIYANI"/>
    <s v="BP 3236 UP"/>
    <x v="0"/>
    <s v="11.RIMPUN "/>
    <s v="A"/>
    <n v="3"/>
    <s v="MH1JM8127PK594263"/>
    <s v="JM81E2597072"/>
    <s v="HONDA"/>
    <s v="BEAT"/>
    <s v="MERAH HITAM"/>
    <s v="JG"/>
    <s v="GAGAL BAYAR"/>
    <n v="10"/>
    <n v="30"/>
    <x v="8"/>
    <s v="COLL"/>
    <x v="0"/>
    <x v="0"/>
    <m/>
  </r>
  <r>
    <n v="369"/>
    <d v="2025-11-07T12:30:39"/>
    <s v="66338f6f-6199-47e8-8fc9-c871a18b6d2c"/>
    <s v="LatLng(lat: 1.0694785, lng: 104.0278666)"/>
    <s v="SP-25-F0000254"/>
    <s v="ELIDA RISNA WATI SIRAIT"/>
    <s v="BP 2803 AQ"/>
    <x v="0"/>
    <s v="05.BOSPA"/>
    <s v="A"/>
    <n v="1"/>
    <s v="MH1JM2125JK246823"/>
    <s v="JM21E2230443"/>
    <s v="HONDA"/>
    <s v="BEAT FI"/>
    <s v="BIRU-PUTIH"/>
    <s v="JG"/>
    <s v="GAGAL BAYAR"/>
    <n v="9"/>
    <n v="12"/>
    <x v="30"/>
    <s v="COLL"/>
    <x v="0"/>
    <x v="0"/>
    <m/>
  </r>
  <r>
    <n v="370"/>
    <d v="2025-11-07T12:49:20"/>
    <s v="97b899c7-a738-4c0c-a57d-47d1be720bd2"/>
    <s v="LatLng(lat: 1.1153502, lng: 104.0912458)"/>
    <s v="OD-24-F0002116"/>
    <s v="MULYADI"/>
    <s v="BP 3674 QG"/>
    <x v="0"/>
    <s v="05.BOSPA"/>
    <s v="A"/>
    <n v="1"/>
    <s v="MH1JFR115GK355091"/>
    <s v="JFR1E1349997"/>
    <s v="HONDA"/>
    <s v="BEAT CW F1"/>
    <s v="PUTIH MERAH"/>
    <s v="JG"/>
    <s v="DONE"/>
    <n v="15"/>
    <n v="24"/>
    <x v="5"/>
    <s v="COLL"/>
    <x v="0"/>
    <x v="0"/>
    <m/>
  </r>
  <r>
    <n v="371"/>
    <d v="2025-11-07T13:00:46"/>
    <s v="78c8aa58-d259-49a1-a96c-192417985ecf"/>
    <s v="LatLng(lat: 1.1381469, lng: 104.0277003)"/>
    <s v="OD-24-F0003070"/>
    <s v="RIDWAN"/>
    <s v="BP 2825 IG"/>
    <x v="4"/>
    <s v="MARTIN"/>
    <s v=" "/>
    <n v="5"/>
    <s v="MH1JF5134CK871429"/>
    <s v="JF51E3859536"/>
    <s v="HONDA"/>
    <s v="BEAT"/>
    <s v="PUTIH"/>
    <s v="JG"/>
    <s v="GAGAL BAYAR"/>
    <n v="11"/>
    <n v="18"/>
    <x v="16"/>
    <s v="COLL"/>
    <x v="6"/>
    <x v="0"/>
    <m/>
  </r>
  <r>
    <n v="372"/>
    <d v="2025-11-07T13:04:30"/>
    <s v="74bb1709-aa7b-4b41-a082-a2af867fd15e"/>
    <s v="LatLng(lat: 1.1381282, lng: 104.0276304)"/>
    <s v="SP-25-F0001038"/>
    <s v="BILLI ADITIA"/>
    <s v="BP 3474 J"/>
    <x v="0"/>
    <s v="07.RINTO"/>
    <s v="A"/>
    <n v="9"/>
    <s v="MH1JM0211MK362650"/>
    <s v="JM02E1362627"/>
    <s v="HONDA"/>
    <s v="SCOOPY"/>
    <s v="HITAM"/>
    <s v="JG"/>
    <s v="BELUM JTO"/>
    <n v="6"/>
    <n v="18"/>
    <x v="7"/>
    <s v="COLL"/>
    <x v="0"/>
    <x v="0"/>
    <m/>
  </r>
  <r>
    <n v="373"/>
    <d v="2025-11-07T13:04:41"/>
    <s v="3841b94e-9a4f-4b53-a473-36560f4d9a4f"/>
    <s v="LatLng(lat: 1.05778, lng: 103.9623817)"/>
    <s v="OD-24-F0001267"/>
    <s v="KARMILA"/>
    <s v="BP 2356 RO"/>
    <x v="0"/>
    <s v="14.CALL CENTER"/>
    <s v="A"/>
    <n v="10"/>
    <s v="MH1JM811XNK959524"/>
    <s v="JM81E1961003"/>
    <s v="HONDA"/>
    <s v="BEAT"/>
    <s v="MERAH HITAM"/>
    <s v="JG"/>
    <s v="BELUM JTO"/>
    <n v="18"/>
    <n v="24"/>
    <x v="39"/>
    <s v="COLL"/>
    <x v="0"/>
    <x v="0"/>
    <m/>
  </r>
  <r>
    <n v="374"/>
    <d v="2025-11-07T13:10:44"/>
    <s v="987e43b5-2fed-4ba1-8992-1b4d84e413ab"/>
    <s v="LatLng(lat: 1.1583824, lng: 104.0256655)"/>
    <s v="SP-25-F0001989"/>
    <s v="REDY EKO PRABOWO"/>
    <s v="BP 6707 GQ"/>
    <x v="0"/>
    <s v="04.RIZKI A"/>
    <s v="A"/>
    <n v="9"/>
    <s v="MH8DL23ANHJ110322"/>
    <s v="CGA2ID110490"/>
    <s v="SUZUKI"/>
    <s v="GSX"/>
    <s v="MERAH HITAM"/>
    <s v="JG"/>
    <s v="BELUM JTO"/>
    <n v="3"/>
    <n v="12"/>
    <x v="20"/>
    <s v="COLL"/>
    <x v="6"/>
    <x v="0"/>
    <m/>
  </r>
  <r>
    <n v="375"/>
    <d v="2025-11-07T13:10:46"/>
    <s v="5d155998-3b32-426c-9f80-9898af00922a"/>
    <s v="LatLng(lat: 1.1587299, lng: 104.025891)"/>
    <s v="SP-25-F0001989"/>
    <s v="REDY EKO PRABOWO"/>
    <s v="BP 6707 GQ"/>
    <x v="0"/>
    <s v="04.RIZKI A"/>
    <s v="A"/>
    <n v="9"/>
    <s v="MH8DL23ANHJ110322"/>
    <s v="CGA2ID110490"/>
    <s v="SUZUKI"/>
    <s v="GSX"/>
    <s v="MERAH HITAM"/>
    <s v="JG"/>
    <s v="BELUM JTO"/>
    <n v="3"/>
    <n v="12"/>
    <x v="4"/>
    <s v="COLL"/>
    <x v="0"/>
    <x v="0"/>
    <m/>
  </r>
  <r>
    <n v="376"/>
    <d v="2025-11-07T13:10:49"/>
    <s v="e0d931cf-6e64-4a91-a81a-04cf02d33a39"/>
    <s v="LatLng(lat: 1.1582867, lng: 104.0250117)"/>
    <s v="SP-25-F0001989"/>
    <s v="REDY EKO PRABOWO"/>
    <s v="BP 6707 GQ"/>
    <x v="0"/>
    <s v="04.RIZKI A"/>
    <s v="A"/>
    <n v="9"/>
    <s v="MH8DL23ANHJ110322"/>
    <s v="CGA2ID110490"/>
    <s v="SUZUKI"/>
    <s v="GSX"/>
    <s v="MERAH HITAM"/>
    <s v="JG"/>
    <s v="BELUM JTO"/>
    <n v="3"/>
    <n v="12"/>
    <x v="13"/>
    <s v="COLL"/>
    <x v="0"/>
    <x v="0"/>
    <m/>
  </r>
  <r>
    <n v="377"/>
    <d v="2025-11-07T13:17:30"/>
    <s v="f0b79403-18b0-47dd-bacc-d76d9d60a28e"/>
    <s v="LatLng(lat: 1.1468738, lng: 104.0270414)"/>
    <s v="SP-25-F0001668"/>
    <s v="MITA HATIJAH"/>
    <s v="BP 2982 GU"/>
    <x v="0"/>
    <s v="14.CALL CENTER"/>
    <s v="A"/>
    <n v="12"/>
    <s v="MH1JM9115LK016136"/>
    <s v="JM91E1016329"/>
    <s v="HONDA"/>
    <s v="BEAT"/>
    <s v="MAGENTA HITAM"/>
    <s v="JG"/>
    <s v="BELUM JTO"/>
    <n v="4"/>
    <n v="12"/>
    <x v="24"/>
    <s v="COLL"/>
    <x v="0"/>
    <x v="0"/>
    <m/>
  </r>
  <r>
    <n v="378"/>
    <d v="2025-11-07T13:18:06"/>
    <s v="987e43b5-2fed-4ba1-8992-1b4d84e413ab"/>
    <s v="LatLng(lat: 1.1601903, lng: 104.0323367)"/>
    <s v="SP-25-F0001954"/>
    <s v="NICHOLA ROSY PUTRA"/>
    <s v="BP 5877 AU"/>
    <x v="0"/>
    <s v="14.CALL CENTER"/>
    <s v="A"/>
    <n v="6"/>
    <s v="MH1JMD114RK602662"/>
    <s v="JMD1E1602244"/>
    <s v="HONDA"/>
    <s v="VARIO 125 KEYLESS"/>
    <s v="HITAM"/>
    <s v="JG"/>
    <s v="DONE"/>
    <n v="3"/>
    <n v="18"/>
    <x v="20"/>
    <s v="COLL"/>
    <x v="0"/>
    <x v="0"/>
    <m/>
  </r>
  <r>
    <n v="379"/>
    <d v="2025-11-07T13:18:21"/>
    <s v="5d155998-3b32-426c-9f80-9898af00922a"/>
    <s v="LatLng(lat: 1.1590581, lng: 104.0336755)"/>
    <s v="OD-24-F0003453"/>
    <s v="NOFERIANI GEA"/>
    <s v="BP 3483 AH"/>
    <x v="0"/>
    <s v="14.CALL CENTER"/>
    <s v="A"/>
    <n v="17"/>
    <s v="MH1JFZ219KK573266"/>
    <s v="JFZ2E1573036"/>
    <s v="HONDA"/>
    <s v="BEAT STREET"/>
    <s v="HITAM"/>
    <s v="JG"/>
    <s v="DONE"/>
    <n v="11"/>
    <n v="12"/>
    <x v="4"/>
    <s v="COLL"/>
    <x v="0"/>
    <x v="0"/>
    <m/>
  </r>
  <r>
    <n v="380"/>
    <d v="2025-11-07T13:19:58"/>
    <s v="78c8aa58-d259-49a1-a96c-192417985ecf"/>
    <s v="LatLng(lat: 1.1590072, lng: 104.0269785)"/>
    <s v="SP-25-F0000103"/>
    <s v="KARDIONO"/>
    <s v="BP 2852 UC"/>
    <x v="0"/>
    <s v="14.CALL CENTER"/>
    <s v="A"/>
    <n v="16"/>
    <s v="MH1JM313XLK773600"/>
    <s v="JM31E3771125"/>
    <s v="HONDA"/>
    <s v="SCOOPY NON KEY"/>
    <s v="COKLAT HITAM"/>
    <s v="JG"/>
    <s v="BELUM JTO"/>
    <n v="10"/>
    <n v="12"/>
    <x v="16"/>
    <s v="COLL"/>
    <x v="0"/>
    <x v="0"/>
    <m/>
  </r>
  <r>
    <n v="381"/>
    <d v="2025-11-07T13:24:23"/>
    <s v="b5e5eb90-c13c-42f2-8aa6-fb5964b939de"/>
    <s v="LatLng(lat: 1.1485221, lng: 104.0305682)"/>
    <s v="OD-24-F0002239"/>
    <s v="AGUSMAN"/>
    <s v="BP 5264 QM"/>
    <x v="0"/>
    <s v="04.RIZKI A"/>
    <s v="A"/>
    <n v="7"/>
    <s v="MH3SE88F0JJ031469"/>
    <s v="E3W6E0147171"/>
    <s v="YAMAHA"/>
    <s v="FINO"/>
    <s v="MERAH"/>
    <s v="JG"/>
    <s v="BELUM JTO"/>
    <n v="15"/>
    <n v="24"/>
    <x v="25"/>
    <s v="COLL"/>
    <x v="0"/>
    <x v="0"/>
    <m/>
  </r>
  <r>
    <n v="382"/>
    <d v="2025-11-07T13:24:27"/>
    <s v="86afd147-8c0b-48e4-aaf8-44ad72c52985"/>
    <s v="LatLng(lat: 1.1489809, lng: 104.0302987)"/>
    <s v="OD-24-F0002239"/>
    <s v="AGUSMAN"/>
    <s v="BP 5264 QM"/>
    <x v="0"/>
    <s v="04.RIZKI A"/>
    <s v="A"/>
    <n v="7"/>
    <s v="MH3SE88F0JJ031469"/>
    <s v="E3W6E0147171"/>
    <s v="YAMAHA"/>
    <s v="FINO"/>
    <s v="MERAH"/>
    <s v="JG"/>
    <s v="BELUM JTO"/>
    <n v="15"/>
    <n v="24"/>
    <x v="15"/>
    <s v="COLL"/>
    <x v="0"/>
    <x v="0"/>
    <m/>
  </r>
  <r>
    <n v="383"/>
    <d v="2025-11-07T13:24:31"/>
    <s v="1770dac3-81ca-4fab-8a6a-e60c63470def"/>
    <s v="LatLng(lat: 1.1487185, lng: 104.0304085)"/>
    <s v="OD-24-F0002239"/>
    <s v="AGUSMAN"/>
    <s v="BP 5264 QM"/>
    <x v="0"/>
    <s v="04.RIZKI A"/>
    <s v="A"/>
    <n v="7"/>
    <s v="MH3SE88F0JJ031469"/>
    <s v="E3W6E0147171"/>
    <s v="YAMAHA"/>
    <s v="FINO"/>
    <s v="MERAH"/>
    <s v="JG"/>
    <s v="BELUM JTO"/>
    <n v="15"/>
    <n v="24"/>
    <x v="21"/>
    <s v="COLL"/>
    <x v="0"/>
    <x v="0"/>
    <m/>
  </r>
  <r>
    <n v="384"/>
    <d v="2025-11-07T13:26:12"/>
    <s v="5d155998-3b32-426c-9f80-9898af00922a"/>
    <s v="LatLng(lat: 1.1587491, lng: 104.0303078)"/>
    <s v="OD-25-F0000238"/>
    <s v="PUTRI SARI AYU HASIBUAN"/>
    <s v="BP 3714 SU"/>
    <x v="0"/>
    <s v="06.ROBEN"/>
    <s v="A"/>
    <n v="24"/>
    <s v="MH1JM8217PK981420"/>
    <s v="JM82E1980854"/>
    <s v="HONDA"/>
    <s v="BEAT STREET"/>
    <s v="HITAM"/>
    <s v="JG"/>
    <s v="BELUM JTO"/>
    <n v="10"/>
    <n v="18"/>
    <x v="4"/>
    <s v="COLL"/>
    <x v="0"/>
    <x v="0"/>
    <m/>
  </r>
  <r>
    <n v="385"/>
    <d v="2025-11-07T13:29:25"/>
    <s v="5d155998-3b32-426c-9f80-9898af00922a"/>
    <s v="LatLng(lat: 1.1608972, lng: 104.0304131)"/>
    <s v="SP-25-F0001611"/>
    <s v="ELIDA MEGAWATI MARPAUNG"/>
    <s v="BP 3015 RI"/>
    <x v="0"/>
    <s v="14.CALL CENTER"/>
    <s v="A"/>
    <n v="8"/>
    <s v="MH1JM9125NK110626"/>
    <s v="JM91E2110414"/>
    <s v="HONDA"/>
    <s v="BEAT FI"/>
    <s v="HITAM"/>
    <s v="JG"/>
    <s v="DONE"/>
    <n v="4"/>
    <n v="12"/>
    <x v="4"/>
    <s v="COLL"/>
    <x v="0"/>
    <x v="0"/>
    <m/>
  </r>
  <r>
    <n v="386"/>
    <d v="2025-11-07T13:30:06"/>
    <s v="551fa799-4956-44f4-9122-ea915d0399f1"/>
    <s v="LatLng(lat: 1.1634506, lng: 104.0306869)"/>
    <s v="SP-25-F0001631"/>
    <s v="ANISA FEBRIANI"/>
    <s v="BP 3065 OJ"/>
    <x v="7"/>
    <s v="MARTIN"/>
    <s v=" "/>
    <n v="9"/>
    <s v="MH1JFP114FK846674"/>
    <s v="JFP1E1864574"/>
    <s v="HONDA"/>
    <s v="BEAT CW"/>
    <s v="PUTIH BIRU"/>
    <s v="JG"/>
    <s v="PARTIAL"/>
    <n v="3"/>
    <n v="18"/>
    <x v="12"/>
    <s v="COLL"/>
    <x v="0"/>
    <x v="0"/>
    <m/>
  </r>
  <r>
    <n v="387"/>
    <d v="2025-11-07T13:31:45"/>
    <s v="987e43b5-2fed-4ba1-8992-1b4d84e413ab"/>
    <s v="LatLng(lat: 1.1600751, lng: 104.0361026)"/>
    <s v="OD-25-F0001927"/>
    <s v="SAID FIDLI"/>
    <s v="BP 4517 QI"/>
    <x v="0"/>
    <s v="06.ROBEN"/>
    <s v=" "/>
    <n v="25"/>
    <s v="MH3SG4610HJ008887"/>
    <s v="G3J1E0011399"/>
    <s v="YAMAHA"/>
    <s v="AEROX"/>
    <s v="MERAH"/>
    <s v="JG"/>
    <s v="BELUM JTO"/>
    <n v="1"/>
    <n v="24"/>
    <x v="20"/>
    <s v="COLL"/>
    <x v="0"/>
    <x v="0"/>
    <m/>
  </r>
  <r>
    <n v="388"/>
    <d v="2025-11-07T13:31:56"/>
    <s v="eea94692-e3ef-470d-a986-47d8940e37c5"/>
    <s v="LatLng(lat: 1.0551613, lng: 103.9777325)"/>
    <s v="SP-25-F0000005"/>
    <s v="NGATMI"/>
    <s v="BP 3929 RS"/>
    <x v="0"/>
    <s v="11.RIMPUN "/>
    <s v="A"/>
    <n v="3"/>
    <s v="MH1JM0419PK493097"/>
    <s v="JM04E1492906"/>
    <s v="HONDA"/>
    <s v="SCOOPY KEYLESS"/>
    <s v="MERAH"/>
    <s v="JG"/>
    <s v="GAGAL BAYAR"/>
    <n v="10"/>
    <n v="18"/>
    <x v="8"/>
    <s v="COLL"/>
    <x v="0"/>
    <x v="0"/>
    <m/>
  </r>
  <r>
    <n v="389"/>
    <d v="2025-11-07T13:36:45"/>
    <s v="987e43b5-2fed-4ba1-8992-1b4d84e413ab"/>
    <s v="LatLng(lat: 1.1547129, lng: 104.0408998)"/>
    <s v="OD-24-F0003117"/>
    <s v="MEI SANDI PRATAMA"/>
    <s v="BP 4201 CH"/>
    <x v="0"/>
    <s v="08.JOSRI"/>
    <s v=" "/>
    <n v="12"/>
    <s v="MH1JFZ121JK944994"/>
    <s v="JFZ1E2951259"/>
    <s v="HONDA"/>
    <s v="BEAT"/>
    <s v="HITAM"/>
    <s v="JG"/>
    <s v="BELUM JTO"/>
    <n v="12"/>
    <n v="18"/>
    <x v="20"/>
    <s v="COLL"/>
    <x v="0"/>
    <x v="0"/>
    <m/>
  </r>
  <r>
    <n v="390"/>
    <d v="2025-11-07T13:40:20"/>
    <s v="688868a7-408e-44ae-b238-348dfc1995b0"/>
    <s v="LatLng(lat: 1.1531409, lng: 104.040436)"/>
    <s v="SP-25-F0001501"/>
    <s v="RINI SRIWAHYUNI"/>
    <s v="BP 2212 IF"/>
    <x v="0"/>
    <s v="09.OLOAN"/>
    <s v="A"/>
    <n v="1"/>
    <s v="MH1JM8128PK498156"/>
    <s v="JM81E2501277"/>
    <s v="HONDA"/>
    <s v="BEAT"/>
    <s v="HITAM"/>
    <s v="JG"/>
    <s v="GAGAL BAYAR"/>
    <n v="4"/>
    <n v="18"/>
    <x v="14"/>
    <s v="COLL"/>
    <x v="0"/>
    <x v="0"/>
    <m/>
  </r>
  <r>
    <n v="391"/>
    <d v="2025-11-07T13:40:20"/>
    <s v="987e43b5-2fed-4ba1-8992-1b4d84e413ab"/>
    <s v="LatLng(lat: 1.1535063, lng: 104.0406501)"/>
    <s v="SP-25-F0001501"/>
    <s v="RINI SRIWAHYUNI"/>
    <s v="BP 2212 IF"/>
    <x v="0"/>
    <s v="09.OLOAN"/>
    <s v="A"/>
    <n v="1"/>
    <s v="MH1JM8128PK498156"/>
    <s v="JM81E2501277"/>
    <s v="HONDA"/>
    <s v="BEAT"/>
    <s v="HITAM"/>
    <s v="JG"/>
    <s v="GAGAL BAYAR"/>
    <n v="4"/>
    <n v="18"/>
    <x v="20"/>
    <s v="COLL"/>
    <x v="0"/>
    <x v="0"/>
    <m/>
  </r>
  <r>
    <n v="392"/>
    <d v="2025-11-07T13:42:16"/>
    <s v="6f0ee670-8a9a-45ff-8c00-ca014f6aabeb"/>
    <s v="LatLng(lat: 1.1582788, lng: 104.0286967)"/>
    <s v="SP-25-F0000148"/>
    <s v="RAMZI"/>
    <s v="BP 3589 UF"/>
    <x v="0"/>
    <s v="04.RIZKI A"/>
    <s v="A"/>
    <n v="18"/>
    <s v="MH1JFZ214KK769177"/>
    <s v="JFZ2E1767998"/>
    <s v="HONDA"/>
    <s v="BEAT FI"/>
    <s v="HITAM"/>
    <s v="JG"/>
    <s v="BELUM JTO"/>
    <n v="10"/>
    <n v="12"/>
    <x v="18"/>
    <s v="COLL"/>
    <x v="0"/>
    <x v="0"/>
    <m/>
  </r>
  <r>
    <n v="393"/>
    <d v="2025-11-07T13:42:30"/>
    <s v="f0b79403-18b0-47dd-bacc-d76d9d60a28e"/>
    <s v="LatLng(lat: 1.1578283, lng: 104.0285317)"/>
    <s v="SP-25-F0000148"/>
    <s v="RAMZI"/>
    <s v="BP 3589 UF"/>
    <x v="0"/>
    <s v="04.RIZKI A"/>
    <s v="A"/>
    <n v="18"/>
    <s v="MH1JFZ214KK769177"/>
    <s v="JFZ2E1767998"/>
    <s v="HONDA"/>
    <s v="BEAT FI"/>
    <s v="HITAM"/>
    <s v="JG"/>
    <s v="BELUM JTO"/>
    <n v="10"/>
    <n v="12"/>
    <x v="24"/>
    <s v="COLL"/>
    <x v="0"/>
    <x v="0"/>
    <m/>
  </r>
  <r>
    <n v="394"/>
    <d v="2025-11-07T13:45:33"/>
    <s v="688868a7-408e-44ae-b238-348dfc1995b0"/>
    <s v="LatLng(lat: 1.1523415, lng: 104.0397195)"/>
    <s v="SP-25-F0001375"/>
    <s v="FIRDA AULIA PUTRI"/>
    <s v="BP 2757 J"/>
    <x v="6"/>
    <s v="C"/>
    <s v=" "/>
    <n v="14"/>
    <s v="MH1JM0218MK325921"/>
    <s v="JM02E1325551"/>
    <s v="HONDA"/>
    <s v="SCOOPY"/>
    <s v="HTAM"/>
    <s v="JG"/>
    <s v="BELUM JTO"/>
    <n v="6"/>
    <n v="12"/>
    <x v="14"/>
    <s v="COLL"/>
    <x v="0"/>
    <x v="0"/>
    <m/>
  </r>
  <r>
    <n v="395"/>
    <d v="2025-11-07T13:46:40"/>
    <s v="f0b79403-18b0-47dd-bacc-d76d9d60a28e"/>
    <s v="LatLng(lat: 1.1563467, lng: 104.02871)"/>
    <s v="SP-25-F0002310"/>
    <s v="RIFAI"/>
    <s v="BP 3887 HM"/>
    <x v="0"/>
    <s v="14.CALL CENTER"/>
    <s v=" "/>
    <n v="15"/>
    <s v="MH1JBP11XJK653790"/>
    <s v="JBP1E1654021"/>
    <s v="HONDA"/>
    <s v="SUPRA X 125"/>
    <s v="MERAH-HITAM"/>
    <s v="JG"/>
    <s v="BELUM JTO"/>
    <n v="2"/>
    <n v="18"/>
    <x v="24"/>
    <s v="COLL"/>
    <x v="0"/>
    <x v="0"/>
    <m/>
  </r>
  <r>
    <n v="396"/>
    <d v="2025-11-07T13:47:26"/>
    <s v="86afd147-8c0b-48e4-aaf8-44ad72c52985"/>
    <s v="LatLng(lat: 1.1536953, lng: 104.0394315)"/>
    <s v="OD-25-F0001667"/>
    <s v="JIMI REGE"/>
    <s v="BP 3134 RH"/>
    <x v="0"/>
    <s v="14.CALL CENTER"/>
    <s v=" "/>
    <n v="9"/>
    <s v="MH1JM8111NK871428"/>
    <s v="JM81E1873173"/>
    <s v="HONDA"/>
    <s v="BEAT"/>
    <s v="MERAH HITAM"/>
    <s v="JG"/>
    <s v="BELUM JTO"/>
    <n v="2"/>
    <n v="18"/>
    <x v="15"/>
    <s v="COLL"/>
    <x v="0"/>
    <x v="0"/>
    <m/>
  </r>
  <r>
    <n v="397"/>
    <d v="2025-11-07T13:52:47"/>
    <s v="551fa799-4956-44f4-9122-ea915d0399f1"/>
    <s v="LatLng(lat: 1.16502, lng: 104.0356317)"/>
    <s v="OD-24-F0002536"/>
    <s v="YOPI MAILULU"/>
    <s v="BP 2952 RP"/>
    <x v="0"/>
    <s v="04.RIZKI A"/>
    <s v="A"/>
    <n v="7"/>
    <s v="MH1JM8213PK891374"/>
    <s v="JM82E1891095"/>
    <s v="HONDA"/>
    <s v="BEAT"/>
    <s v="SILVER"/>
    <s v="JG"/>
    <s v="BELUM JTO"/>
    <n v="14"/>
    <n v="24"/>
    <x v="12"/>
    <s v="COLL"/>
    <x v="0"/>
    <x v="0"/>
    <m/>
  </r>
  <r>
    <n v="398"/>
    <d v="2025-11-07T13:55:48"/>
    <s v="551fa799-4956-44f4-9122-ea915d0399f1"/>
    <s v="LatLng(lat: 1.1656783, lng: 104.0373533)"/>
    <s v="SP-25-F0000498"/>
    <s v="WAHYU RAMADHAN"/>
    <s v="BP 4536 HH"/>
    <x v="0"/>
    <s v="06.ROBEN"/>
    <s v="A"/>
    <n v="1"/>
    <s v="MH1JM0315RK740202"/>
    <s v="JM03E1740226"/>
    <s v="HONDA"/>
    <s v="SCOOPY NON KEYLESS"/>
    <s v="SILVER-HITAM"/>
    <s v="JG"/>
    <s v="GAGAL BAYAR"/>
    <n v="8"/>
    <n v="12"/>
    <x v="12"/>
    <s v="COLL"/>
    <x v="0"/>
    <x v="0"/>
    <m/>
  </r>
  <r>
    <n v="399"/>
    <d v="2025-11-07T14:02:43"/>
    <s v="1770dac3-81ca-4fab-8a6a-e60c63470def"/>
    <s v="LatLng(lat: 1.1517097, lng: 104.0392565)"/>
    <s v="OD-24-F0003352"/>
    <s v="ANWAR JANISAR"/>
    <s v="BP 3265 AQ"/>
    <x v="0"/>
    <s v="04.RIZKI A"/>
    <s v="A"/>
    <n v="5"/>
    <s v="MH1JBK315JK229837"/>
    <s v="JBK3E1228227"/>
    <s v="HONDA"/>
    <s v="REVO X"/>
    <s v="PUTIH"/>
    <s v="JG"/>
    <s v="DONE"/>
    <n v="11"/>
    <n v="12"/>
    <x v="21"/>
    <s v="COLL"/>
    <x v="0"/>
    <x v="0"/>
    <m/>
  </r>
  <r>
    <n v="400"/>
    <d v="2025-11-07T14:04:06"/>
    <s v="3677fb97-4982-45ef-bdd0-66ca3ee452fd"/>
    <s v="LatLng(lat: 1.0422297, lng: 103.9787609)"/>
    <s v="OD-25-F0001261"/>
    <s v="MOHAMAD ALI"/>
    <s v="BP 2074 OC"/>
    <x v="0"/>
    <s v="13.WILFRIN"/>
    <s v="A"/>
    <n v="21"/>
    <s v="MH1KF1112FK075360"/>
    <s v="KF11E1079209"/>
    <s v="HONDA"/>
    <s v="VARIO 150 ESP"/>
    <s v="HITAM"/>
    <s v="JG"/>
    <s v="BELUM JTO"/>
    <n v="5"/>
    <n v="6"/>
    <x v="40"/>
    <s v="COLL"/>
    <x v="0"/>
    <x v="0"/>
    <m/>
  </r>
  <r>
    <n v="401"/>
    <d v="2025-11-07T14:04:17"/>
    <s v="3677fb97-4982-45ef-bdd0-66ca3ee452fd"/>
    <s v="LatLng(lat: 1.0422297, lng: 103.9787609)"/>
    <s v="OD-25-F0000180"/>
    <s v="SUPADI"/>
    <s v="BP 2588 RE"/>
    <x v="0"/>
    <s v="13.WILFRIN"/>
    <s v="A"/>
    <n v="18"/>
    <s v="MH1KCD111NK010671"/>
    <s v="KCD1E1010736"/>
    <s v="HONDA"/>
    <s v="CB 150 R"/>
    <s v="HITAM"/>
    <s v="JG"/>
    <s v="BELUM JTO"/>
    <n v="10"/>
    <n v="18"/>
    <x v="40"/>
    <s v="COLL"/>
    <x v="0"/>
    <x v="0"/>
    <m/>
  </r>
  <r>
    <n v="402"/>
    <d v="2025-11-07T14:05:24"/>
    <s v="551fa799-4956-44f4-9122-ea915d0399f1"/>
    <s v="LatLng(lat: 1.1664026, lng: 104.0381239)"/>
    <s v="SP-24-F0002786"/>
    <s v="IMUS"/>
    <s v="BP 6025 HE"/>
    <x v="0"/>
    <s v="04.RIZKI A"/>
    <s v="A"/>
    <n v="1"/>
    <s v="MH8DL23ANHJ121827"/>
    <s v="CGA2ID121828"/>
    <s v="SUZUKI"/>
    <s v="GSX"/>
    <s v="HITAM"/>
    <s v="JG"/>
    <s v="GAGAL BAYAR"/>
    <n v="10"/>
    <n v="12"/>
    <x v="12"/>
    <s v="COLL"/>
    <x v="0"/>
    <x v="0"/>
    <m/>
  </r>
  <r>
    <n v="403"/>
    <d v="2025-11-07T14:10:32"/>
    <s v="1770dac3-81ca-4fab-8a6a-e60c63470def"/>
    <s v="LatLng(lat: 1.1517182, lng: 104.0384896)"/>
    <s v="OD-24-F0003104"/>
    <s v="EKO WAHYUDI"/>
    <s v="BP 4816 AI"/>
    <x v="0"/>
    <s v="05.BOSPA"/>
    <s v="A"/>
    <n v="8"/>
    <s v="MH3SG5620MK439306"/>
    <s v="G3L8E0857116"/>
    <s v="YAMAHA"/>
    <s v="NMAX"/>
    <s v="BIRU"/>
    <s v="JG"/>
    <s v="BELUM JTO"/>
    <n v="12"/>
    <n v="24"/>
    <x v="21"/>
    <s v="COLL"/>
    <x v="0"/>
    <x v="0"/>
    <m/>
  </r>
  <r>
    <n v="404"/>
    <d v="2025-11-07T14:10:39"/>
    <s v="51f658db-9885-4d52-99bd-8e1bf0356977"/>
    <s v="LatLng(lat: 1.1518171, lng: 104.0384363)"/>
    <s v="OD-24-F0003104"/>
    <s v="EKO WAHYUDI"/>
    <s v="BP 4816 AI"/>
    <x v="0"/>
    <s v="05.BOSPA"/>
    <s v="A"/>
    <n v="8"/>
    <s v="MH3SG5620MK439306"/>
    <s v="G3L8E0857116"/>
    <s v="YAMAHA"/>
    <s v="NMAX"/>
    <s v="BIRU"/>
    <s v="JG"/>
    <s v="BELUM JTO"/>
    <n v="12"/>
    <n v="24"/>
    <x v="19"/>
    <s v="COLL"/>
    <x v="0"/>
    <x v="0"/>
    <m/>
  </r>
  <r>
    <n v="405"/>
    <d v="2025-11-07T14:16:45"/>
    <s v="6d21de4b-42fc-49f2-86f3-40a2a9759695"/>
    <s v="LatLng(lat: 0.9166492, lng: 104.5047425)"/>
    <s v="TP-23-F0000399"/>
    <s v="EDWAR PRIYANTO"/>
    <s v="BP 4599 BU"/>
    <x v="0"/>
    <s v="02.REY"/>
    <s v="A"/>
    <n v="22"/>
    <s v="MH3SG5620LJ088177"/>
    <s v="G3L8E0097380"/>
    <s v="YAMAHA"/>
    <s v="ALL NEW NMAX"/>
    <s v="BIRU"/>
    <s v="JG"/>
    <s v="BELUM JTO"/>
    <n v="28"/>
    <n v="36"/>
    <x v="0"/>
    <s v="COLL"/>
    <x v="0"/>
    <x v="0"/>
    <m/>
  </r>
  <r>
    <n v="406"/>
    <d v="2025-11-07T14:17:48"/>
    <s v="6d21de4b-42fc-49f2-86f3-40a2a9759695"/>
    <s v="LatLng(lat: 0.9167917, lng: 104.5085682)"/>
    <s v="TP-25-F0000567"/>
    <s v="ZAMZAMI"/>
    <s v="BP 4282 AT"/>
    <x v="7"/>
    <s v="SATRIA"/>
    <s v=" "/>
    <n v="6"/>
    <s v="MH3SG3110HK078651"/>
    <s v="G3E4E0411227"/>
    <s v="YAMAHA"/>
    <s v="NMAX"/>
    <s v="HITAM"/>
    <s v="JG"/>
    <s v="GAGAL BAYAR"/>
    <n v="2"/>
    <n v="12"/>
    <x v="0"/>
    <s v="COLL"/>
    <x v="8"/>
    <x v="0"/>
    <m/>
  </r>
  <r>
    <n v="407"/>
    <d v="2025-11-07T14:21:53"/>
    <s v="66338f6f-6199-47e8-8fc9-c871a18b6d2c"/>
    <s v="LatLng(lat: 1.0448391, lng: 104.051753)"/>
    <s v="SP-25-F0000509"/>
    <s v="DEDE SULAIMAN"/>
    <s v="BP 2737 QF"/>
    <x v="0"/>
    <s v="03.DAULAT"/>
    <s v="D"/>
    <n v="5"/>
    <s v="MH1KB1116GK062947"/>
    <s v="KB11E1062194"/>
    <s v="HONDA"/>
    <s v="SONIC"/>
    <s v="PINK PUTIH"/>
    <s v="JG"/>
    <s v="GAGAL BAYAR"/>
    <n v="8"/>
    <n v="12"/>
    <x v="30"/>
    <s v="COLL"/>
    <x v="0"/>
    <x v="0"/>
    <m/>
  </r>
  <r>
    <n v="408"/>
    <d v="2025-11-07T14:25:56"/>
    <s v="6d21de4b-42fc-49f2-86f3-40a2a9759695"/>
    <s v="LatLng(lat: 0.9168481, lng: 104.5085865)"/>
    <s v="TP-25-F0000347"/>
    <s v="LASMAIDA. S"/>
    <s v="BP 3272 PQ"/>
    <x v="0"/>
    <s v="02.REY"/>
    <s v="A"/>
    <n v="9"/>
    <s v="MH1KF0110PK312844"/>
    <s v="KF01E1312785"/>
    <s v="HONDA"/>
    <s v="VARIO 160"/>
    <s v="HITAM"/>
    <s v="JG"/>
    <s v="BELUM JTO"/>
    <n v="6"/>
    <n v="24"/>
    <x v="0"/>
    <s v="COLL"/>
    <x v="0"/>
    <x v="0"/>
    <m/>
  </r>
  <r>
    <n v="409"/>
    <d v="2025-11-07T14:26:42"/>
    <s v="702dc462-24c0-4894-b1c2-8bb9fe7a2806"/>
    <s v="LatLng(lat: 1.1594669, lng: 104.0326188)"/>
    <s v="SP-25-F0002415"/>
    <s v="AHMAD YANI"/>
    <s v="BP 3132 RC"/>
    <x v="0"/>
    <s v="05.BOSPA"/>
    <s v=" "/>
    <n v="26"/>
    <s v="MH1JMB114NK027672"/>
    <s v="JMB1E1027736"/>
    <s v="HONDA"/>
    <s v="GENIO"/>
    <s v="COKLAT"/>
    <s v="JG"/>
    <s v="BELUM JTO"/>
    <n v="2"/>
    <n v="6"/>
    <x v="36"/>
    <s v="COLL"/>
    <x v="0"/>
    <x v="0"/>
    <m/>
  </r>
  <r>
    <n v="410"/>
    <d v="2025-11-07T14:28:25"/>
    <s v="702dc462-24c0-4894-b1c2-8bb9fe7a2806"/>
    <s v="LatLng(lat: 1.1594606, lng: 104.0326322)"/>
    <s v="OD-25-F0001344"/>
    <s v="RISKA SAFITRI"/>
    <s v="BP 6513 CG"/>
    <x v="0"/>
    <s v="14.CALL CENTER"/>
    <s v="A"/>
    <n v="11"/>
    <s v="MJAP17MP3PJ100021"/>
    <s v="KV249FMMR1001592"/>
    <s v="BENELLI"/>
    <s v="KEEWAY SCR 250"/>
    <s v="ABU-ABU"/>
    <s v="JG"/>
    <s v="BELUM JTO"/>
    <n v="4"/>
    <n v="24"/>
    <x v="36"/>
    <s v="COLL"/>
    <x v="0"/>
    <x v="0"/>
    <m/>
  </r>
  <r>
    <n v="411"/>
    <d v="2025-11-07T14:29:27"/>
    <s v="5d155998-3b32-426c-9f80-9898af00922a"/>
    <s v="LatLng(lat: 1.1684209, lng: 104.0321864)"/>
    <s v="SP-25-F0002054"/>
    <s v="SONIMANTIK IBI"/>
    <s v="BP 2766 AE"/>
    <x v="0"/>
    <s v="14.CALL CENTER"/>
    <s v="A"/>
    <n v="14"/>
    <s v="MH1JFZ134KK081571"/>
    <s v="JFZ1E3084782"/>
    <s v="HONDA"/>
    <s v="BEAT"/>
    <s v="PUTIH"/>
    <s v="JG"/>
    <s v="BELUM JTO"/>
    <n v="3"/>
    <n v="12"/>
    <x v="4"/>
    <s v="COLL"/>
    <x v="0"/>
    <x v="0"/>
    <m/>
  </r>
  <r>
    <n v="412"/>
    <d v="2025-11-07T14:30:46"/>
    <s v="3677fb97-4982-45ef-bdd0-66ca3ee452fd"/>
    <s v="LatLng(lat: 1.0422314, lng: 103.9783982)"/>
    <s v="SP-25-F0000509"/>
    <s v="DEDE SULAIMAN"/>
    <s v="BP 2737 QF"/>
    <x v="0"/>
    <s v="03.DAULAT"/>
    <s v="D"/>
    <n v="5"/>
    <s v="MH1KB1116GK062947"/>
    <s v="KB11E1062194"/>
    <s v="HONDA"/>
    <s v="SONIC"/>
    <s v="PINK PUTIH"/>
    <s v="JG"/>
    <s v="GAGAL BAYAR"/>
    <n v="8"/>
    <n v="12"/>
    <x v="40"/>
    <s v="COLL"/>
    <x v="0"/>
    <x v="0"/>
    <m/>
  </r>
  <r>
    <n v="413"/>
    <d v="2025-11-07T14:37:06"/>
    <s v="a4f24bfd-45be-407a-a9ce-5da8e226108b"/>
    <s v="LatLng(lat: 1.1436449, lng: 104.0289937)"/>
    <s v="OD-24-F0001584"/>
    <s v="MUHAMMAD IKBAL"/>
    <s v="BP 2746 HF"/>
    <x v="1"/>
    <s v="PAUL"/>
    <s v=" "/>
    <n v="13"/>
    <s v="MH1JM1113JK699243"/>
    <s v="JM11E1685593"/>
    <s v="HONDA"/>
    <s v="BEAT"/>
    <s v="MERAH-PUTIH"/>
    <s v="JG"/>
    <s v="GAGAL BAYAR"/>
    <n v="7"/>
    <n v="24"/>
    <x v="2"/>
    <s v="COLL"/>
    <x v="1"/>
    <x v="0"/>
    <m/>
  </r>
  <r>
    <n v="414"/>
    <d v="2025-11-07T14:37:11"/>
    <s v="fced54d3-7c26-48e8-91fe-7d7236e7f959"/>
    <s v="LatLng(lat: 1.0490405, lng: 103.9355417)"/>
    <s v="OD-24-F0001584"/>
    <s v="MUHAMMAD IKBAL"/>
    <s v="BP 2746 HF"/>
    <x v="1"/>
    <s v="PAUL"/>
    <s v=" "/>
    <n v="13"/>
    <s v="MH1JM1113JK699243"/>
    <s v="JM11E1685593"/>
    <s v="HONDA"/>
    <s v="BEAT"/>
    <s v="MERAH-PUTIH"/>
    <s v="JG"/>
    <s v="GAGAL BAYAR"/>
    <n v="7"/>
    <n v="24"/>
    <x v="10"/>
    <s v="COLL"/>
    <x v="1"/>
    <x v="0"/>
    <m/>
  </r>
  <r>
    <n v="415"/>
    <d v="2025-11-07T14:45:34"/>
    <s v="51f658db-9885-4d52-99bd-8e1bf0356977"/>
    <s v="LatLng(lat: 1.1693042, lng: 104.0336681)"/>
    <s v="OD-24-F0002485"/>
    <s v="FITRIANI"/>
    <s v="BP 3933 UQ"/>
    <x v="0"/>
    <s v="04.RIZKI A"/>
    <s v="A"/>
    <n v="4"/>
    <s v="MH1JM911XMK911610"/>
    <s v="JM91E1911310"/>
    <s v="HONDA"/>
    <s v="BEAT"/>
    <s v="HITAM"/>
    <s v="JG"/>
    <s v="GAGAL BAYAR"/>
    <n v="14"/>
    <n v="24"/>
    <x v="19"/>
    <s v="COLL"/>
    <x v="0"/>
    <x v="0"/>
    <m/>
  </r>
  <r>
    <n v="416"/>
    <d v="2025-11-07T14:45:38"/>
    <s v="b5e5eb90-c13c-42f2-8aa6-fb5964b939de"/>
    <s v="LatLng(lat: 1.1694969, lng: 104.0336895)"/>
    <s v="OD-24-F0002485"/>
    <s v="FITRIANI"/>
    <s v="BP 3933 UQ"/>
    <x v="0"/>
    <s v="04.RIZKI A"/>
    <s v="A"/>
    <n v="4"/>
    <s v="MH1JM911XMK911610"/>
    <s v="JM91E1911310"/>
    <s v="HONDA"/>
    <s v="BEAT"/>
    <s v="HITAM"/>
    <s v="JG"/>
    <s v="GAGAL BAYAR"/>
    <n v="14"/>
    <n v="24"/>
    <x v="25"/>
    <s v="COLL"/>
    <x v="0"/>
    <x v="0"/>
    <m/>
  </r>
  <r>
    <n v="417"/>
    <d v="2025-11-07T14:47:04"/>
    <s v="51f658db-9885-4d52-99bd-8e1bf0356977"/>
    <s v="LatLng(lat: 1.1700047, lng: 104.0341003)"/>
    <s v="SP-25-F0002063"/>
    <s v="TARISA BUTAR-BUTAR"/>
    <s v="BP 3562 UR"/>
    <x v="0"/>
    <s v="04.RIZKI A"/>
    <s v="A"/>
    <n v="16"/>
    <s v="MH1JM4119LK621165"/>
    <s v="JM41E1620967"/>
    <s v="HONDA"/>
    <s v="VARIO 125"/>
    <s v="MERAH"/>
    <s v="JG"/>
    <s v="BELUM JTO"/>
    <n v="3"/>
    <n v="24"/>
    <x v="19"/>
    <s v="COLL"/>
    <x v="0"/>
    <x v="0"/>
    <m/>
  </r>
  <r>
    <n v="418"/>
    <d v="2025-11-07T14:48:08"/>
    <s v="6d21de4b-42fc-49f2-86f3-40a2a9759695"/>
    <s v="LatLng(lat: 0.9174521, lng: 104.5041786)"/>
    <s v="TP-25-F0000030"/>
    <s v="FERRIL WILIANZA"/>
    <s v="BP 2935 AW"/>
    <x v="3"/>
    <s v="SATRIA"/>
    <s v=" "/>
    <n v="10"/>
    <s v="MH1KC8112GK143904"/>
    <s v="KC81E1141312"/>
    <s v="HONDA"/>
    <s v="CBR 150"/>
    <s v="HITAM"/>
    <s v="JG"/>
    <s v="STAY"/>
    <n v="8"/>
    <n v="18"/>
    <x v="0"/>
    <s v="COLL"/>
    <x v="0"/>
    <x v="0"/>
    <m/>
  </r>
  <r>
    <n v="419"/>
    <d v="2025-11-07T14:55:20"/>
    <s v="5d155998-3b32-426c-9f80-9898af00922a"/>
    <s v="LatLng(lat: 1.1687595, lng: 104.0335489)"/>
    <s v="OD-24-F0002485"/>
    <s v="FITRIANI"/>
    <s v="BP 3933 UQ"/>
    <x v="0"/>
    <s v="04.RIZKI A"/>
    <s v="A"/>
    <n v="4"/>
    <s v="MH1JM911XMK911610"/>
    <s v="JM91E1911310"/>
    <s v="HONDA"/>
    <s v="BEAT"/>
    <s v="HITAM"/>
    <s v="JG"/>
    <s v="GAGAL BAYAR"/>
    <n v="14"/>
    <n v="24"/>
    <x v="4"/>
    <s v="COLL"/>
    <x v="0"/>
    <x v="0"/>
    <m/>
  </r>
  <r>
    <n v="420"/>
    <d v="2025-11-07T15:04:12"/>
    <s v="78c8aa58-d259-49a1-a96c-192417985ecf"/>
    <s v="LatLng(lat: 1.1575454, lng: 104.0271345)"/>
    <s v="OD-24-F0001729"/>
    <s v="KRISTIANI PANDIANGAN"/>
    <s v="BP 4194 QD"/>
    <x v="1"/>
    <s v="PAUL"/>
    <s v=" "/>
    <n v="25"/>
    <s v="MH3RG4110GK022815"/>
    <s v="G3H2E0022835"/>
    <s v="YAMAHA"/>
    <s v="R15"/>
    <s v="BIRU"/>
    <s v="JG"/>
    <s v="GAGAL BAYAR"/>
    <n v="10"/>
    <n v="18"/>
    <x v="16"/>
    <s v="COLL"/>
    <x v="15"/>
    <x v="0"/>
    <m/>
  </r>
  <r>
    <n v="421"/>
    <d v="2025-11-07T15:23:35"/>
    <s v="688868a7-408e-44ae-b238-348dfc1995b0"/>
    <s v="LatLng(lat: 1.1542549, lng: 104.0271637)"/>
    <s v="OD-25-F0000148"/>
    <s v="NASRUDDIN"/>
    <s v="BP 2912 UH"/>
    <x v="1"/>
    <s v="MARTIN"/>
    <s v=" "/>
    <n v="16"/>
    <s v="MH1KF4111KK713903"/>
    <s v="KF41E1716496"/>
    <s v="HONDA"/>
    <s v="VARIO"/>
    <s v="SILVER"/>
    <s v="JG"/>
    <s v="GAGAL BAYAR"/>
    <n v="3"/>
    <n v="30"/>
    <x v="14"/>
    <s v="COLL"/>
    <x v="4"/>
    <x v="1"/>
    <s v="UNIT DI DETECT DAN RUPANYA UNIT ID EKSEKUSI LAUNSG DI AMANKAN OLEH PIC RISKY ANDERSON, NAH RUPANYA BAN MARTIN MITORNT TERTHAN DAN SUDHA AMAN SMEUANAY DAN UNIT BERHAISL DI EKSEKUSI"/>
  </r>
  <r>
    <n v="422"/>
    <d v="2025-11-07T15:37:34"/>
    <s v="86afd147-8c0b-48e4-aaf8-44ad72c52985"/>
    <s v="LatLng(lat: 1.1614054, lng: 104.042475)"/>
    <s v="OD-24-F0002542"/>
    <s v="HENDRA SAPUTRA"/>
    <s v="BP 5153 AF"/>
    <x v="0"/>
    <s v="06.ROBEN"/>
    <s v="A"/>
    <n v="7"/>
    <s v="MH3SG3190KK610480"/>
    <s v="G3E4E1494375"/>
    <s v="YAMAHA"/>
    <s v="NMAX"/>
    <s v="ABU-ABU"/>
    <s v="JG"/>
    <s v="BELUM JTO"/>
    <n v="14"/>
    <n v="30"/>
    <x v="15"/>
    <s v="COLL"/>
    <x v="0"/>
    <x v="0"/>
    <m/>
  </r>
  <r>
    <n v="423"/>
    <d v="2025-11-07T15:44:39"/>
    <s v="5d155998-3b32-426c-9f80-9898af00922a"/>
    <s v="LatLng(lat: 1.1597651, lng: 104.0390496)"/>
    <s v="SP-25-F0001533"/>
    <s v="WAGIMAN USMAN"/>
    <s v="BP 2616 QM"/>
    <x v="0"/>
    <s v="09.OLOAN"/>
    <s v="A"/>
    <n v="5"/>
    <s v="MH1JFZ119GK333031"/>
    <s v="JFZ1E1342428"/>
    <s v="HONDA"/>
    <s v="BEAT FI"/>
    <s v="HITAM"/>
    <s v="JG"/>
    <s v="GAGAL BAYAR"/>
    <n v="4"/>
    <n v="18"/>
    <x v="4"/>
    <s v="COLL"/>
    <x v="0"/>
    <x v="0"/>
    <m/>
  </r>
  <r>
    <n v="424"/>
    <d v="2025-11-07T15:47:39"/>
    <s v="e0d931cf-6e64-4a91-a81a-04cf02d33a39"/>
    <s v="LatLng(lat: 1.1521233, lng: 104.03958)"/>
    <s v="SP-25-F0001375"/>
    <s v="FIRDA AULIA PUTRI"/>
    <s v="BP 2757 J"/>
    <x v="6"/>
    <s v="C"/>
    <s v=" "/>
    <n v="14"/>
    <s v="MH1JM0218MK325921"/>
    <s v="JM02E1325551"/>
    <s v="HONDA"/>
    <s v="SCOOPY"/>
    <s v="HTAM"/>
    <s v="JG"/>
    <s v="BELUM JTO"/>
    <n v="6"/>
    <n v="12"/>
    <x v="13"/>
    <s v="COLL"/>
    <x v="0"/>
    <x v="0"/>
    <m/>
  </r>
  <r>
    <n v="425"/>
    <d v="2025-11-07T15:51:03"/>
    <s v="e0d931cf-6e64-4a91-a81a-04cf02d33a39"/>
    <s v="LatLng(lat: 1.1481, lng: 104.037705)"/>
    <s v="SP-25-F0000152"/>
    <s v="NUR KURNIA DEWI"/>
    <s v="BP 4521 AE"/>
    <x v="0"/>
    <s v="14.CALL CENTER"/>
    <s v="A"/>
    <n v="18"/>
    <s v="MH3SG3190KJ835328"/>
    <s v="G3E4E1810199"/>
    <s v="YAMAHA"/>
    <s v="NMAX ABS"/>
    <s v="HITAM"/>
    <s v="JG"/>
    <s v="BELUM JTO"/>
    <n v="10"/>
    <n v="24"/>
    <x v="13"/>
    <s v="COLL"/>
    <x v="0"/>
    <x v="0"/>
    <m/>
  </r>
  <r>
    <n v="426"/>
    <d v="2025-11-07T15:51:36"/>
    <s v="6d21de4b-42fc-49f2-86f3-40a2a9759695"/>
    <s v="LatLng(lat: 0.9167004, lng: 104.5092175)"/>
    <s v="TP-24-F0000341"/>
    <s v="YATNA KUSUMAH"/>
    <s v="BP 2965 PP"/>
    <x v="0"/>
    <s v="02.REY"/>
    <s v="A"/>
    <n v="5"/>
    <s v="MH1JM8216NK684202"/>
    <s v="JM82E1682307"/>
    <s v="HONDA"/>
    <s v="BEAT STREET"/>
    <s v="HITAM"/>
    <s v="JG"/>
    <s v="GAGAL BAYAR"/>
    <n v="16"/>
    <n v="24"/>
    <x v="0"/>
    <s v="COLL"/>
    <x v="0"/>
    <x v="0"/>
    <m/>
  </r>
  <r>
    <n v="427"/>
    <d v="2025-11-07T15:53:23"/>
    <s v="65c1341a-686d-45fb-810f-7b8814abe13f"/>
    <s v="LatLng(lat: 1.1540183, lng: 104.0270725)"/>
    <s v="OD-25-F0000148"/>
    <s v="NASRUDDIN"/>
    <s v="BP 2912 UH"/>
    <x v="1"/>
    <s v="MARTIN"/>
    <s v=" "/>
    <n v="16"/>
    <s v="MH1KF4111KK713903"/>
    <s v="KF41E1716496"/>
    <s v="HONDA"/>
    <s v="VARIO"/>
    <s v="SILVER"/>
    <s v="JG"/>
    <s v="GAGAL BAYAR"/>
    <n v="3"/>
    <n v="30"/>
    <x v="23"/>
    <s v="COLL"/>
    <x v="16"/>
    <x v="1"/>
    <m/>
  </r>
  <r>
    <n v="428"/>
    <d v="2025-11-07T15:57:34"/>
    <s v="f0b79403-18b0-47dd-bacc-d76d9d60a28e"/>
    <s v="LatLng(lat: 1.1600484, lng: 104.0361453)"/>
    <s v="SP-25-F0001531"/>
    <s v="YULIARDI"/>
    <s v="BP 3041 UC"/>
    <x v="0"/>
    <s v="04.RIZKI A"/>
    <s v="A"/>
    <n v="3"/>
    <s v="MH1JM3130LK768115"/>
    <s v="JM31E3765206"/>
    <s v="HONDA"/>
    <s v="SCOOPY NON KEYLESS"/>
    <s v="COKLAT HITAM"/>
    <s v="JG"/>
    <s v="GAGAL BAYAR"/>
    <n v="4"/>
    <n v="18"/>
    <x v="24"/>
    <s v="COLL"/>
    <x v="0"/>
    <x v="0"/>
    <m/>
  </r>
  <r>
    <n v="429"/>
    <d v="2025-11-07T15:57:48"/>
    <s v="78c8aa58-d259-49a1-a96c-192417985ecf"/>
    <s v="LatLng(lat: 1.1535265, lng: 104.0257613)"/>
    <s v="OD-25-F0000969"/>
    <s v="MUHIDIN BAKIR"/>
    <s v="BP 4071 CM"/>
    <x v="7"/>
    <s v="MARTIN"/>
    <s v=" "/>
    <n v="24"/>
    <s v="MH3RG4710JK060468"/>
    <s v="G3J6E018978"/>
    <s v="YAMAHA"/>
    <s v="R15"/>
    <s v="KUNING"/>
    <s v="JG"/>
    <s v="GAGAL BAYAR"/>
    <n v="6"/>
    <n v="24"/>
    <x v="16"/>
    <s v="COLL"/>
    <x v="15"/>
    <x v="0"/>
    <m/>
  </r>
  <r>
    <n v="430"/>
    <d v="2025-11-07T16:16:47"/>
    <s v="551fa799-4956-44f4-9122-ea915d0399f1"/>
    <s v="LatLng(lat: 1.1601932, lng: 104.0359924)"/>
    <s v="SP-25-F0002485"/>
    <s v="PARYONO"/>
    <s v="BP 3470 RC"/>
    <x v="0"/>
    <s v="14.CALL CENTER"/>
    <s v=" "/>
    <n v="6"/>
    <s v="MH1JM8212NK584498"/>
    <s v="JM82E1582505"/>
    <s v="HONDA"/>
    <s v="BEAT STREET"/>
    <s v="HITAM"/>
    <s v="JG"/>
    <s v="DONE"/>
    <n v="1"/>
    <n v="12"/>
    <x v="12"/>
    <s v="COLL"/>
    <x v="0"/>
    <x v="0"/>
    <m/>
  </r>
  <r>
    <n v="431"/>
    <d v="2025-11-07T16:18:29"/>
    <s v="551fa799-4956-44f4-9122-ea915d0399f1"/>
    <s v="LatLng(lat: 1.160094, lng: 104.0360543)"/>
    <s v="SP-25-F0001533"/>
    <s v="WAGIMAN USMAN"/>
    <s v="BP 2616 QM"/>
    <x v="0"/>
    <s v="09.OLOAN"/>
    <s v="A"/>
    <n v="5"/>
    <s v="MH1JFZ119GK333031"/>
    <s v="JFZ1E1342428"/>
    <s v="HONDA"/>
    <s v="BEAT FI"/>
    <s v="HITAM"/>
    <s v="JG"/>
    <s v="GAGAL BAYAR"/>
    <n v="4"/>
    <n v="18"/>
    <x v="12"/>
    <s v="COLL"/>
    <x v="0"/>
    <x v="0"/>
    <m/>
  </r>
  <r>
    <n v="432"/>
    <d v="2025-11-07T16:29:10"/>
    <s v="74bb1709-aa7b-4b41-a082-a2af867fd15e"/>
    <s v="LatLng(lat: 1.1600983, lng: 104.03587)"/>
    <s v="SP-25-F0001533"/>
    <s v="WAGIMAN USMAN"/>
    <s v="BP 2616 QM"/>
    <x v="0"/>
    <s v="09.OLOAN"/>
    <s v="A"/>
    <n v="5"/>
    <s v="MH1JFZ119GK333031"/>
    <s v="JFZ1E1342428"/>
    <s v="HONDA"/>
    <s v="BEAT FI"/>
    <s v="HITAM"/>
    <s v="JG"/>
    <s v="GAGAL BAYAR"/>
    <n v="4"/>
    <n v="18"/>
    <x v="7"/>
    <s v="COLL"/>
    <x v="0"/>
    <x v="0"/>
    <m/>
  </r>
  <r>
    <n v="433"/>
    <d v="2025-11-07T16:29:24"/>
    <s v="e4173dd7-6d58-43a6-8f0e-8ad94c7a888a"/>
    <s v="LatLng(lat: 1.1601762, lng: 104.0358992)"/>
    <s v="SP-25-F0001533"/>
    <s v="WAGIMAN USMAN"/>
    <s v="BP 2616 QM"/>
    <x v="0"/>
    <s v="09.OLOAN"/>
    <s v="A"/>
    <n v="5"/>
    <s v="MH1JFZ119GK333031"/>
    <s v="JFZ1E1342428"/>
    <s v="HONDA"/>
    <s v="BEAT FI"/>
    <s v="HITAM"/>
    <s v="JG"/>
    <s v="GAGAL BAYAR"/>
    <n v="4"/>
    <n v="18"/>
    <x v="29"/>
    <s v="COLL"/>
    <x v="0"/>
    <x v="0"/>
    <m/>
  </r>
  <r>
    <n v="434"/>
    <d v="2025-11-07T16:53:09"/>
    <s v="3841b94e-9a4f-4b53-a473-36560f4d9a4f"/>
    <s v="LatLng(lat: 1.1083752, lng: 103.9655811)"/>
    <s v="OD-24-F0003155"/>
    <s v="FRITI PURNAMA SARI SIHOLE"/>
    <s v="BP 5631 OE"/>
    <x v="0"/>
    <s v="14.CALL CENTER"/>
    <s v="A"/>
    <n v="13"/>
    <s v="MH33C1205FK234168"/>
    <s v="3C11233853"/>
    <s v="YAMAHA"/>
    <s v="VIXION"/>
    <s v="MERAH MARUN"/>
    <s v="JG"/>
    <s v="BELUM JTO"/>
    <n v="12"/>
    <n v="18"/>
    <x v="39"/>
    <s v="COLL"/>
    <x v="0"/>
    <x v="0"/>
    <m/>
  </r>
  <r>
    <n v="435"/>
    <d v="2025-11-07T17:13:32"/>
    <s v="3be3f0c1-373f-4a45-946b-0ab494863da5"/>
    <s v="LatLng(lat: 1.0894967, lng: 104.0342067)"/>
    <s v="OD-24-F0003151"/>
    <s v="MUHAROM ANTON WIJAYA"/>
    <s v="BP 5894 QE"/>
    <x v="0"/>
    <s v="14.CALL CENTER"/>
    <s v="A"/>
    <n v="13"/>
    <s v="MH3SE9010HJ281420"/>
    <s v="E3R4E0380162"/>
    <s v="YAMAHA"/>
    <s v="SOUL GT"/>
    <s v="ABU ABU"/>
    <s v="JG"/>
    <s v="BELUM JTO"/>
    <n v="12"/>
    <n v="24"/>
    <x v="17"/>
    <s v="COLL"/>
    <x v="1"/>
    <x v="0"/>
    <m/>
  </r>
  <r>
    <n v="436"/>
    <d v="2025-11-07T17:26:54"/>
    <s v="0787ea2f-240f-4392-bead-e10cba282613"/>
    <s v="LatLng(lat: 1.0335184, lng: 103.9589666)"/>
    <s v="SP-25-F0001138"/>
    <s v="TUTI KARTISA"/>
    <s v="BP 2312 HM"/>
    <x v="7"/>
    <s v="EVENDI"/>
    <s v=" "/>
    <n v="20"/>
    <s v="MH1KF4114JK136833"/>
    <s v="KF41E1137602"/>
    <s v="HONDA"/>
    <s v="VARIO 150 KEYLESS"/>
    <s v="MERAH"/>
    <s v="JG"/>
    <s v="GAGAL BAYAR"/>
    <n v="5"/>
    <n v="12"/>
    <x v="27"/>
    <s v="COLL"/>
    <x v="6"/>
    <x v="0"/>
    <m/>
  </r>
  <r>
    <n v="437"/>
    <d v="2025-11-07T17:29:57"/>
    <s v="5d155998-3b32-426c-9f80-9898af00922a"/>
    <s v="LatLng(lat: 1.1584774, lng: 104.0266893)"/>
    <s v="SP-25-F0001954"/>
    <s v="NICHOLA ROSY PUTRA"/>
    <s v="BP 5877 AU"/>
    <x v="0"/>
    <s v="14.CALL CENTER"/>
    <s v="A"/>
    <n v="6"/>
    <s v="MH1JMD114RK602662"/>
    <s v="JMD1E1602244"/>
    <s v="HONDA"/>
    <s v="VARIO 125 KEYLESS"/>
    <s v="HITAM"/>
    <s v="JG"/>
    <s v="DONE"/>
    <n v="3"/>
    <n v="18"/>
    <x v="4"/>
    <s v="COLL"/>
    <x v="0"/>
    <x v="0"/>
    <m/>
  </r>
  <r>
    <n v="438"/>
    <d v="2025-11-07T17:52:25"/>
    <s v="e3a70ada-a915-4680-aaa7-28e4b7d6722b"/>
    <s v="LatLng(lat: 1.1500882, lng: 104.024668)"/>
    <s v="OD-25-F0000459"/>
    <s v="BIMA EKO JAYA SINAGA"/>
    <s v="BP 5045 QG"/>
    <x v="0"/>
    <s v="14.CALL CENTER"/>
    <s v="A"/>
    <n v="13"/>
    <s v="MH3SG4620HK006410"/>
    <s v="G3J1E0020283"/>
    <s v="YAMAHA"/>
    <s v="AEROX"/>
    <s v="BIRU"/>
    <s v="JG"/>
    <s v="BELUM JTO"/>
    <n v="9"/>
    <n v="12"/>
    <x v="37"/>
    <s v="COLL"/>
    <x v="0"/>
    <x v="0"/>
    <m/>
  </r>
  <r>
    <n v="439"/>
    <d v="2025-11-07T18:45:10"/>
    <s v="50dfc547-071b-4547-a06d-921c46792c75"/>
    <s v="LatLng(lat: 1.1235105038265265, lng: 104.00714178793096)"/>
    <s v="OD-25-F0001953"/>
    <s v="RIKO SAHPUTRA"/>
    <s v="BP 4548 QJ"/>
    <x v="6"/>
    <s v="C"/>
    <s v=" "/>
    <n v="1"/>
    <s v="MH3RG4710JK059138"/>
    <s v="G3J6E0107338"/>
    <s v="YAMAHA"/>
    <s v="R15 V3"/>
    <s v="BIRU"/>
    <s v="JG"/>
    <s v="BELUM JTO"/>
    <n v="1"/>
    <n v="24"/>
    <x v="3"/>
    <s v="ALL"/>
    <x v="0"/>
    <x v="0"/>
    <m/>
  </r>
  <r>
    <n v="440"/>
    <d v="2025-11-07T18:51:47"/>
    <s v="eea94692-e3ef-470d-a986-47d8940e37c5"/>
    <s v="LatLng(lat: 1.0540323, lng: 103.9690657)"/>
    <s v="SP-25-F0002211"/>
    <s v="SRI WAHYUNDA"/>
    <s v="BP 2907 OU"/>
    <x v="0"/>
    <s v="11.RIMPUN "/>
    <s v=" "/>
    <n v="2"/>
    <s v="MH1JM0118MK244256"/>
    <s v="JM01E1240299"/>
    <s v="HONDA"/>
    <s v="SCOOPY"/>
    <s v="BIRU"/>
    <s v="JG"/>
    <s v="GAGAL BAYAR"/>
    <n v="2"/>
    <n v="24"/>
    <x v="8"/>
    <s v="COLL"/>
    <x v="0"/>
    <x v="0"/>
    <m/>
  </r>
  <r>
    <n v="441"/>
    <d v="2025-11-08T00:48:25"/>
    <s v="ba657a68-b66f-46bc-ab98-51a43899d1f9"/>
    <s v="LatLng(lat: 1.1004039, lng: 104.0619259)"/>
    <s v="SP-25-F0001642"/>
    <s v="MUZAKI"/>
    <s v="BP 2144 MU"/>
    <x v="0"/>
    <s v="14.CALL CENTER"/>
    <s v="A"/>
    <n v="10"/>
    <s v="MH1JM0112LK020740"/>
    <s v="JM01E1020853"/>
    <s v="HONDA"/>
    <s v="SCOOPY NON KEYLESS"/>
    <s v="HITAM MERAH"/>
    <s v="JG"/>
    <s v="BELUM JTO"/>
    <n v="4"/>
    <n v="18"/>
    <x v="41"/>
    <s v="ALL"/>
    <x v="0"/>
    <x v="0"/>
    <m/>
  </r>
  <r>
    <n v="442"/>
    <d v="2025-11-08T07:06:50"/>
    <s v="5d155998-3b32-426c-9f80-9898af00922a"/>
    <s v="LatLng(lat: 1.0340142, lng: 103.9712314)"/>
    <s v="SP-25-F0002268"/>
    <s v="JOGI ROGANTENG SINAGA"/>
    <s v="BP 5370 AM"/>
    <x v="0"/>
    <s v="14.CALL CENTER"/>
    <s v=" "/>
    <n v="9"/>
    <s v="MH3UG0750NK130558"/>
    <s v="G3E6E0670926"/>
    <s v="YAMAHA"/>
    <s v="JUPITER MX KING"/>
    <s v="MERAH"/>
    <s v="JG"/>
    <s v="DONE"/>
    <n v="2"/>
    <n v="12"/>
    <x v="4"/>
    <s v="COLL"/>
    <x v="0"/>
    <x v="0"/>
    <m/>
  </r>
  <r>
    <n v="443"/>
    <d v="2025-11-08T07:08:07"/>
    <s v="5d155998-3b32-426c-9f80-9898af00922a"/>
    <s v="LatLng(lat: 1.0340509, lng: 103.9729461)"/>
    <s v="OD-25-F0001302"/>
    <s v="FREDDY JOSUA GULTOM"/>
    <s v="BP 2138 HI"/>
    <x v="0"/>
    <s v="03.DAULAT"/>
    <s v="A"/>
    <n v="4"/>
    <s v="MH1KC8210JK207699"/>
    <s v="KC82E1200903"/>
    <s v="HONDA"/>
    <s v="CB 150 R LED"/>
    <s v="HITAM"/>
    <s v="JG"/>
    <s v="GAGAL BAYAR"/>
    <n v="4"/>
    <n v="18"/>
    <x v="4"/>
    <s v="COLL"/>
    <x v="0"/>
    <x v="0"/>
    <m/>
  </r>
  <r>
    <n v="444"/>
    <d v="2025-11-08T07:12:30"/>
    <s v="5d155998-3b32-426c-9f80-9898af00922a"/>
    <s v="LatLng(lat: 1.0344728, lng: 103.9728228)"/>
    <s v="SP-24-F0000812"/>
    <s v="MUHAMMAD REZA"/>
    <s v="BP 2430 OA"/>
    <x v="0"/>
    <s v="05.BOSPA"/>
    <s v="A"/>
    <n v="24"/>
    <s v="MH1JFP210FK003814"/>
    <s v="JFP2E1003617"/>
    <s v="HONDA"/>
    <s v="BEAT"/>
    <s v="PUTIH BIRU"/>
    <s v="JG"/>
    <s v="BELUM JTO"/>
    <n v="19"/>
    <n v="24"/>
    <x v="4"/>
    <s v="COLL"/>
    <x v="0"/>
    <x v="0"/>
    <m/>
  </r>
  <r>
    <n v="445"/>
    <d v="2025-11-08T09:27:49"/>
    <s v="97b899c7-a738-4c0c-a57d-47d1be720bd2"/>
    <s v="LatLng(lat: 1.0433629, lng: 103.9794408)"/>
    <s v="SP-25-F0000320"/>
    <s v="ZAIDUN"/>
    <s v="BP 2522 II"/>
    <x v="0"/>
    <s v="12.JUBRAIDER S"/>
    <s v="A"/>
    <n v="10"/>
    <s v="MH1JMA110NK054586"/>
    <s v="JMA1E1054582"/>
    <s v="HONDA"/>
    <s v="GENIO"/>
    <s v="HITAM MERAH"/>
    <s v="JG"/>
    <s v="BELUM JTO"/>
    <n v="9"/>
    <n v="18"/>
    <x v="5"/>
    <s v="COLL"/>
    <x v="0"/>
    <x v="0"/>
    <m/>
  </r>
  <r>
    <n v="446"/>
    <d v="2025-11-08T10:01:06"/>
    <s v="fb0bf344-260b-448c-b9d1-41fee67eb951"/>
    <s v="LatLng(lat: 1.0429953, lng: 103.9797192)"/>
    <s v="SP-25-F0002248"/>
    <s v="ROBBY PATRIYO"/>
    <s v="BP 2202 UH"/>
    <x v="0"/>
    <s v="04.RIZKI A"/>
    <s v=" "/>
    <n v="8"/>
    <s v="MH1JM1127KK337796"/>
    <s v="JM11E2319938"/>
    <s v="HONDA"/>
    <s v="BEAT DIGITAL"/>
    <s v="MAGENTA HITAM"/>
    <s v="JG"/>
    <s v="BELUM JTO"/>
    <n v="2"/>
    <n v="12"/>
    <x v="42"/>
    <s v="COLL"/>
    <x v="0"/>
    <x v="0"/>
    <m/>
  </r>
  <r>
    <n v="447"/>
    <d v="2025-11-08T11:42:23"/>
    <s v="51f658db-9885-4d52-99bd-8e1bf0356977"/>
    <s v="LatLng(lat: 1.0224855, lng: 104.0670638)"/>
    <s v="SP-24-F0002801"/>
    <s v="SUDARNO"/>
    <s v="BP 3320 UC"/>
    <x v="0"/>
    <s v="10.MIDUK"/>
    <s v="A"/>
    <n v="1"/>
    <s v="MH1JM3130LK707458"/>
    <s v="JM31E3704977"/>
    <s v="HONDA"/>
    <s v="SCOOPY NON KEY"/>
    <s v="MERAH HITAM"/>
    <s v="JG"/>
    <s v="DONE"/>
    <n v="10"/>
    <n v="12"/>
    <x v="19"/>
    <s v="COLL"/>
    <x v="0"/>
    <x v="0"/>
    <m/>
  </r>
  <r>
    <n v="448"/>
    <d v="2025-11-08T11:48:59"/>
    <s v="e0d931cf-6e64-4a91-a81a-04cf02d33a39"/>
    <s v="LatLng(lat: 1.0438177, lng: 103.980265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13"/>
    <s v="COLL"/>
    <x v="0"/>
    <x v="0"/>
    <m/>
  </r>
  <r>
    <n v="449"/>
    <d v="2025-11-08T11:52:32"/>
    <s v="86afd147-8c0b-48e4-aaf8-44ad72c52985"/>
    <s v="LatLng(lat: 1.0237026, lng: 104.0690348)"/>
    <s v="OD-25-F0000876"/>
    <s v="AF LAHAL MUKMINUN"/>
    <s v="BP 5650 HI"/>
    <x v="0"/>
    <s v="14.CALL CENTER"/>
    <s v="A"/>
    <n v="5"/>
    <s v="MH1KB2216RK050501"/>
    <s v="KB22E1050433"/>
    <s v="HONDA"/>
    <s v="SUPRA GTR"/>
    <s v="HITAM"/>
    <s v="JG"/>
    <s v="DONE"/>
    <n v="7"/>
    <n v="18"/>
    <x v="15"/>
    <s v="COLL"/>
    <x v="0"/>
    <x v="0"/>
    <m/>
  </r>
  <r>
    <n v="450"/>
    <d v="2025-11-08T11:54:59"/>
    <s v="6d21de4b-42fc-49f2-86f3-40a2a9759695"/>
    <s v="LatLng(lat: 0.9116257, lng: 104.4934594)"/>
    <s v="TP-24-F0000745"/>
    <s v="AL FATHUL FERDIAN"/>
    <s v="BP 2511 BU"/>
    <x v="0"/>
    <s v="14.CALL CENTER"/>
    <s v="A"/>
    <n v="1"/>
    <s v="MH1JFZ216JK451480"/>
    <s v="JFZ2E1451400"/>
    <s v="HONDA"/>
    <s v="BEAT STREET"/>
    <s v="HITAM"/>
    <s v="JG"/>
    <s v="DONE"/>
    <n v="11"/>
    <n v="24"/>
    <x v="0"/>
    <s v="COLL"/>
    <x v="0"/>
    <x v="0"/>
    <m/>
  </r>
  <r>
    <n v="451"/>
    <d v="2025-11-08T12:02:37"/>
    <s v="1770dac3-81ca-4fab-8a6a-e60c63470def"/>
    <s v="LatLng(lat: 1.0257867, lng: 104.0646478)"/>
    <s v="OD-24-F0001428"/>
    <s v="LEGIANTO"/>
    <s v="BP 2355 QI"/>
    <x v="0"/>
    <s v="04.RIZKI A"/>
    <s v="A"/>
    <n v="1"/>
    <s v="MH1JFZ112GK081686"/>
    <s v="JFZ1E1077215"/>
    <s v="HONDA"/>
    <s v="BEAT"/>
    <s v="PUTIH"/>
    <s v="JG"/>
    <s v="GAGAL BAYAR"/>
    <n v="17"/>
    <n v="24"/>
    <x v="21"/>
    <s v="COLL"/>
    <x v="0"/>
    <x v="0"/>
    <m/>
  </r>
  <r>
    <n v="452"/>
    <d v="2025-11-08T12:04:02"/>
    <s v="987e43b5-2fed-4ba1-8992-1b4d84e413ab"/>
    <s v="LatLng(lat: 1.0291077, lng: 104.0615401)"/>
    <s v="SP-23-F0001163"/>
    <s v="UPIK SETYONINGSIH"/>
    <s v="BP 2566 AU"/>
    <x v="6"/>
    <s v="C"/>
    <s v=" "/>
    <n v="2"/>
    <s v="MH1JM3130LK535609"/>
    <s v="JM31E3530756"/>
    <s v="HONDA"/>
    <s v="SCOOPY"/>
    <s v="PUTIH MERAH"/>
    <s v="JG"/>
    <s v="BELUM JTO"/>
    <n v="28"/>
    <n v="36"/>
    <x v="20"/>
    <s v="COLL"/>
    <x v="0"/>
    <x v="0"/>
    <m/>
  </r>
  <r>
    <n v="453"/>
    <d v="2025-11-08T12:08:31"/>
    <s v="551fa799-4956-44f4-9122-ea915d0399f1"/>
    <s v="LatLng(lat: 1.0695984, lng: 104.0258509)"/>
    <s v="SP-24-F0000643"/>
    <s v="PAHRUDDIN"/>
    <s v="BP 2265 HQ"/>
    <x v="0"/>
    <s v="11.RIMPUN "/>
    <s v="A"/>
    <n v="1"/>
    <s v="MH1KF1125HK107634"/>
    <s v="KF11E2105134"/>
    <s v="HONDA"/>
    <s v="VARIO"/>
    <s v="PUTIH"/>
    <s v="JG"/>
    <s v="GAGAL BAYAR"/>
    <n v="19"/>
    <n v="24"/>
    <x v="12"/>
    <s v="COLL"/>
    <x v="0"/>
    <x v="0"/>
    <m/>
  </r>
  <r>
    <n v="454"/>
    <d v="2025-11-08T12:10:36"/>
    <s v="a4f24bfd-45be-407a-a9ce-5da8e226108b"/>
    <s v="LatLng(lat: 1.0431823, lng: 103.9797386)"/>
    <s v="OD-24-F0002468"/>
    <s v="ELISABET ONA"/>
    <s v="BP 3614 CC"/>
    <x v="0"/>
    <s v="04.RIZKI A"/>
    <s v="A"/>
    <n v="1"/>
    <s v="MH1JM0417PK200670"/>
    <s v="JM04E1212317"/>
    <s v="HONDA"/>
    <s v="SCOOPY"/>
    <s v="HIJAU"/>
    <s v="JG"/>
    <s v="GAGAL BAYAR"/>
    <n v="14"/>
    <n v="18"/>
    <x v="2"/>
    <s v="COLL"/>
    <x v="1"/>
    <x v="0"/>
    <m/>
  </r>
  <r>
    <n v="455"/>
    <d v="2025-11-08T12:24:22"/>
    <s v="551fa799-4956-44f4-9122-ea915d0399f1"/>
    <s v="LatLng(lat: 1.0333286, lng: 104.0681089)"/>
    <s v="OD-25-F0000438"/>
    <s v="SABARUDDIN"/>
    <s v="BP 5376 JR"/>
    <x v="0"/>
    <s v="10.MIDUK"/>
    <s v="A"/>
    <n v="13"/>
    <s v="MH32PK001FK051452"/>
    <s v="2PK051521"/>
    <s v="YAMAHA"/>
    <s v="R15_x000a_"/>
    <s v="MERAH"/>
    <s v="JG"/>
    <s v="BELUM JTO"/>
    <n v="9"/>
    <n v="18"/>
    <x v="12"/>
    <s v="COLL"/>
    <x v="0"/>
    <x v="0"/>
    <m/>
  </r>
  <r>
    <n v="456"/>
    <d v="2025-11-08T12:31:03"/>
    <s v="688868a7-408e-44ae-b238-348dfc1995b0"/>
    <s v="LatLng(lat: 1.0291665, lng: 104.0677134)"/>
    <s v="SP-25-F0000933"/>
    <s v="MUHAMMAD IQBAL HERIYANTO"/>
    <s v="BP 3424 HF"/>
    <x v="0"/>
    <s v="03.DAULAT"/>
    <s v="A"/>
    <n v="1"/>
    <s v="MH1JFZ122JK473664"/>
    <s v="JFZ1E2481358"/>
    <s v="HONDA"/>
    <s v="BEAT FI"/>
    <s v="HITAM"/>
    <s v="JG"/>
    <s v="DONE"/>
    <n v="6"/>
    <n v="12"/>
    <x v="14"/>
    <s v="COLL"/>
    <x v="0"/>
    <x v="0"/>
    <m/>
  </r>
  <r>
    <n v="457"/>
    <d v="2025-11-08T12:34:59"/>
    <s v="74bb1709-aa7b-4b41-a082-a2af867fd15e"/>
    <s v="LatLng(lat: 1.0272372, lng: 104.0593163)"/>
    <s v="SP-23-F0001163"/>
    <s v="UPIK SETYONINGSIH"/>
    <s v="BP 2566 AU"/>
    <x v="6"/>
    <s v="C"/>
    <s v=" "/>
    <n v="2"/>
    <s v="MH1JM3130LK535609"/>
    <s v="JM31E3530756"/>
    <s v="HONDA"/>
    <s v="SCOOPY"/>
    <s v="PUTIH MERAH"/>
    <s v="JG"/>
    <s v="BELUM JTO"/>
    <n v="28"/>
    <n v="36"/>
    <x v="7"/>
    <s v="COLL"/>
    <x v="0"/>
    <x v="0"/>
    <m/>
  </r>
  <r>
    <n v="458"/>
    <d v="2025-11-08T12:40:00"/>
    <s v="551fa799-4956-44f4-9122-ea915d0399f1"/>
    <s v="LatLng(lat: 1.023685, lng: 104.06493)"/>
    <s v="SP-25-F0002682"/>
    <s v="IRSYAHDUL FIKRI"/>
    <s v="BP 5914 J"/>
    <x v="6"/>
    <s v="C"/>
    <s v=" "/>
    <n v="1"/>
    <s v="MH1KB1118RK353694"/>
    <s v="KB11E1353220"/>
    <s v="HONDA"/>
    <s v="SONIC"/>
    <s v="HITAM"/>
    <s v="JG"/>
    <s v="BELUM JTO"/>
    <n v="1"/>
    <n v="12"/>
    <x v="12"/>
    <s v="COLL"/>
    <x v="0"/>
    <x v="0"/>
    <m/>
  </r>
  <r>
    <n v="459"/>
    <d v="2025-11-08T12:40:20"/>
    <s v="dcc6f40b-a9a1-43d4-bd37-f0019f505bcd"/>
    <s v="LatLng(lat: 1.0251212, lng: 104.063874)"/>
    <s v="OD-25-F0000117"/>
    <s v="TAUFIK SETIANTORO"/>
    <s v="BP 4624 AE"/>
    <x v="0"/>
    <s v="03.DAULAT"/>
    <s v=" "/>
    <n v="13"/>
    <s v="MH3SG3190KK889855"/>
    <s v="G3E4E1885359"/>
    <s v="YAMAHA"/>
    <s v="NMAX 155"/>
    <s v="PUTIH"/>
    <s v="JG"/>
    <s v="BELUM JTO"/>
    <n v="10"/>
    <n v="36"/>
    <x v="9"/>
    <s v="COLL"/>
    <x v="0"/>
    <x v="0"/>
    <m/>
  </r>
  <r>
    <n v="460"/>
    <d v="2025-11-08T13:06:15"/>
    <s v="e3a70ada-a915-4680-aaa7-28e4b7d6722b"/>
    <s v="LatLng(lat: 1.1341119, lng: 104.013369)"/>
    <s v="OD-24-F0002322"/>
    <s v="SAMILENI ZALUKHU"/>
    <s v="BP 4458 CJ"/>
    <x v="0"/>
    <s v="14.CALL CENTER"/>
    <s v="A"/>
    <n v="14"/>
    <s v="MH31PA002DK247234"/>
    <s v="1PA249667"/>
    <s v="YAMAHA"/>
    <s v="VIXION"/>
    <s v="PUTIH"/>
    <s v="JG"/>
    <s v="BELUM JTO"/>
    <n v="15"/>
    <n v="18"/>
    <x v="37"/>
    <s v="COLL"/>
    <x v="0"/>
    <x v="0"/>
    <m/>
  </r>
  <r>
    <n v="461"/>
    <d v="2025-11-08T13:43:59"/>
    <s v="f0b79403-18b0-47dd-bacc-d76d9d60a28e"/>
    <s v="LatLng(lat: 0.9837667, lng: 104.0987069)"/>
    <s v="SP-25-F0001242"/>
    <s v="ISMAIL"/>
    <s v="BP 3653 RO"/>
    <x v="0"/>
    <s v="03.DAULAT"/>
    <s v="A"/>
    <n v="2"/>
    <s v="MH1JFZ137KK289539"/>
    <s v="JFZ1E3289651"/>
    <s v="HONDA"/>
    <s v="BEAT FI"/>
    <s v="HITAM"/>
    <s v="JG"/>
    <s v="GAGAL BAYAR"/>
    <n v="5"/>
    <n v="18"/>
    <x v="24"/>
    <s v="COLL"/>
    <x v="0"/>
    <x v="0"/>
    <m/>
  </r>
  <r>
    <n v="462"/>
    <d v="2025-11-08T14:01:45"/>
    <s v="5d155998-3b32-426c-9f80-9898af00922a"/>
    <s v="LatLng(lat: 1.0381219, lng: 104.0556281)"/>
    <s v="SP-25-F0001936"/>
    <s v="FEDRICO SURYA"/>
    <s v="BP 5051 QG"/>
    <x v="0"/>
    <s v="03.DAULAT"/>
    <s v="A"/>
    <n v="4"/>
    <s v="MH3SG3120HK340720"/>
    <s v="G3E4E0479174"/>
    <s v="YAMAHA"/>
    <s v="NMAX"/>
    <s v="PUTIH"/>
    <s v="JG"/>
    <s v="DONE"/>
    <n v="3"/>
    <n v="12"/>
    <x v="4"/>
    <s v="COLL"/>
    <x v="0"/>
    <x v="0"/>
    <m/>
  </r>
  <r>
    <n v="463"/>
    <d v="2025-11-08T14:01:47"/>
    <s v="66338f6f-6199-47e8-8fc9-c871a18b6d2c"/>
    <s v="LatLng(lat: 1.0271666, lng: 104.0527487)"/>
    <s v="SP-24-F0001611"/>
    <s v="AIDIL FITRIANSYAH"/>
    <s v="BP 3088 RU"/>
    <x v="0"/>
    <s v="03.DAULAT"/>
    <s v="A"/>
    <n v="7"/>
    <s v="MH1JFZ131KK476971"/>
    <s v="JFZ1E3476892"/>
    <s v="HONDA"/>
    <s v="BEAT"/>
    <s v="PUTIH"/>
    <s v="JG"/>
    <s v="BELUM JTO"/>
    <n v="15"/>
    <n v="24"/>
    <x v="30"/>
    <s v="COLL"/>
    <x v="0"/>
    <x v="0"/>
    <m/>
  </r>
  <r>
    <n v="464"/>
    <d v="2025-11-08T14:16:07"/>
    <s v="65c1341a-686d-45fb-810f-7b8814abe13f"/>
    <s v="LatLng(lat: 1.0433525, lng: 103.9794058)"/>
    <s v="SP-24-F0002408"/>
    <s v="ROJI PANDAPOTAN SIAHAAN"/>
    <s v="BP 3247 CU"/>
    <x v="0"/>
    <s v="14.CALL CENTER"/>
    <s v="A"/>
    <n v="9"/>
    <s v="MH1JM3130LK741822"/>
    <s v="JM31E3739209"/>
    <s v="HONDA"/>
    <s v="SCOOPY"/>
    <s v="MERAH HITAM"/>
    <s v="JG"/>
    <s v="BELUM JTO"/>
    <n v="12"/>
    <n v="12"/>
    <x v="23"/>
    <s v="COLL"/>
    <x v="0"/>
    <x v="0"/>
    <m/>
  </r>
  <r>
    <n v="465"/>
    <d v="2025-11-08T14:17:54"/>
    <s v="eea94692-e3ef-470d-a986-47d8940e37c5"/>
    <s v="LatLng(lat: 1.0537067, lng: 103.9746811)"/>
    <s v="SP-25-F0002728"/>
    <s v="ANARIA"/>
    <s v="BP 5376 AI"/>
    <x v="6"/>
    <s v="C"/>
    <s v=" "/>
    <n v="1"/>
    <s v="MH3RG4760NK033134"/>
    <s v="G3S7E0004796"/>
    <s v="YAMAHA"/>
    <s v="XSR 155"/>
    <s v="BIRU"/>
    <s v="JG"/>
    <s v="BELUM JTO"/>
    <n v="1"/>
    <n v="24"/>
    <x v="8"/>
    <s v="COLL"/>
    <x v="0"/>
    <x v="0"/>
    <m/>
  </r>
  <r>
    <n v="466"/>
    <d v="2025-11-08T14:22:45"/>
    <s v="6f0ee670-8a9a-45ff-8c00-ca014f6aabeb"/>
    <s v="LatLng(lat: 1.0254239, lng: 104.0637718)"/>
    <s v="SP-25-F0000642"/>
    <s v="MUDIN DAULAY"/>
    <s v="BP 3512 RE"/>
    <x v="0"/>
    <s v="03.DAULAT"/>
    <s v="D"/>
    <n v="18"/>
    <s v="MH1JM821XNK616310"/>
    <s v="JM82E1614528"/>
    <s v="HONDA"/>
    <s v="BEAT"/>
    <s v="HITAM"/>
    <s v="JG"/>
    <s v="BELUM JTO"/>
    <n v="8"/>
    <n v="12"/>
    <x v="18"/>
    <s v="COLL"/>
    <x v="0"/>
    <x v="0"/>
    <m/>
  </r>
  <r>
    <n v="467"/>
    <d v="2025-11-08T14:24:17"/>
    <s v="987e43b5-2fed-4ba1-8992-1b4d84e413ab"/>
    <s v="LatLng(lat: 1.0276201, lng: 104.0598589)"/>
    <s v="OD-24-F0001851"/>
    <s v="CHINDI CINORA SITINJAK"/>
    <s v="BP 2447 RO"/>
    <x v="0"/>
    <s v="06.ROBEN"/>
    <s v="A"/>
    <n v="6"/>
    <s v="MH1JM8116NK964168"/>
    <s v="JM81E1965773"/>
    <s v="HONDA"/>
    <s v="BEAT"/>
    <s v="PUTIH HITAM"/>
    <s v="JG"/>
    <s v="BELUM JTO"/>
    <n v="16"/>
    <n v="18"/>
    <x v="20"/>
    <s v="COLL"/>
    <x v="0"/>
    <x v="0"/>
    <m/>
  </r>
  <r>
    <n v="468"/>
    <d v="2025-11-08T14:29:19"/>
    <s v="86afd147-8c0b-48e4-aaf8-44ad72c52985"/>
    <s v="LatLng(lat: 1.0254677, lng: 104.0636284)"/>
    <s v="SP-25-F0002534"/>
    <s v="MISWADI"/>
    <s v="BP 3522 HU"/>
    <x v="0"/>
    <s v="14.CALL CENTER"/>
    <s v=" "/>
    <n v="11"/>
    <s v="MH1JFZ216JK420522"/>
    <s v="JFZ2E1420685"/>
    <s v="HONDA"/>
    <s v="BEAT STREET"/>
    <s v="HITAM"/>
    <s v="JG"/>
    <s v="BELUM JTO"/>
    <n v="1"/>
    <n v="18"/>
    <x v="15"/>
    <s v="COLL"/>
    <x v="0"/>
    <x v="0"/>
    <m/>
  </r>
  <r>
    <n v="469"/>
    <d v="2025-11-08T15:08:28"/>
    <s v="f0b79403-18b0-47dd-bacc-d76d9d60a28e"/>
    <s v="LatLng(lat: 1.043044, lng: 104.0553089)"/>
    <s v="SP-25-F0002271"/>
    <s v="ZIGO TRI SEPTIAWAN"/>
    <s v="BP 2650 HU"/>
    <x v="0"/>
    <s v="14.CALL CENTER"/>
    <s v=" "/>
    <n v="10"/>
    <s v="MH1KCA112JK007996"/>
    <s v="KCA1E1007982"/>
    <s v="HONDA"/>
    <s v="CB 150 R LED"/>
    <s v="HITAM"/>
    <s v="JG"/>
    <s v="BELUM JTO"/>
    <n v="2"/>
    <n v="18"/>
    <x v="24"/>
    <s v="COLL"/>
    <x v="0"/>
    <x v="0"/>
    <m/>
  </r>
  <r>
    <n v="470"/>
    <d v="2025-11-08T15:11:19"/>
    <s v="b5e5eb90-c13c-42f2-8aa6-fb5964b939de"/>
    <s v="LatLng(lat: 1.0433007, lng: 104.0547627)"/>
    <s v="OD-24-F0001749"/>
    <s v="ERWIN ARITONANG"/>
    <s v="BP 3975 HU"/>
    <x v="0"/>
    <s v="03.DAULAT"/>
    <s v="A"/>
    <n v="1"/>
    <s v="MH1JM111XJK943809"/>
    <s v="JM11E1926110"/>
    <s v="HONDA"/>
    <s v="BEAT"/>
    <s v="MERAH PUTIH"/>
    <s v="JG"/>
    <s v="GAGAL BAYAR"/>
    <n v="16"/>
    <n v="24"/>
    <x v="25"/>
    <s v="COLL"/>
    <x v="0"/>
    <x v="0"/>
    <m/>
  </r>
  <r>
    <n v="471"/>
    <d v="2025-11-08T15:12:12"/>
    <s v="f0b79403-18b0-47dd-bacc-d76d9d60a28e"/>
    <s v="LatLng(lat: 1.0395367, lng: 104.0572917)"/>
    <s v="OD-24-F0001749"/>
    <s v="ERWIN ARITONANG"/>
    <s v="BP 3975 HU"/>
    <x v="0"/>
    <s v="03.DAULAT"/>
    <s v="A"/>
    <n v="1"/>
    <s v="MH1JM111XJK943809"/>
    <s v="JM11E1926110"/>
    <s v="HONDA"/>
    <s v="BEAT"/>
    <s v="MERAH PUTIH"/>
    <s v="JG"/>
    <s v="GAGAL BAYAR"/>
    <n v="16"/>
    <n v="24"/>
    <x v="24"/>
    <s v="COLL"/>
    <x v="0"/>
    <x v="0"/>
    <m/>
  </r>
  <r>
    <n v="472"/>
    <d v="2025-11-08T15:12:36"/>
    <s v="987e43b5-2fed-4ba1-8992-1b4d84e413ab"/>
    <s v="LatLng(lat: 1.030527, lng: 104.0526368)"/>
    <s v="OD-24-F0002780"/>
    <s v="MUHAMMAD RAJAB"/>
    <s v="BP 2834 IR"/>
    <x v="0"/>
    <s v="07.RINTO"/>
    <s v="A"/>
    <n v="1"/>
    <s v="MH1JM2115HK627539"/>
    <s v="JM21E1615362"/>
    <s v="HONDA"/>
    <s v="BEAT"/>
    <s v="MERAH PUTIH"/>
    <s v="JG"/>
    <s v="GAGAL BAYAR"/>
    <n v="13"/>
    <n v="18"/>
    <x v="20"/>
    <s v="COLL"/>
    <x v="0"/>
    <x v="0"/>
    <m/>
  </r>
  <r>
    <n v="473"/>
    <d v="2025-11-08T15:12:48"/>
    <s v="688868a7-408e-44ae-b238-348dfc1995b0"/>
    <s v="LatLng(lat: 1.0297871, lng: 104.0528726)"/>
    <s v="OD-24-F0002113"/>
    <s v="RIANSHA"/>
    <s v="BP 3580 UC"/>
    <x v="6"/>
    <s v="C"/>
    <s v=" "/>
    <n v="1"/>
    <s v="MH1JM8112LK318820"/>
    <s v="JM81E1320981"/>
    <s v="HONDA"/>
    <s v="BEAT"/>
    <s v="MERAH HITAM"/>
    <s v="JG"/>
    <s v="DONE"/>
    <n v="17"/>
    <n v="18"/>
    <x v="14"/>
    <s v="COLL"/>
    <x v="0"/>
    <x v="0"/>
    <m/>
  </r>
  <r>
    <n v="474"/>
    <d v="2025-11-08T15:21:49"/>
    <s v="74bb1709-aa7b-4b41-a082-a2af867fd15e"/>
    <s v="LatLng(lat: 1.0347902, lng: 104.0579004)"/>
    <s v="SP-25-F0000836"/>
    <s v="AFDHAL RIZKYA JERNALIS"/>
    <s v="BP 3855 QR"/>
    <x v="0"/>
    <s v="05.BOSPA"/>
    <s v="A"/>
    <n v="14"/>
    <s v="MH1JFZ112HK646570"/>
    <s v="JFZ1E1655085"/>
    <s v="HONDA"/>
    <s v="BEAT"/>
    <s v="PUTIH"/>
    <s v="JG"/>
    <s v="BELUM JTO"/>
    <n v="7"/>
    <n v="24"/>
    <x v="7"/>
    <s v="COLL"/>
    <x v="0"/>
    <x v="0"/>
    <m/>
  </r>
  <r>
    <n v="475"/>
    <d v="2025-11-08T15:33:29"/>
    <s v="f0b79403-18b0-47dd-bacc-d76d9d60a28e"/>
    <s v="LatLng(lat: 1.0466158, lng: 104.005569)"/>
    <s v="OD-25-F0001694"/>
    <s v="AREP RAMADANI"/>
    <s v="BP 3863 RE"/>
    <x v="0"/>
    <s v="14.CALL CENTER"/>
    <s v=" "/>
    <n v="12"/>
    <s v="MH1JM8112NK999628"/>
    <s v="JM81E2001291"/>
    <s v="HONDA"/>
    <s v="BEAT DIGITAL"/>
    <s v="HITAM"/>
    <s v="JG"/>
    <s v="BELUM JTO"/>
    <n v="2"/>
    <n v="18"/>
    <x v="24"/>
    <s v="COLL"/>
    <x v="0"/>
    <x v="0"/>
    <m/>
  </r>
  <r>
    <n v="476"/>
    <d v="2025-11-08T15:39:28"/>
    <s v="74bb1709-aa7b-4b41-a082-a2af867fd15e"/>
    <s v="LatLng(lat: 1.0421515, lng: 103.9914119)"/>
    <s v="SP-24-F0002008"/>
    <s v="SINDAWATI SAMOSIR"/>
    <s v="BP 4793 GU"/>
    <x v="4"/>
    <s v="TALENTA S"/>
    <s v=" "/>
    <n v="23"/>
    <s v="MH1JM8134RK012762"/>
    <s v="JM81E3009154"/>
    <s v="HONDA"/>
    <s v="BEAT"/>
    <s v="MERAH HITAM"/>
    <s v="JG"/>
    <s v="GAGAL BAYAR"/>
    <n v="13"/>
    <n v="18"/>
    <x v="7"/>
    <s v="COLL"/>
    <x v="6"/>
    <x v="0"/>
    <m/>
  </r>
  <r>
    <n v="477"/>
    <d v="2025-11-08T15:49:57"/>
    <s v="66338f6f-6199-47e8-8fc9-c871a18b6d2c"/>
    <s v="LatLng(lat: 1.0279681, lng: 104.0679429)"/>
    <s v="OD-25-F0001834"/>
    <s v="SUSI SUSANTI"/>
    <s v="BP 2565 US"/>
    <x v="0"/>
    <s v="14.CALL CENTER"/>
    <s v=" "/>
    <n v="6"/>
    <s v="MH1KF0116PK543053"/>
    <s v="KF01E1543033"/>
    <s v="HONDA"/>
    <s v="VARIO 160 CC"/>
    <s v="PUTIH"/>
    <s v="JG"/>
    <s v="BELUM JTO"/>
    <n v="1"/>
    <n v="12"/>
    <x v="30"/>
    <s v="COLL"/>
    <x v="0"/>
    <x v="0"/>
    <m/>
  </r>
  <r>
    <n v="478"/>
    <d v="2025-11-08T16:00:41"/>
    <s v="3677fb97-4982-45ef-bdd0-66ca3ee452fd"/>
    <s v="LatLng(lat: 1.0422297, lng: 103.9787609)"/>
    <s v="OD-25-F0001890"/>
    <s v="EKO PRASETYA"/>
    <s v="BP 6773 RJ"/>
    <x v="0"/>
    <s v="14.CALL CENTER"/>
    <s v=" "/>
    <n v="16"/>
    <s v="MH1KFC115SK148470"/>
    <s v="KFC1E1147891"/>
    <s v="HONDA"/>
    <s v="STYLO"/>
    <s v="MERAH"/>
    <s v="JG"/>
    <s v="BELUM JTO"/>
    <n v="1"/>
    <n v="18"/>
    <x v="40"/>
    <s v="COLL"/>
    <x v="0"/>
    <x v="0"/>
    <m/>
  </r>
  <r>
    <n v="479"/>
    <d v="2025-11-08T16:20:36"/>
    <s v="6d21de4b-42fc-49f2-86f3-40a2a9759695"/>
    <s v="LatLng(lat: 0.9300564, lng: 104.4398237)"/>
    <s v="BT-KD-24-00045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480"/>
    <d v="2025-11-08T16:21:38"/>
    <s v="6d21de4b-42fc-49f2-86f3-40a2a9759695"/>
    <s v="LatLng(lat: 0.9300583, lng: 104.43982)"/>
    <s v="BT-KD-24-00365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481"/>
    <d v="2025-11-08T17:22:27"/>
    <s v="3677fb97-4982-45ef-bdd0-66ca3ee452fd"/>
    <s v="LatLng(lat: 1.0432709, lng: 103.9793784)"/>
    <s v="OD-24-F0001063"/>
    <s v="WALTERIUS KELULI"/>
    <s v="BP 2283 HO"/>
    <x v="0"/>
    <s v="14.CALL CENTER"/>
    <s v="A"/>
    <n v="22"/>
    <s v="MH1JM3117JK987245"/>
    <s v="JM31E1980947"/>
    <s v="HONDA"/>
    <s v="SCOOPY"/>
    <s v="COKLAT HITAM"/>
    <s v="JG"/>
    <s v="BELUM JTO"/>
    <n v="19"/>
    <n v="24"/>
    <x v="40"/>
    <s v="COLL"/>
    <x v="0"/>
    <x v="0"/>
    <m/>
  </r>
  <r>
    <n v="482"/>
    <d v="2025-11-08T18:52:52"/>
    <s v="6d21de4b-42fc-49f2-86f3-40a2a9759695"/>
    <s v="LatLng(lat: 0.9303665, lng: 104.4384594)"/>
    <s v="TP-24-F0000612"/>
    <s v="SUMARTOYO"/>
    <s v="BP 3973 CP"/>
    <x v="4"/>
    <s v="SATRIA"/>
    <s v=" "/>
    <n v="10"/>
    <s v="MH1JM8120PK789430"/>
    <s v="JM81E2790032"/>
    <s v="HONDA"/>
    <s v="BEAT"/>
    <s v="HITAM"/>
    <s v="JG"/>
    <s v="GAGAL BAYAR"/>
    <n v="12"/>
    <n v="36"/>
    <x v="0"/>
    <s v="COLL"/>
    <x v="8"/>
    <x v="0"/>
    <m/>
  </r>
  <r>
    <n v="483"/>
    <d v="2025-11-08T19:10:16"/>
    <s v="3be3f0c1-373f-4a45-946b-0ab494863da5"/>
    <s v="LatLng(lat: 0.9301761, lng: 104.4385758)"/>
    <s v="TU-KD-23-00321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17"/>
    <s v="COLL"/>
    <x v="1"/>
    <x v="0"/>
    <m/>
  </r>
  <r>
    <n v="484"/>
    <d v="2025-11-08T19:21:37"/>
    <s v="6d21de4b-42fc-49f2-86f3-40a2a9759695"/>
    <s v="LatLng(lat: 0.929331, lng: 104.4381946)"/>
    <s v="SK-KD-25-00006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485"/>
    <d v="2025-11-08T20:05:43"/>
    <s v="6d21de4b-42fc-49f2-86f3-40a2a9759695"/>
    <s v="LatLng(lat: 1.0378111, lng: 103.9567021)"/>
    <s v="SP-24-F0002743"/>
    <s v="CHRESTINA JUNI PRASETYA AGUSTIN"/>
    <s v="BP 3066 UO"/>
    <x v="0"/>
    <s v="12.JUBRAIDER S"/>
    <s v="A"/>
    <n v="21"/>
    <s v="MH1JM0116MK254896"/>
    <s v="JM01E1252844"/>
    <s v="HONDA"/>
    <s v="SCOOPY NON KEYLESS"/>
    <s v="HITAM"/>
    <s v="JG"/>
    <s v="BELUM JTO"/>
    <n v="11"/>
    <n v="12"/>
    <x v="0"/>
    <s v="COLL"/>
    <x v="0"/>
    <x v="0"/>
    <m/>
  </r>
  <r>
    <n v="486"/>
    <d v="2025-11-08T20:06:54"/>
    <s v="6d21de4b-42fc-49f2-86f3-40a2a9759695"/>
    <s v="LatLng(lat: 1.0439181, lng: 103.9575792)"/>
    <s v="SP-25-F0002059"/>
    <s v="NURCA DELIMA LUBIS"/>
    <s v="BP 3870 RR"/>
    <x v="0"/>
    <s v="13.WILFRIN"/>
    <s v="A"/>
    <n v="15"/>
    <s v="MH1JM3129KK887111"/>
    <s v="JM31E2882122"/>
    <s v="HONDA"/>
    <s v="SCOOPY NON KEYLESS"/>
    <s v="HITAM SILVER"/>
    <s v="JG"/>
    <s v="BELUM JTO"/>
    <n v="3"/>
    <n v="12"/>
    <x v="0"/>
    <s v="COLL"/>
    <x v="0"/>
    <x v="0"/>
    <m/>
  </r>
  <r>
    <n v="487"/>
    <d v="2025-11-08T20:16:12"/>
    <s v="6d21de4b-42fc-49f2-86f3-40a2a9759695"/>
    <s v="LatLng(lat: 1.0525908, lng: 103.9304464)"/>
    <s v="SP-25-F0001646"/>
    <s v="YOSEP JAELANI"/>
    <s v="BP 2611 RS"/>
    <x v="0"/>
    <s v="14.CALL CENTER"/>
    <s v="A"/>
    <n v="10"/>
    <s v="MH1JM821XPK934706"/>
    <s v="JM82E1934171"/>
    <s v="HONDA"/>
    <s v="BEAT STREET"/>
    <s v="SILVER"/>
    <s v="JG"/>
    <s v="BELUM JTO"/>
    <n v="4"/>
    <n v="24"/>
    <x v="0"/>
    <s v="COLL"/>
    <x v="0"/>
    <x v="0"/>
    <m/>
  </r>
  <r>
    <n v="488"/>
    <d v="2025-11-08T20:16:38"/>
    <s v="6d21de4b-42fc-49f2-86f3-40a2a9759695"/>
    <s v="LatLng(lat: 1.0528207, lng: 103.9302242)"/>
    <s v="SP-25-F0001646"/>
    <s v="YOSEP JAELANI"/>
    <s v="BP 2611 RS"/>
    <x v="0"/>
    <s v="14.CALL CENTER"/>
    <s v="A"/>
    <n v="10"/>
    <s v="MH1JM821XPK934706"/>
    <s v="JM82E1934171"/>
    <s v="HONDA"/>
    <s v="BEAT STREET"/>
    <s v="SILVER"/>
    <s v="JG"/>
    <s v="BELUM JTO"/>
    <n v="4"/>
    <n v="24"/>
    <x v="0"/>
    <s v="COLL"/>
    <x v="0"/>
    <x v="0"/>
    <m/>
  </r>
  <r>
    <n v="489"/>
    <d v="2025-11-08T20:28:00"/>
    <s v="6d21de4b-42fc-49f2-86f3-40a2a9759695"/>
    <s v="LatLng(lat: 1.0481372, lng: 103.9388556)"/>
    <s v="SP-25-F0000460"/>
    <s v="AHMAD ZAINUR RIFA I"/>
    <s v="BP 3405 RP"/>
    <x v="0"/>
    <s v="11.RIMPUN "/>
    <s v="A"/>
    <n v="26"/>
    <s v="MH1JM8128PK581960"/>
    <s v="JM81E2583155"/>
    <s v="HONDA"/>
    <s v="BEAT FI"/>
    <s v="SILVER HITAM"/>
    <s v="JG"/>
    <s v="BELUM JTO"/>
    <n v="9"/>
    <n v="18"/>
    <x v="0"/>
    <s v="COLL"/>
    <x v="0"/>
    <x v="0"/>
    <m/>
  </r>
  <r>
    <n v="490"/>
    <d v="2025-11-08T20:45:24"/>
    <s v="6d21de4b-42fc-49f2-86f3-40a2a9759695"/>
    <s v="LatLng(lat: 1.0579578, lng: 103.9650068)"/>
    <s v="OD-24-F0002256"/>
    <s v="NINOI YULISTARO"/>
    <s v="BP 2429 P"/>
    <x v="0"/>
    <s v="10.MIDUK"/>
    <s v="A"/>
    <n v="10"/>
    <s v="MH1JM0419PK707585"/>
    <s v="JM04E1707918"/>
    <s v="HONDA"/>
    <s v="SCOOPY"/>
    <s v="MERAH"/>
    <s v="JG"/>
    <s v="BELUM JTO"/>
    <n v="15"/>
    <n v="18"/>
    <x v="0"/>
    <s v="COLL"/>
    <x v="0"/>
    <x v="0"/>
    <m/>
  </r>
  <r>
    <n v="491"/>
    <d v="2025-11-08T20:52:09"/>
    <s v="6d21de4b-42fc-49f2-86f3-40a2a9759695"/>
    <s v="LatLng(lat: 1.0567449, lng: 103.9620183)"/>
    <s v="OD-25-F0001615"/>
    <s v="SAMSIN SIGALINGGING"/>
    <s v="BP 6525 JC"/>
    <x v="0"/>
    <s v="14.CALL CENTER"/>
    <s v="A"/>
    <n v="1"/>
    <s v="MH1KB111XRK352837"/>
    <s v="KB11E1352262"/>
    <s v="HONDA"/>
    <s v="SONIC"/>
    <s v="MERAH PUTIH"/>
    <s v="JG"/>
    <s v="DONE"/>
    <n v="2"/>
    <n v="12"/>
    <x v="0"/>
    <s v="COLL"/>
    <x v="0"/>
    <x v="0"/>
    <m/>
  </r>
  <r>
    <n v="492"/>
    <d v="2025-11-08T20:53:15"/>
    <s v="6d21de4b-42fc-49f2-86f3-40a2a9759695"/>
    <s v="LatLng(lat: 1.0519038, lng: 103.9514357)"/>
    <s v="SP-25-F0001582"/>
    <s v="ROMI SILITONGA"/>
    <s v="BP 3959 AG"/>
    <x v="0"/>
    <s v="13.WILFRIN"/>
    <s v="A"/>
    <n v="5"/>
    <s v="MH1KF4115KK527295"/>
    <s v="KF41E1527693"/>
    <s v="HONDA"/>
    <s v="VARIO 150 KEYLESH"/>
    <s v="PUTIH"/>
    <s v="JG"/>
    <s v="DONE"/>
    <n v="4"/>
    <n v="24"/>
    <x v="0"/>
    <s v="COLL"/>
    <x v="0"/>
    <x v="0"/>
    <m/>
  </r>
  <r>
    <n v="493"/>
    <d v="2025-11-08T20:59:13"/>
    <s v="6d21de4b-42fc-49f2-86f3-40a2a9759695"/>
    <s v="LatLng(lat: 1.1018617, lng: 104.038395)"/>
    <s v="SP-25-F0002303"/>
    <s v="M SALEH"/>
    <s v="BP 6506 JE"/>
    <x v="0"/>
    <s v="14.CALL CENTER"/>
    <s v=" "/>
    <n v="13"/>
    <s v="MH1JMG117RK200202"/>
    <s v="JMG1E1200291"/>
    <s v="HONDA"/>
    <s v="BEAT STREET"/>
    <s v="HITAM"/>
    <s v="JG"/>
    <s v="BELUM JTO"/>
    <n v="2"/>
    <n v="18"/>
    <x v="0"/>
    <s v="COLL"/>
    <x v="0"/>
    <x v="0"/>
    <m/>
  </r>
  <r>
    <n v="494"/>
    <d v="2025-11-08T20:59:15"/>
    <s v="6d21de4b-42fc-49f2-86f3-40a2a9759695"/>
    <s v="LatLng(lat: 1.0566219, lng: 103.9604281)"/>
    <s v="SP-25-F0002271"/>
    <s v="ZIGO TRI SEPTIAWAN"/>
    <s v="BP 2650 HU"/>
    <x v="0"/>
    <s v="14.CALL CENTER"/>
    <s v=" "/>
    <n v="10"/>
    <s v="MH1KCA112JK007996"/>
    <s v="KCA1E1007982"/>
    <s v="HONDA"/>
    <s v="CB 150 R LED"/>
    <s v="HITAM"/>
    <s v="JG"/>
    <s v="BELUM JTO"/>
    <n v="2"/>
    <n v="18"/>
    <x v="0"/>
    <s v="COLL"/>
    <x v="0"/>
    <x v="0"/>
    <m/>
  </r>
  <r>
    <n v="495"/>
    <d v="2025-11-08T20:59:46"/>
    <s v="6d21de4b-42fc-49f2-86f3-40a2a9759695"/>
    <s v="LatLng(lat: 1.0593177, lng: 103.9654976)"/>
    <s v="SP-25-F0002576"/>
    <s v="JUWITA BUDIARTI"/>
    <s v="BP 5591 G"/>
    <x v="0"/>
    <s v="14.CALL CENTER"/>
    <s v=" "/>
    <n v="17"/>
    <s v="MH3RG4760PK066398"/>
    <s v="G3S7E0080613"/>
    <s v="YAMAHA"/>
    <s v="XSR"/>
    <s v="HITAM"/>
    <s v="JG"/>
    <s v="BELUM JTO"/>
    <n v="1"/>
    <n v="6"/>
    <x v="0"/>
    <s v="COLL"/>
    <x v="0"/>
    <x v="0"/>
    <m/>
  </r>
  <r>
    <n v="496"/>
    <d v="2025-11-08T21:01:14"/>
    <s v="6d21de4b-42fc-49f2-86f3-40a2a9759695"/>
    <s v="LatLng(lat: 1.0560236, lng: 103.9490238)"/>
    <s v="SP-25-F0001582"/>
    <s v="ROMI SILITONGA"/>
    <s v="BP 3959 AG"/>
    <x v="0"/>
    <s v="13.WILFRIN"/>
    <s v="A"/>
    <n v="5"/>
    <s v="MH1KF4115KK527295"/>
    <s v="KF41E1527693"/>
    <s v="HONDA"/>
    <s v="VARIO 150 KEYLESH"/>
    <s v="PUTIH"/>
    <s v="JG"/>
    <s v="DONE"/>
    <n v="4"/>
    <n v="24"/>
    <x v="0"/>
    <s v="COLL"/>
    <x v="0"/>
    <x v="0"/>
    <m/>
  </r>
  <r>
    <n v="497"/>
    <d v="2025-11-08T21:02:03"/>
    <s v="6d21de4b-42fc-49f2-86f3-40a2a9759695"/>
    <s v="LatLng(lat: 1.0564041, lng: 103.9481521)"/>
    <s v="OD-24-F0001939"/>
    <s v="SUDAR"/>
    <s v="BP 3091 MQ"/>
    <x v="4"/>
    <s v="TALENTA S"/>
    <s v=" "/>
    <n v="13"/>
    <s v="MH1JFM223FK262062"/>
    <s v="JFM2E2254612"/>
    <s v="HONDA"/>
    <s v="BEAT"/>
    <s v="WHITE RED"/>
    <s v="JG"/>
    <s v="GAGAL BAYAR"/>
    <n v="15"/>
    <n v="18"/>
    <x v="0"/>
    <s v="COLL"/>
    <x v="8"/>
    <x v="0"/>
    <m/>
  </r>
  <r>
    <n v="498"/>
    <d v="2025-11-08T21:05:20"/>
    <s v="6d21de4b-42fc-49f2-86f3-40a2a9759695"/>
    <s v="LatLng(lat: 1.0564524, lng: 103.9481843)"/>
    <s v="SP-24-F0002220"/>
    <s v="ISTINGADAH"/>
    <s v="BP 2710 HF"/>
    <x v="0"/>
    <s v="08.JOSRI"/>
    <s v="A"/>
    <n v="18"/>
    <s v="MH1JFZ120JK372218"/>
    <s v="JFZ1E2387836"/>
    <s v="HONDA"/>
    <s v="BEAT FI"/>
    <s v="PUTIH"/>
    <s v="JG"/>
    <s v="BELUM JTO"/>
    <n v="13"/>
    <n v="18"/>
    <x v="0"/>
    <s v="COLL"/>
    <x v="0"/>
    <x v="0"/>
    <m/>
  </r>
  <r>
    <n v="499"/>
    <d v="2025-11-08T21:17:56"/>
    <s v="6d21de4b-42fc-49f2-86f3-40a2a9759695"/>
    <s v="LatLng(lat: 1.0565221, lng: 103.9481574)"/>
    <s v="SP-24-F0002205"/>
    <s v="NINIK TRI DARYANI"/>
    <s v="BP 2107 UR"/>
    <x v="0"/>
    <s v="10.MIDUK"/>
    <s v="A"/>
    <n v="16"/>
    <s v="MH1JM8113LK130503"/>
    <s v="JM81E1131524"/>
    <s v="HONDA"/>
    <s v="BEAT FI"/>
    <s v="HITAM"/>
    <s v="JG"/>
    <s v="BELUM JTO"/>
    <n v="13"/>
    <n v="18"/>
    <x v="0"/>
    <s v="COLL"/>
    <x v="0"/>
    <x v="0"/>
    <m/>
  </r>
  <r>
    <n v="500"/>
    <d v="2025-11-08T21:21:21"/>
    <s v="6d21de4b-42fc-49f2-86f3-40a2a9759695"/>
    <s v="LatLng(lat: 1.124783, lng: 103.9676847)"/>
    <s v="OD-24-F0002939"/>
    <s v="ARY HIDAYAH"/>
    <s v="BP 2762 AR"/>
    <x v="0"/>
    <s v="08.JOSRI"/>
    <s v=" "/>
    <n v="18"/>
    <s v="MH1KF1122HK332707"/>
    <s v="KF11E2329181"/>
    <s v="HONDA"/>
    <s v="VARIO"/>
    <s v="BIRU"/>
    <s v="JG"/>
    <s v="BELUM JTO"/>
    <n v="13"/>
    <n v="24"/>
    <x v="0"/>
    <s v="COLL"/>
    <x v="0"/>
    <x v="0"/>
    <m/>
  </r>
  <r>
    <n v="501"/>
    <d v="2025-11-08T21:23:32"/>
    <s v="6d21de4b-42fc-49f2-86f3-40a2a9759695"/>
    <s v="LatLng(lat: 1.0565275, lng: 103.9481467)"/>
    <s v="SP-25-F0002655"/>
    <s v="SAUT SIBARANI"/>
    <s v="BP 2610 AU"/>
    <x v="6"/>
    <s v="C"/>
    <s v=" "/>
    <n v="1"/>
    <s v="MH1JM3134LK523852"/>
    <s v="JM31E3521276"/>
    <s v="HONDA"/>
    <s v="SCOOPY"/>
    <s v="MERAH HITAM"/>
    <s v="JG"/>
    <s v="BELUM JTO"/>
    <n v="1"/>
    <n v="18"/>
    <x v="0"/>
    <s v="COLL"/>
    <x v="0"/>
    <x v="0"/>
    <m/>
  </r>
  <r>
    <n v="502"/>
    <d v="2025-11-08T21:23:33"/>
    <s v="6d21de4b-42fc-49f2-86f3-40a2a9759695"/>
    <s v="LatLng(lat: 1.0451817, lng: 103.978225)"/>
    <s v="OD-25-F0001935"/>
    <s v="JOSRI SIJABAT"/>
    <s v="BP 3503 OD"/>
    <x v="6"/>
    <s v="C"/>
    <s v=" "/>
    <n v="1"/>
    <s v="MH1JM911XMK901000"/>
    <s v="JM91E1900395"/>
    <s v="HONDA"/>
    <s v="BEAT"/>
    <s v="HITAM"/>
    <s v="JG"/>
    <s v="BELUM JTO"/>
    <n v="1"/>
    <n v="18"/>
    <x v="0"/>
    <s v="COLL"/>
    <x v="0"/>
    <x v="0"/>
    <m/>
  </r>
  <r>
    <n v="503"/>
    <d v="2025-11-08T21:24:22"/>
    <s v="6d21de4b-42fc-49f2-86f3-40a2a9759695"/>
    <s v="LatLng(lat: 1.1238606, lng: 103.9675972)"/>
    <s v="OD-25-F0000713"/>
    <s v="GILANG AL FARIZI"/>
    <s v="BP 2522 PR"/>
    <x v="0"/>
    <s v="14.CALL CENTER"/>
    <s v="A"/>
    <n v="12"/>
    <s v="MH1JM9133PK054472"/>
    <s v="JM91E3053529"/>
    <s v="HONDA"/>
    <s v="BEAT"/>
    <s v="HIJAU"/>
    <s v="JG"/>
    <s v="BELUM JTO"/>
    <n v="8"/>
    <n v="12"/>
    <x v="0"/>
    <s v="COLL"/>
    <x v="0"/>
    <x v="0"/>
    <m/>
  </r>
  <r>
    <n v="504"/>
    <d v="2025-11-08T21:26:41"/>
    <s v="6d21de4b-42fc-49f2-86f3-40a2a9759695"/>
    <s v="LatLng(lat: 1.0565329, lng: 103.9481413)"/>
    <s v="OD-24-F0003228"/>
    <s v="JOVI VARIAN"/>
    <s v="BP 2533 AJ"/>
    <x v="0"/>
    <s v="04.RIZKI A"/>
    <s v="A"/>
    <n v="21"/>
    <s v="MH1JM4113KK331454"/>
    <s v="JM41E1330477"/>
    <s v="HONDA"/>
    <s v="VARIO"/>
    <s v="MERAH"/>
    <s v="JG"/>
    <s v="BELUM JTO"/>
    <n v="12"/>
    <n v="18"/>
    <x v="0"/>
    <s v="COLL"/>
    <x v="0"/>
    <x v="0"/>
    <m/>
  </r>
  <r>
    <n v="505"/>
    <d v="2025-11-08T21:46:38"/>
    <s v="6d21de4b-42fc-49f2-86f3-40a2a9759695"/>
    <s v="LatLng(lat: 1.0531037, lng: 103.9519247)"/>
    <s v="SP-24-F0002069"/>
    <s v="SARMA SILITONGA"/>
    <s v="BP 2219 FM"/>
    <x v="6"/>
    <s v="C"/>
    <s v=" "/>
    <n v="1"/>
    <s v="MH1KF0112PK415022"/>
    <s v="KF01E1415083"/>
    <s v="HONDA"/>
    <s v="VARIO 160"/>
    <s v="MERAH"/>
    <s v="JG"/>
    <s v="BELUM JTO"/>
    <n v="14"/>
    <n v="18"/>
    <x v="0"/>
    <s v="COLL"/>
    <x v="0"/>
    <x v="0"/>
    <m/>
  </r>
  <r>
    <n v="506"/>
    <d v="2025-11-08T21:48:15"/>
    <s v="6d21de4b-42fc-49f2-86f3-40a2a9759695"/>
    <s v="LatLng(lat: 1.0564112, lng: 103.9479184)"/>
    <s v="SP-25-F0002534"/>
    <s v="MISWADI"/>
    <s v="BP 3522 HU"/>
    <x v="0"/>
    <s v="14.CALL CENTER"/>
    <s v=" "/>
    <n v="11"/>
    <s v="MH1JFZ216JK420522"/>
    <s v="JFZ2E1420685"/>
    <s v="HONDA"/>
    <s v="BEAT STREET"/>
    <s v="HITAM"/>
    <s v="JG"/>
    <s v="BELUM JTO"/>
    <n v="1"/>
    <n v="18"/>
    <x v="0"/>
    <s v="COLL"/>
    <x v="0"/>
    <x v="0"/>
    <m/>
  </r>
  <r>
    <n v="507"/>
    <d v="2025-11-08T21:49:35"/>
    <s v="6d21de4b-42fc-49f2-86f3-40a2a9759695"/>
    <s v="LatLng(lat: 1.0563382, lng: 103.9479706)"/>
    <s v="SP-25-F0001071"/>
    <s v="JUMBERI AFRIDO"/>
    <s v="BP 4571 JC"/>
    <x v="0"/>
    <s v="12.JUBRAIDER S"/>
    <s v="A"/>
    <n v="13"/>
    <s v="MH3SG9220RK024520"/>
    <s v="G3V4E0037631"/>
    <s v="YAMAHA"/>
    <s v="NMAX"/>
    <s v="HITAM"/>
    <s v="JG"/>
    <s v="BELUM JTO"/>
    <n v="6"/>
    <n v="18"/>
    <x v="0"/>
    <s v="COLL"/>
    <x v="0"/>
    <x v="0"/>
    <m/>
  </r>
  <r>
    <n v="508"/>
    <d v="2025-11-08T21:50:43"/>
    <s v="6d21de4b-42fc-49f2-86f3-40a2a9759695"/>
    <s v="LatLng(lat: 1.0563275, lng: 103.9480358)"/>
    <s v="SP-25-F0000384"/>
    <s v="BUDI PANJAITAN"/>
    <s v="BP 3873 UD"/>
    <x v="0"/>
    <s v="14.CALL CENTER"/>
    <s v="A"/>
    <n v="18"/>
    <s v="MH1JM6113KK071844"/>
    <s v="JM61E1071909"/>
    <s v="HONDA"/>
    <s v="GENIO"/>
    <s v="HITAM"/>
    <s v="JG"/>
    <s v="BELUM JTO"/>
    <n v="9"/>
    <n v="24"/>
    <x v="0"/>
    <s v="COLL"/>
    <x v="0"/>
    <x v="0"/>
    <m/>
  </r>
  <r>
    <n v="509"/>
    <d v="2025-11-09T00:03:37"/>
    <s v="6d21de4b-42fc-49f2-86f3-40a2a9759695"/>
    <s v="LatLng(lat: 0.9288565, lng: 104.4377992)"/>
    <s v="BT-KD-24-00172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510"/>
    <d v="2025-11-09T10:22:29"/>
    <s v="eea94692-e3ef-470d-a986-47d8940e37c5"/>
    <s v="LatLng(lat: 1.0541864, lng: 103.9692124)"/>
    <s v="SP-25-F0001635"/>
    <s v="LAMTIAR PURBA"/>
    <s v="BP 3668 HM"/>
    <x v="0"/>
    <s v="13.WILFRIN"/>
    <s v="A"/>
    <n v="9"/>
    <s v="MH1JM1113JK842966"/>
    <s v="JM11E1826022"/>
    <s v="HONDA"/>
    <s v="BEAT FI"/>
    <s v="MAGENTA HITAM"/>
    <s v="JG"/>
    <s v="BELUM JTO"/>
    <n v="4"/>
    <n v="12"/>
    <x v="8"/>
    <s v="COLL"/>
    <x v="0"/>
    <x v="0"/>
    <m/>
  </r>
  <r>
    <n v="511"/>
    <d v="2025-11-09T14:28:46"/>
    <s v="fced54d3-7c26-48e8-91fe-7d7236e7f959"/>
    <s v="LatLng(lat: 1.1323642, lng: 104.0103435)"/>
    <s v="OD-25-F0001406"/>
    <s v="MISGIARTO"/>
    <s v="BP 2465 MU"/>
    <x v="0"/>
    <s v="14.CALL CENTER"/>
    <s v="A"/>
    <n v="19"/>
    <s v="MH1JM0116LK000135"/>
    <s v="JM01E1000107"/>
    <s v="HONDA"/>
    <s v="SCOOPY"/>
    <s v="HITAM MERAH"/>
    <s v="JG"/>
    <s v="BELUM JTO"/>
    <n v="4"/>
    <n v="18"/>
    <x v="10"/>
    <s v="COLL"/>
    <x v="1"/>
    <x v="0"/>
    <m/>
  </r>
  <r>
    <n v="512"/>
    <d v="2025-11-09T18:57:05"/>
    <s v="551fa799-4956-44f4-9122-ea915d0399f1"/>
    <s v="LatLng(lat: 1.0646098, lng: 103.9170246)"/>
    <s v="SP-25-F0002688"/>
    <s v="PAHOTAN DAMANIK"/>
    <s v="BP 3144 RJ"/>
    <x v="6"/>
    <s v="C"/>
    <s v=" "/>
    <n v="1"/>
    <s v="MH1JM8115NK938032"/>
    <s v="JM81E1939868"/>
    <s v="HONDA"/>
    <s v="BEAT DIGITAL"/>
    <s v="HITAM"/>
    <s v="JG"/>
    <s v="BELUM JTO"/>
    <n v="1"/>
    <n v="12"/>
    <x v="12"/>
    <s v="COLL"/>
    <x v="0"/>
    <x v="0"/>
    <m/>
  </r>
  <r>
    <n v="513"/>
    <d v="2025-11-09T19:01:14"/>
    <s v="5d155998-3b32-426c-9f80-9898af00922a"/>
    <s v="LatLng(lat: 1.0569704, lng: 103.9464391)"/>
    <s v="0200-1329"/>
    <s v="ROZY PRATAMA"/>
    <s v="BP 3027 UJ"/>
    <x v="9"/>
    <s v="EKSTERNAL"/>
    <s v=" "/>
    <n v="8"/>
    <s v="MH1JM0210MK402278"/>
    <s v="JM02E1402380"/>
    <s v="HONDA"/>
    <s v="SCOOPY_x000a_"/>
    <s v="HITAM"/>
    <s v="JG"/>
    <s v="GAGAL BAYAR"/>
    <n v="2"/>
    <n v="12"/>
    <x v="4"/>
    <s v="COLL"/>
    <x v="6"/>
    <x v="0"/>
    <m/>
  </r>
  <r>
    <n v="514"/>
    <d v="2025-11-09T19:21:50"/>
    <s v="5d155998-3b32-426c-9f80-9898af00922a"/>
    <s v="LatLng(lat: 1.0471765, lng: 103.9390436)"/>
    <s v="SP-25-F0002193"/>
    <s v="RIDHO HANAFI POHAN"/>
    <s v="BP 5312 UA"/>
    <x v="6"/>
    <s v="C"/>
    <s v=" "/>
    <n v="1"/>
    <s v="MH1JMA11XRK150456"/>
    <s v="JMA1E1150240"/>
    <s v="HONDA"/>
    <s v="GENIO"/>
    <s v="HITAM-MERAH"/>
    <s v="JG"/>
    <s v="BELUM JTO"/>
    <n v="5"/>
    <n v="12"/>
    <x v="4"/>
    <s v="COLL"/>
    <x v="0"/>
    <x v="0"/>
    <m/>
  </r>
  <r>
    <n v="515"/>
    <d v="2025-11-09T20:19:15"/>
    <s v="5d155998-3b32-426c-9f80-9898af00922a"/>
    <s v="LatLng(lat: 1.0524082, lng: 103.9769475)"/>
    <s v="SP-25-F0001045"/>
    <s v="RIKI MULYANTO"/>
    <s v="BP 2807 HE"/>
    <x v="0"/>
    <s v="12.JUBRAIDER S"/>
    <s v="A"/>
    <n v="10"/>
    <s v="MH1JFZ129JK353053"/>
    <s v="JFZ1E2348182"/>
    <s v="HONDA"/>
    <s v="BEAT"/>
    <s v="HITAM"/>
    <s v="JG"/>
    <s v="BELUM JTO"/>
    <n v="6"/>
    <n v="18"/>
    <x v="4"/>
    <s v="COLL"/>
    <x v="0"/>
    <x v="0"/>
    <m/>
  </r>
  <r>
    <n v="516"/>
    <d v="2025-11-09T21:28:54"/>
    <s v="5d155998-3b32-426c-9f80-9898af00922a"/>
    <s v="LatLng(lat: 1.0524082, lng: 103.9769475)"/>
    <s v="OD-24-F0002116"/>
    <s v="MULYADI"/>
    <s v="BP 3674 QG"/>
    <x v="0"/>
    <s v="05.BOSPA"/>
    <s v="A"/>
    <n v="1"/>
    <s v="MH1JFR115GK355091"/>
    <s v="JFR1E1349997"/>
    <s v="HONDA"/>
    <s v="BEAT CW F1"/>
    <s v="PUTIH MERAH"/>
    <s v="JG"/>
    <s v="DONE"/>
    <n v="15"/>
    <n v="24"/>
    <x v="4"/>
    <s v="COLL"/>
    <x v="0"/>
    <x v="0"/>
    <m/>
  </r>
  <r>
    <n v="517"/>
    <d v="2025-11-10T08:03:30"/>
    <s v="66338f6f-6199-47e8-8fc9-c871a18b6d2c"/>
    <s v="LatLng(lat: 1.0571558, lng: 104.0110085)"/>
    <s v="OD-25-F0000671"/>
    <s v="FAUZAN AKBAR"/>
    <s v="BP 3952 AM"/>
    <x v="0"/>
    <s v="12.JUBRAIDER S"/>
    <s v="A"/>
    <n v="8"/>
    <s v="MH1JM3120KK767567"/>
    <s v="JM31E2762824"/>
    <s v="HONDA"/>
    <s v="SCOOPY"/>
    <s v="HITAM-SILVER"/>
    <s v="JG"/>
    <s v="BELUM JTO"/>
    <n v="8"/>
    <n v="24"/>
    <x v="30"/>
    <s v="COLL"/>
    <x v="0"/>
    <x v="0"/>
    <m/>
  </r>
  <r>
    <n v="518"/>
    <d v="2025-11-10T08:32:59"/>
    <s v="688868a7-408e-44ae-b238-348dfc1995b0"/>
    <s v="LatLng(lat: 1.04072, lng: 103.9874717)"/>
    <s v="OD-24-F0001851"/>
    <s v="CHINDI CINORA SITINJAK"/>
    <s v="BP 2447 RO"/>
    <x v="0"/>
    <s v="06.ROBEN"/>
    <s v="A"/>
    <n v="6"/>
    <s v="MH1JM8116NK964168"/>
    <s v="JM81E1965773"/>
    <s v="HONDA"/>
    <s v="BEAT"/>
    <s v="PUTIH HITAM"/>
    <s v="JG"/>
    <s v="BELUM JTO"/>
    <n v="16"/>
    <n v="18"/>
    <x v="14"/>
    <s v="COLL"/>
    <x v="0"/>
    <x v="0"/>
    <m/>
  </r>
  <r>
    <n v="519"/>
    <d v="2025-11-10T08:53:56"/>
    <s v="987e43b5-2fed-4ba1-8992-1b4d84e413ab"/>
    <s v="LatLng(lat: 1.0407517, lng: 103.9875383)"/>
    <s v="SP-25-F0001534"/>
    <s v="HENDRA SETIAWAN"/>
    <s v="BP 3913 RA"/>
    <x v="0"/>
    <s v="13.WILFRIN"/>
    <s v="A"/>
    <n v="8"/>
    <s v="MH1KF0119NK179496"/>
    <s v="KF01E1179276"/>
    <s v="HONDA"/>
    <s v="VARIO 160"/>
    <s v="HITAM"/>
    <s v="JG"/>
    <s v="BELUM JTO"/>
    <n v="4"/>
    <n v="12"/>
    <x v="20"/>
    <s v="COLL"/>
    <x v="0"/>
    <x v="0"/>
    <m/>
  </r>
  <r>
    <n v="520"/>
    <d v="2025-11-10T09:42:49"/>
    <s v="2d9d422f-1d0e-4451-8950-dc9e388e3850"/>
    <s v="LatLng(lat: 1.0433469, lng: 103.9795216)"/>
    <s v="SP-25-F0001705"/>
    <s v="ZAENUDIN"/>
    <s v="BP 4379 AE"/>
    <x v="0"/>
    <s v="14.CALL CENTER"/>
    <s v="A"/>
    <n v="15"/>
    <s v="MH3RG4710KK127700"/>
    <s v="G3J6E0239101"/>
    <s v="HONDA"/>
    <s v="R15 V3"/>
    <s v="BIRU"/>
    <s v="JG"/>
    <s v="BELUM JTO"/>
    <n v="4"/>
    <n v="12"/>
    <x v="33"/>
    <s v="COLL"/>
    <x v="0"/>
    <x v="0"/>
    <m/>
  </r>
  <r>
    <n v="521"/>
    <d v="2025-11-10T10:13:54"/>
    <s v="e0d931cf-6e64-4a91-a81a-04cf02d33a39"/>
    <s v="LatLng(lat: 1.0501482, lng: 103.9611636)"/>
    <s v="0100-1246"/>
    <s v="ELZA SYAFRIYATI"/>
    <s v="BP 5256 AF"/>
    <x v="9"/>
    <s v="EKSTERNAL"/>
    <s v=" "/>
    <n v="10"/>
    <s v="MH3SEF540KJ006624"/>
    <s v="E31XE0027825"/>
    <s v="YAMAHA"/>
    <s v="FREEGO B5D - IA A/T"/>
    <s v="MERAH"/>
    <s v="JG"/>
    <s v="GAGAL BAYAR"/>
    <n v="17"/>
    <n v="18"/>
    <x v="13"/>
    <s v="COLL"/>
    <x v="6"/>
    <x v="0"/>
    <m/>
  </r>
  <r>
    <n v="522"/>
    <d v="2025-11-10T10:46:03"/>
    <s v="0787ea2f-240f-4392-bead-e10cba282613"/>
    <s v="LatLng(lat: 1.0432484, lng: 103.9793671)"/>
    <s v="SP-25-F0000914"/>
    <s v="TUGIANTO"/>
    <s v="BP 3310 QF"/>
    <x v="0"/>
    <s v="10.MIDUK"/>
    <s v="A"/>
    <n v="1"/>
    <s v="MH1JFP121GK550862"/>
    <s v="JFP1E2569067"/>
    <s v="HONDA"/>
    <s v="BEAT CW"/>
    <s v="PUTIH BIRU"/>
    <s v="JG"/>
    <s v="GAGAL BAYAR"/>
    <n v="6"/>
    <n v="12"/>
    <x v="27"/>
    <s v="COLL"/>
    <x v="0"/>
    <x v="0"/>
    <m/>
  </r>
  <r>
    <n v="523"/>
    <d v="2025-11-10T10:47:17"/>
    <s v="0787ea2f-240f-4392-bead-e10cba282613"/>
    <s v="LatLng(lat: 1.0432726, lng: 103.9793649)"/>
    <s v="OD-25-F0001155"/>
    <s v="MUHAMMAD ADI PUTRA KURNIAWAN"/>
    <s v="BP 2096 CE"/>
    <x v="0"/>
    <s v="10.MIDUK"/>
    <s v="B"/>
    <n v="1"/>
    <s v="MH1KF1111FK171657"/>
    <s v="KF11E1175794"/>
    <s v="HONDA"/>
    <s v="VARIO 125"/>
    <s v="HITAM"/>
    <s v="JG"/>
    <s v="GAGAL BAYAR"/>
    <n v="5"/>
    <n v="24"/>
    <x v="27"/>
    <s v="COLL"/>
    <x v="0"/>
    <x v="0"/>
    <m/>
  </r>
  <r>
    <n v="524"/>
    <d v="2025-11-10T10:58:30"/>
    <s v="6d21de4b-42fc-49f2-86f3-40a2a9759695"/>
    <s v="LatLng(lat: 0.9120333, lng: 104.4937967)"/>
    <s v="TP-24-F0000593"/>
    <s v="IRENE ALFONS"/>
    <s v="BP 5295 GT"/>
    <x v="4"/>
    <s v="SATRIA"/>
    <s v=" "/>
    <n v="3"/>
    <s v="MH3SG3190KJ450074"/>
    <s v="G3E4E1282376"/>
    <s v="YAMAHA"/>
    <s v="N-MAX"/>
    <s v="HITAM"/>
    <s v="JG"/>
    <s v="GAGAL BAYAR"/>
    <n v="12"/>
    <n v="18"/>
    <x v="0"/>
    <s v="COLL"/>
    <x v="8"/>
    <x v="0"/>
    <m/>
  </r>
  <r>
    <n v="525"/>
    <d v="2025-11-10T12:20:42"/>
    <s v="5d155998-3b32-426c-9f80-9898af00922a"/>
    <s v="LatLng(lat: 1.0425539, lng: 103.9829203)"/>
    <s v="SP-25-F0002487"/>
    <s v="PITTO DOLI SIJABAT"/>
    <s v="BP 3474 SQ"/>
    <x v="0"/>
    <s v="14.CALL CENTER"/>
    <s v=" "/>
    <n v="6"/>
    <s v="MH1JM8124PK635335"/>
    <s v="JM81E2635650"/>
    <s v="HONDA"/>
    <s v="BEAT DIGITAL"/>
    <s v="SILVER HITAM"/>
    <s v="JG"/>
    <s v="BELUM JTO"/>
    <n v="1"/>
    <n v="18"/>
    <x v="4"/>
    <s v="COLL"/>
    <x v="0"/>
    <x v="0"/>
    <m/>
  </r>
  <r>
    <n v="526"/>
    <d v="2025-11-10T12:47:06"/>
    <s v="551fa799-4956-44f4-9122-ea915d0399f1"/>
    <s v="LatLng(lat: 1.0358729, lng: 103.9971028)"/>
    <s v="OD-25-F0001620"/>
    <s v="RAHMAT HIDAYAT"/>
    <s v="BP 6513 RC"/>
    <x v="0"/>
    <s v="11.RIMPUN "/>
    <s v="A"/>
    <n v="1"/>
    <s v="MH34NS00H2K638012"/>
    <s v="4WH313668"/>
    <s v="YAMAHA"/>
    <s v="FIZR POSWAN"/>
    <s v="HIJAU"/>
    <s v="JG"/>
    <s v="GAGAL BAYAR"/>
    <n v="2"/>
    <n v="12"/>
    <x v="12"/>
    <s v="COLL"/>
    <x v="0"/>
    <x v="0"/>
    <m/>
  </r>
  <r>
    <n v="527"/>
    <d v="2025-11-10T12:47:26"/>
    <s v="66338f6f-6199-47e8-8fc9-c871a18b6d2c"/>
    <s v="LatLng(lat: 1.0319097, lng: 104.0469827)"/>
    <s v="OD-25-F0001486"/>
    <s v="WIDIANTO"/>
    <s v="BP 3412 MP"/>
    <x v="0"/>
    <s v="03.DAULAT"/>
    <s v="A"/>
    <n v="9"/>
    <s v="MH1JFK118FK310569"/>
    <s v="JFK1E1302772"/>
    <s v="HONDA"/>
    <s v="VARIO 125 TECHNO"/>
    <s v="MERAH"/>
    <s v="JG"/>
    <s v="BELUM JTO"/>
    <n v="3"/>
    <n v="24"/>
    <x v="30"/>
    <s v="COLL"/>
    <x v="0"/>
    <x v="0"/>
    <m/>
  </r>
  <r>
    <n v="528"/>
    <d v="2025-11-10T12:51:26"/>
    <s v="e0d931cf-6e64-4a91-a81a-04cf02d33a39"/>
    <s v="LatLng(lat: 1.0408833, lng: 103.9873733)"/>
    <s v="SP-25-F0002357"/>
    <s v="KARTINA DARMA PUTRI"/>
    <s v="BP 2446 M"/>
    <x v="0"/>
    <s v="14.CALL CENTER"/>
    <s v=" "/>
    <n v="20"/>
    <s v="MH1JM0110MK140487"/>
    <s v="JM01E1143036"/>
    <s v="HONDA"/>
    <s v="SCOOPY NON KEYLESS"/>
    <s v="BIRU"/>
    <s v="JG"/>
    <s v="BELUM JTO"/>
    <n v="2"/>
    <n v="24"/>
    <x v="13"/>
    <s v="COLL"/>
    <x v="0"/>
    <x v="0"/>
    <m/>
  </r>
  <r>
    <n v="529"/>
    <d v="2025-11-10T12:52:41"/>
    <s v="5d155998-3b32-426c-9f80-9898af00922a"/>
    <s v="LatLng(lat: 1.039976, lng: 103.9934725)"/>
    <s v="SP-25-F0002357"/>
    <s v="KARTINA DARMA PUTRI"/>
    <s v="BP 2446 M"/>
    <x v="0"/>
    <s v="14.CALL CENTER"/>
    <s v=" "/>
    <n v="20"/>
    <s v="MH1JM0110MK140487"/>
    <s v="JM01E1143036"/>
    <s v="HONDA"/>
    <s v="SCOOPY NON KEYLESS"/>
    <s v="BIRU"/>
    <s v="JG"/>
    <s v="BELUM JTO"/>
    <n v="2"/>
    <n v="24"/>
    <x v="4"/>
    <s v="COLL"/>
    <x v="0"/>
    <x v="0"/>
    <m/>
  </r>
  <r>
    <n v="530"/>
    <d v="2025-11-10T12:53:44"/>
    <s v="83ca24fc-042d-4a7a-aea3-35465e9db033"/>
    <s v="LatLng(lat: 1.0494807, lng: 103.9479414)"/>
    <s v="SP-25-F0001259"/>
    <s v="NURAINUN LUBIS"/>
    <s v="BP 2887 AJ"/>
    <x v="0"/>
    <s v="10.MIDUK"/>
    <s v="A"/>
    <n v="3"/>
    <s v="MH1JFZ136KK347141"/>
    <s v="JFZ1E3347175"/>
    <s v="HONDA"/>
    <s v="BEAT"/>
    <s v="HITAM"/>
    <s v="JG"/>
    <s v="GAGAL BAYAR"/>
    <n v="5"/>
    <n v="12"/>
    <x v="32"/>
    <s v="COLL"/>
    <x v="0"/>
    <x v="0"/>
    <m/>
  </r>
  <r>
    <n v="531"/>
    <d v="2025-11-10T12:53:46"/>
    <s v="551fa799-4956-44f4-9122-ea915d0399f1"/>
    <s v="LatLng(lat: 1.040455, lng: 103.993805)"/>
    <s v="0100-1370"/>
    <s v="HENDRA TRINO NABABAN"/>
    <s v="BP 3886 QJ"/>
    <x v="9"/>
    <s v="EKSTERNAL"/>
    <s v=" "/>
    <n v="5"/>
    <s v="MH1KB1117GK087369"/>
    <s v="KB11E1086601"/>
    <s v="HONDA"/>
    <s v="Y3B02R17L0 M/T SONIC_x000a_"/>
    <s v="HITAM"/>
    <s v="JG"/>
    <s v="GAGAL BAYAR"/>
    <n v="4"/>
    <n v="12"/>
    <x v="12"/>
    <s v="COLL"/>
    <x v="6"/>
    <x v="0"/>
    <m/>
  </r>
  <r>
    <n v="532"/>
    <d v="2025-11-10T12:59:11"/>
    <s v="e4173dd7-6d58-43a6-8f0e-8ad94c7a888a"/>
    <s v="LatLng(lat: 1.0630347, lng: 104.0160525)"/>
    <s v="TP-24-F0000431"/>
    <s v="FAL SAHRUL"/>
    <s v="BP 3409 PI"/>
    <x v="0"/>
    <s v="02.REY"/>
    <s v="A"/>
    <n v="5"/>
    <s v="MH1JM711XMK162277"/>
    <s v="JM71E1162105"/>
    <s v="HONDA"/>
    <s v="GENIO"/>
    <s v="HITAM"/>
    <s v="JG"/>
    <s v="GAGAL BAYAR"/>
    <n v="15"/>
    <n v="24"/>
    <x v="29"/>
    <s v="COLL"/>
    <x v="0"/>
    <x v="0"/>
    <m/>
  </r>
  <r>
    <n v="533"/>
    <d v="2025-11-10T13:14:22"/>
    <s v="551fa799-4956-44f4-9122-ea915d0399f1"/>
    <s v="LatLng(lat: 1.12503, lng: 104.018385)"/>
    <s v="OD-25-F0000604"/>
    <s v="MHD FARIBY AKBAR"/>
    <s v="BP 2787 UM"/>
    <x v="0"/>
    <s v="06.ROBEN"/>
    <s v="A"/>
    <n v="1"/>
    <s v="MH1JM5114LK700734"/>
    <s v="JM51E1700441"/>
    <s v="HONDA"/>
    <s v="VARIO"/>
    <s v="PUTIH"/>
    <s v="JG"/>
    <s v="DONE"/>
    <n v="8"/>
    <n v="18"/>
    <x v="12"/>
    <s v="COLL"/>
    <x v="0"/>
    <x v="0"/>
    <m/>
  </r>
  <r>
    <n v="534"/>
    <d v="2025-11-10T13:14:23"/>
    <s v="5d155998-3b32-426c-9f80-9898af00922a"/>
    <s v="LatLng(lat: 1.125133, lng: 104.0262473)"/>
    <s v="OD-25-F0000604"/>
    <s v="MHD FARIBY AKBAR"/>
    <s v="BP 2787 UM"/>
    <x v="0"/>
    <s v="06.ROBEN"/>
    <s v="A"/>
    <n v="1"/>
    <s v="MH1JM5114LK700734"/>
    <s v="JM51E1700441"/>
    <s v="HONDA"/>
    <s v="VARIO"/>
    <s v="PUTIH"/>
    <s v="JG"/>
    <s v="DONE"/>
    <n v="8"/>
    <n v="18"/>
    <x v="4"/>
    <s v="COLL"/>
    <x v="0"/>
    <x v="0"/>
    <m/>
  </r>
  <r>
    <n v="535"/>
    <d v="2025-11-10T13:27:34"/>
    <s v="5d155998-3b32-426c-9f80-9898af00922a"/>
    <s v="LatLng(lat: 1.1380776, lng: 104.0273775)"/>
    <s v="SP-25-F0001038"/>
    <s v="BILLI ADITIA"/>
    <s v="BP 3474 J"/>
    <x v="0"/>
    <s v="07.RINTO"/>
    <s v="A"/>
    <n v="9"/>
    <s v="MH1JM0211MK362650"/>
    <s v="JM02E1362627"/>
    <s v="HONDA"/>
    <s v="SCOOPY"/>
    <s v="HITAM"/>
    <s v="JG"/>
    <s v="BELUM JTO"/>
    <n v="6"/>
    <n v="18"/>
    <x v="4"/>
    <s v="COLL"/>
    <x v="0"/>
    <x v="0"/>
    <m/>
  </r>
  <r>
    <n v="536"/>
    <d v="2025-11-10T13:29:33"/>
    <s v="f0b79403-18b0-47dd-bacc-d76d9d60a28e"/>
    <s v="LatLng(lat: 1.1348925, lng: 104.0233005)"/>
    <s v="SP-25-F0000152"/>
    <s v="NUR KURNIA DEWI"/>
    <s v="BP 4521 AE"/>
    <x v="0"/>
    <s v="14.CALL CENTER"/>
    <s v="A"/>
    <n v="18"/>
    <s v="MH3SG3190KJ835328"/>
    <s v="G3E4E1810199"/>
    <s v="YAMAHA"/>
    <s v="NMAX ABS"/>
    <s v="HITAM"/>
    <s v="JG"/>
    <s v="BELUM JTO"/>
    <n v="10"/>
    <n v="24"/>
    <x v="24"/>
    <s v="COLL"/>
    <x v="0"/>
    <x v="0"/>
    <m/>
  </r>
  <r>
    <n v="537"/>
    <d v="2025-11-10T13:31:28"/>
    <s v="dcc6f40b-a9a1-43d4-bd37-f0019f505bcd"/>
    <s v="LatLng(lat: 1.1516241, lng: 104.0259035)"/>
    <s v="OD-24-F0001200"/>
    <s v="ANGGA DAPIT"/>
    <s v="BP 2118 HR"/>
    <x v="0"/>
    <s v="04.RIZKI A"/>
    <s v="A"/>
    <n v="3"/>
    <s v="MH1JFZ129JK739469"/>
    <s v="JFZ1E2741147"/>
    <s v="HONDA"/>
    <s v="BEAT"/>
    <s v="HITAM"/>
    <s v="JG"/>
    <s v="GAGAL BAYAR"/>
    <n v="18"/>
    <n v="18"/>
    <x v="9"/>
    <s v="COLL"/>
    <x v="0"/>
    <x v="0"/>
    <m/>
  </r>
  <r>
    <n v="538"/>
    <d v="2025-11-10T13:32:58"/>
    <s v="dcc6f40b-a9a1-43d4-bd37-f0019f505bcd"/>
    <s v="LatLng(lat: 1.1524467, lng: 104.027287)"/>
    <s v="OD-24-F0002833"/>
    <s v="ALI KUNARTO"/>
    <s v="BP 2872 AH"/>
    <x v="6"/>
    <s v="C"/>
    <s v=" "/>
    <n v="8"/>
    <s v="MH1JM2120KK327519"/>
    <s v="JM21E2304934"/>
    <s v="HONDA"/>
    <s v="BEAT"/>
    <s v="HITAM"/>
    <s v="JG"/>
    <s v="BELUM JTO"/>
    <n v="15"/>
    <n v="18"/>
    <x v="9"/>
    <s v="COLL"/>
    <x v="0"/>
    <x v="0"/>
    <m/>
  </r>
  <r>
    <n v="539"/>
    <d v="2025-11-10T13:33:00"/>
    <s v="987e43b5-2fed-4ba1-8992-1b4d84e413ab"/>
    <s v="LatLng(lat: 1.1522984, lng: 104.027048)"/>
    <s v="OD-24-F0002833"/>
    <s v="ALI KUNARTO"/>
    <s v="BP 2872 AH"/>
    <x v="6"/>
    <s v="C"/>
    <s v=" "/>
    <n v="8"/>
    <s v="MH1JM2120KK327519"/>
    <s v="JM21E2304934"/>
    <s v="HONDA"/>
    <s v="BEAT"/>
    <s v="HITAM"/>
    <s v="JG"/>
    <s v="BELUM JTO"/>
    <n v="15"/>
    <n v="18"/>
    <x v="20"/>
    <s v="COLL"/>
    <x v="0"/>
    <x v="0"/>
    <m/>
  </r>
  <r>
    <n v="540"/>
    <d v="2025-11-10T13:33:07"/>
    <s v="688868a7-408e-44ae-b238-348dfc1995b0"/>
    <s v="LatLng(lat: 1.1522863, lng: 104.0269814)"/>
    <s v="OD-24-F0002833"/>
    <s v="ALI KUNARTO"/>
    <s v="BP 2872 AH"/>
    <x v="6"/>
    <s v="C"/>
    <s v=" "/>
    <n v="8"/>
    <s v="MH1JM2120KK327519"/>
    <s v="JM21E2304934"/>
    <s v="HONDA"/>
    <s v="BEAT"/>
    <s v="HITAM"/>
    <s v="JG"/>
    <s v="BELUM JTO"/>
    <n v="15"/>
    <n v="18"/>
    <x v="14"/>
    <s v="COLL"/>
    <x v="0"/>
    <x v="0"/>
    <m/>
  </r>
  <r>
    <n v="541"/>
    <d v="2025-11-10T13:33:35"/>
    <s v="78c8aa58-d259-49a1-a96c-192417985ecf"/>
    <s v="LatLng(lat: 1.1514838, lng: 104.0257035)"/>
    <s v="OD-24-F0001200"/>
    <s v="ANGGA DAPIT"/>
    <s v="BP 2118 HR"/>
    <x v="0"/>
    <s v="04.RIZKI A"/>
    <s v="A"/>
    <n v="3"/>
    <s v="MH1JFZ129JK739469"/>
    <s v="JFZ1E2741147"/>
    <s v="HONDA"/>
    <s v="BEAT"/>
    <s v="HITAM"/>
    <s v="JG"/>
    <s v="GAGAL BAYAR"/>
    <n v="18"/>
    <n v="18"/>
    <x v="16"/>
    <s v="COLL"/>
    <x v="0"/>
    <x v="0"/>
    <m/>
  </r>
  <r>
    <n v="542"/>
    <d v="2025-11-10T13:34:27"/>
    <s v="78c8aa58-d259-49a1-a96c-192417985ecf"/>
    <s v="LatLng(lat: 1.1520531, lng: 104.0265275)"/>
    <s v="OD-24-F0002833"/>
    <s v="ALI KUNARTO"/>
    <s v="BP 2872 AH"/>
    <x v="6"/>
    <s v="C"/>
    <s v=" "/>
    <n v="8"/>
    <s v="MH1JM2120KK327519"/>
    <s v="JM21E2304934"/>
    <s v="HONDA"/>
    <s v="BEAT"/>
    <s v="HITAM"/>
    <s v="JG"/>
    <s v="BELUM JTO"/>
    <n v="15"/>
    <n v="18"/>
    <x v="16"/>
    <s v="COLL"/>
    <x v="0"/>
    <x v="0"/>
    <m/>
  </r>
  <r>
    <n v="543"/>
    <d v="2025-11-10T13:36:49"/>
    <s v="e0d931cf-6e64-4a91-a81a-04cf02d33a39"/>
    <s v="LatLng(lat: 1.1520733, lng: 104.02766)"/>
    <s v="SP-25-F0002481"/>
    <s v="ALHADI DJAHILAPE"/>
    <s v="BP 2247 RC"/>
    <x v="6"/>
    <s v="C"/>
    <s v=" "/>
    <n v="4"/>
    <s v="MH1KCD212NK023203"/>
    <s v="KCD2E1023131"/>
    <s v="HONDA"/>
    <s v="CB 150"/>
    <s v="SILVER"/>
    <s v="JG"/>
    <s v="BELUM JTO"/>
    <n v="2"/>
    <n v="18"/>
    <x v="13"/>
    <s v="COLL"/>
    <x v="0"/>
    <x v="0"/>
    <m/>
  </r>
  <r>
    <n v="544"/>
    <d v="2025-11-10T13:36:58"/>
    <s v="5d155998-3b32-426c-9f80-9898af00922a"/>
    <s v="LatLng(lat: 1.1479149, lng: 104.0248134)"/>
    <s v="SP-25-F0001563"/>
    <s v="RIKIYANTO"/>
    <s v="BP 2575 HQ"/>
    <x v="0"/>
    <s v="11.RIMPUN "/>
    <s v="A"/>
    <n v="4"/>
    <s v="MH1JM1112HK334076"/>
    <s v="JM11E1323241"/>
    <s v="HONDA"/>
    <s v="BEAT FI"/>
    <s v="MAGENTA HITAM"/>
    <s v="JG"/>
    <s v="GAGAL BAYAR"/>
    <n v="4"/>
    <n v="18"/>
    <x v="4"/>
    <s v="COLL"/>
    <x v="0"/>
    <x v="0"/>
    <m/>
  </r>
  <r>
    <n v="545"/>
    <d v="2025-11-10T13:39:06"/>
    <s v="38fa4eda-b9a3-44ff-9898-d074c99008b7"/>
    <s v="LatLng(lat: 1.0438861, lng: 103.9751927)"/>
    <s v="OD-24-F0002080"/>
    <s v="EWAN SAPUTRA"/>
    <s v="BP 3724 GO"/>
    <x v="0"/>
    <s v="07.RINTO"/>
    <s v="A"/>
    <n v="25"/>
    <s v="MH1JF5135CK640295"/>
    <s v="JF51E3637286"/>
    <s v="HONDA"/>
    <s v="BEAT"/>
    <s v="BIRU PUTIH"/>
    <s v="JG"/>
    <s v="BELUM JTO"/>
    <n v="16"/>
    <n v="18"/>
    <x v="43"/>
    <s v="COLL"/>
    <x v="0"/>
    <x v="0"/>
    <m/>
  </r>
  <r>
    <n v="546"/>
    <d v="2025-11-10T13:43:51"/>
    <s v="dcc6f40b-a9a1-43d4-bd37-f0019f505bcd"/>
    <s v="LatLng(lat: 1.1561941, lng: 104.0283443)"/>
    <s v="OD-24-F0000321"/>
    <s v="SULAIMAN"/>
    <s v="BP 3704 MG"/>
    <x v="0"/>
    <s v="04.RIZKI A"/>
    <s v="A"/>
    <n v="1"/>
    <s v="MH1JFM215EK446991"/>
    <s v="JFM2E1440170"/>
    <s v="HONDA"/>
    <s v="BEAT CW"/>
    <s v="MERAH"/>
    <s v="JG"/>
    <s v="DONE"/>
    <n v="21"/>
    <n v="24"/>
    <x v="9"/>
    <s v="COLL"/>
    <x v="0"/>
    <x v="0"/>
    <m/>
  </r>
  <r>
    <n v="547"/>
    <d v="2025-11-10T13:47:08"/>
    <s v="e0d931cf-6e64-4a91-a81a-04cf02d33a39"/>
    <s v="LatLng(lat: 1.1536683, lng: 104.0266833)"/>
    <s v="OD-24-F0003332"/>
    <s v="EMANUEL IBI HURINT"/>
    <s v="BP 2769 UQ"/>
    <x v="0"/>
    <s v="14.CALL CENTER"/>
    <s v="A"/>
    <n v="6"/>
    <s v="MH1JM8116MK762946"/>
    <s v="JM81E1764895"/>
    <s v="HONDA"/>
    <s v="BEAT"/>
    <s v="HITAM"/>
    <s v="JG"/>
    <s v="BELUM JTO"/>
    <n v="11"/>
    <n v="18"/>
    <x v="13"/>
    <s v="COLL"/>
    <x v="0"/>
    <x v="0"/>
    <m/>
  </r>
  <r>
    <n v="548"/>
    <d v="2025-11-10T13:48:54"/>
    <s v="74bb1709-aa7b-4b41-a082-a2af867fd15e"/>
    <s v="LatLng(lat: 1.1525185, lng: 104.0253137)"/>
    <s v="SP-25-F0000858"/>
    <s v="YULIUS TELEMBANUA"/>
    <s v="BP 3385 FU"/>
    <x v="0"/>
    <s v="04.RIZKI A"/>
    <s v="A"/>
    <n v="17"/>
    <s v="MH1JFZ13XKK632313"/>
    <s v="JFZ1E3632228"/>
    <s v="HONDA"/>
    <s v="BEAT"/>
    <s v="HITAM"/>
    <s v="JG"/>
    <s v="BELUM JTO"/>
    <n v="7"/>
    <n v="24"/>
    <x v="7"/>
    <s v="COLL"/>
    <x v="0"/>
    <x v="0"/>
    <m/>
  </r>
  <r>
    <n v="549"/>
    <d v="2025-11-10T13:59:14"/>
    <s v="78c8aa58-d259-49a1-a96c-192417985ecf"/>
    <s v="LatLng(lat: 1.1581167, lng: 104.0262681)"/>
    <s v="SP-25-F0001601"/>
    <s v="ANGGI BERTA ANDRIANI"/>
    <s v="BP 2655 UM"/>
    <x v="0"/>
    <s v="13.WILFRIN"/>
    <s v="A"/>
    <n v="7"/>
    <s v="MH1JM0215LK014901"/>
    <s v="JM02E1015033"/>
    <s v="HONDA"/>
    <s v="SCOOPY NON KEYLESS"/>
    <s v="COKLAT"/>
    <s v="JG"/>
    <s v="BELUM JTO"/>
    <n v="4"/>
    <n v="12"/>
    <x v="16"/>
    <s v="COLL"/>
    <x v="0"/>
    <x v="0"/>
    <m/>
  </r>
  <r>
    <n v="550"/>
    <d v="2025-11-10T14:05:27"/>
    <s v="1770dac3-81ca-4fab-8a6a-e60c63470def"/>
    <s v="LatLng(lat: 1.1569706, lng: 104.0104367)"/>
    <s v="SP-25-F0002338"/>
    <s v="ALDI PHIRAWANDI"/>
    <s v="BP 2391 RH"/>
    <x v="0"/>
    <s v="14.CALL CENTER"/>
    <s v=" "/>
    <n v="19"/>
    <s v="MH1JM0117NK507421"/>
    <s v="JM01E1504246"/>
    <s v="HONDA"/>
    <s v="SCOOPY NON KEYLESS"/>
    <s v="HITAM-ORANGE"/>
    <s v="JG"/>
    <s v="BELUM JTO"/>
    <n v="2"/>
    <n v="24"/>
    <x v="21"/>
    <s v="COLL"/>
    <x v="0"/>
    <x v="0"/>
    <m/>
  </r>
  <r>
    <n v="551"/>
    <d v="2025-11-10T14:05:28"/>
    <s v="6f0ee670-8a9a-45ff-8c00-ca014f6aabeb"/>
    <s v="LatLng(lat: 1.1576984, lng: 104.0106847)"/>
    <s v="SP-25-F0002338"/>
    <s v="ALDI PHIRAWANDI"/>
    <s v="BP 2391 RH"/>
    <x v="0"/>
    <s v="14.CALL CENTER"/>
    <s v=" "/>
    <n v="19"/>
    <s v="MH1JM0117NK507421"/>
    <s v="JM01E1504246"/>
    <s v="HONDA"/>
    <s v="SCOOPY NON KEYLESS"/>
    <s v="HITAM-ORANGE"/>
    <s v="JG"/>
    <s v="BELUM JTO"/>
    <n v="2"/>
    <n v="24"/>
    <x v="18"/>
    <s v="COLL"/>
    <x v="0"/>
    <x v="0"/>
    <m/>
  </r>
  <r>
    <n v="552"/>
    <d v="2025-11-10T14:07:40"/>
    <s v="f0b79403-18b0-47dd-bacc-d76d9d60a28e"/>
    <s v="LatLng(lat: 1.1517558, lng: 104.0099555)"/>
    <s v="OD-24-F0000321"/>
    <s v="SULAIMAN"/>
    <s v="BP 3704 MG"/>
    <x v="0"/>
    <s v="04.RIZKI A"/>
    <s v="A"/>
    <n v="1"/>
    <s v="MH1JFM215EK446991"/>
    <s v="JFM2E1440170"/>
    <s v="HONDA"/>
    <s v="BEAT CW"/>
    <s v="MERAH"/>
    <s v="JG"/>
    <s v="DONE"/>
    <n v="21"/>
    <n v="24"/>
    <x v="24"/>
    <s v="COLL"/>
    <x v="0"/>
    <x v="0"/>
    <m/>
  </r>
  <r>
    <n v="553"/>
    <d v="2025-11-10T14:11:04"/>
    <s v="987e43b5-2fed-4ba1-8992-1b4d84e413ab"/>
    <s v="LatLng(lat: 1.1588027, lng: 104.0276779)"/>
    <s v="SP-25-F0001533"/>
    <s v="WAGIMAN USMAN"/>
    <s v="BP 2616 QM"/>
    <x v="0"/>
    <s v="09.OLOAN"/>
    <s v="A"/>
    <n v="5"/>
    <s v="MH1JFZ119GK333031"/>
    <s v="JFZ1E1342428"/>
    <s v="HONDA"/>
    <s v="BEAT FI"/>
    <s v="HITAM"/>
    <s v="JG"/>
    <s v="GAGAL BAYAR"/>
    <n v="4"/>
    <n v="18"/>
    <x v="20"/>
    <s v="COLL"/>
    <x v="0"/>
    <x v="0"/>
    <m/>
  </r>
  <r>
    <n v="554"/>
    <d v="2025-11-10T14:19:20"/>
    <s v="987e43b5-2fed-4ba1-8992-1b4d84e413ab"/>
    <s v="LatLng(lat: 1.1607403, lng: 104.0310845)"/>
    <s v="OD-25-F0001577"/>
    <s v="HENDRY NICHOLAS SIMANJUNTAK"/>
    <s v="BP 3343 ER"/>
    <x v="0"/>
    <s v="06.ROBEN"/>
    <s v="A"/>
    <n v="19"/>
    <s v="MH1JFZ139KK451672"/>
    <s v="JFZ1E3451582"/>
    <s v="HONDA"/>
    <s v="BEAT"/>
    <s v="HITAM"/>
    <s v="JG"/>
    <s v="BELUM JTO"/>
    <n v="3"/>
    <n v="24"/>
    <x v="20"/>
    <s v="COLL"/>
    <x v="0"/>
    <x v="0"/>
    <m/>
  </r>
  <r>
    <n v="555"/>
    <d v="2025-11-10T14:25:56"/>
    <s v="987e43b5-2fed-4ba1-8992-1b4d84e413ab"/>
    <s v="LatLng(lat: 1.1579987, lng: 104.0351322)"/>
    <s v="OD-24-F0002598"/>
    <s v="SYAHDIAL DJUNIT"/>
    <s v="BP 2234 RG"/>
    <x v="0"/>
    <s v="04.RIZKI A"/>
    <s v="A"/>
    <n v="11"/>
    <s v="MH1JM0114MK485814"/>
    <s v="JM01E1484907"/>
    <s v="HONDA"/>
    <s v="SCOOPY"/>
    <s v="HITAM MERAH"/>
    <s v="JG"/>
    <s v="BELUM JTO"/>
    <n v="14"/>
    <n v="18"/>
    <x v="20"/>
    <s v="COLL"/>
    <x v="0"/>
    <x v="0"/>
    <m/>
  </r>
  <r>
    <n v="556"/>
    <d v="2025-11-10T14:29:07"/>
    <s v="688868a7-408e-44ae-b238-348dfc1995b0"/>
    <s v="LatLng(lat: 1.1556217, lng: 104.0320567)"/>
    <s v="SP-25-F0002705"/>
    <s v="OHAN HERMAWAN"/>
    <s v="BP 3114 UO"/>
    <x v="6"/>
    <s v="C"/>
    <s v=" "/>
    <n v="1"/>
    <s v="MH1JM8112MK615247"/>
    <s v="JM81E1617072"/>
    <s v="HONDA"/>
    <s v="BEAT"/>
    <s v="BIRU PUTIH"/>
    <s v="JG"/>
    <s v="BELUM JTO"/>
    <n v="1"/>
    <n v="24"/>
    <x v="14"/>
    <s v="COLL"/>
    <x v="0"/>
    <x v="0"/>
    <m/>
  </r>
  <r>
    <n v="557"/>
    <d v="2025-11-10T14:29:07"/>
    <s v="987e43b5-2fed-4ba1-8992-1b4d84e413ab"/>
    <s v="LatLng(lat: 1.1552307, lng: 104.0314963)"/>
    <s v="SP-25-F0002705"/>
    <s v="OHAN HERMAWAN"/>
    <s v="BP 3114 UO"/>
    <x v="6"/>
    <s v="C"/>
    <s v=" "/>
    <n v="1"/>
    <s v="MH1JM8112MK615247"/>
    <s v="JM81E1617072"/>
    <s v="HONDA"/>
    <s v="BEAT"/>
    <s v="BIRU PUTIH"/>
    <s v="JG"/>
    <s v="BELUM JTO"/>
    <n v="1"/>
    <n v="24"/>
    <x v="20"/>
    <s v="COLL"/>
    <x v="0"/>
    <x v="0"/>
    <m/>
  </r>
  <r>
    <n v="558"/>
    <d v="2025-11-10T14:31:18"/>
    <s v="987e43b5-2fed-4ba1-8992-1b4d84e413ab"/>
    <s v="LatLng(lat: 1.1552909, lng: 104.0286134)"/>
    <s v="SP-25-F0000709"/>
    <s v="SURYA DARMA"/>
    <s v="BP 3996 OR"/>
    <x v="7"/>
    <s v="MARTIN"/>
    <s v=" "/>
    <n v="1"/>
    <s v="MH1JFZ219HK099196"/>
    <s v="JFZ2E1104087"/>
    <s v="HONDA"/>
    <s v="BEAT STREET"/>
    <s v="PUTIH"/>
    <s v="JG"/>
    <s v="GAGAL BAYAR"/>
    <n v="6"/>
    <n v="12"/>
    <x v="20"/>
    <s v="COLL"/>
    <x v="6"/>
    <x v="0"/>
    <m/>
  </r>
  <r>
    <n v="559"/>
    <d v="2025-11-10T14:42:50"/>
    <s v="b5e5eb90-c13c-42f2-8aa6-fb5964b939de"/>
    <s v="LatLng(lat: 1.1815607, lng: 104.0154654)"/>
    <s v="OD-25-F0000267"/>
    <s v="MAHARANI"/>
    <s v="BP 4390 AO"/>
    <x v="0"/>
    <s v="04.RIZKI A"/>
    <s v="A"/>
    <n v="1"/>
    <s v="MH3SEJ710NJ099355"/>
    <s v="E33WE0106863"/>
    <s v="YAMAHA"/>
    <s v="FAZZIO"/>
    <s v="MERAH"/>
    <s v="JG"/>
    <s v="DONE"/>
    <n v="9"/>
    <n v="24"/>
    <x v="25"/>
    <s v="COLL"/>
    <x v="0"/>
    <x v="0"/>
    <m/>
  </r>
  <r>
    <n v="560"/>
    <d v="2025-11-10T14:45:42"/>
    <s v="51f658db-9885-4d52-99bd-8e1bf0356977"/>
    <s v="LatLng(lat: 1.1828646, lng: 104.0165718)"/>
    <s v="SP-25-F0002316"/>
    <s v="VINSENSIUS GORAN JUMAD"/>
    <s v="BP 3794 JP"/>
    <x v="0"/>
    <s v="14.CALL CENTER"/>
    <s v=" "/>
    <n v="13"/>
    <s v="MH1JFM210EK437406"/>
    <s v="JFM2E1429578"/>
    <s v="HONDA"/>
    <s v="BEAT"/>
    <s v="WHITE RED"/>
    <s v="JG"/>
    <s v="BELUM JTO"/>
    <n v="2"/>
    <n v="12"/>
    <x v="19"/>
    <s v="COLL"/>
    <x v="0"/>
    <x v="0"/>
    <m/>
  </r>
  <r>
    <n v="561"/>
    <d v="2025-11-10T15:02:34"/>
    <s v="f0b79403-18b0-47dd-bacc-d76d9d60a28e"/>
    <s v="LatLng(lat: 1.1695483, lng: 104.0117067)"/>
    <s v="SP-25-F0002479"/>
    <s v="YOHANIS KRISOSTOMUS WANGGE"/>
    <s v="BP 6653 RF"/>
    <x v="0"/>
    <s v="04.RIZKI A"/>
    <s v=" "/>
    <n v="4"/>
    <s v="MH1JFZ211JK361671"/>
    <s v="JFZ2E1361483"/>
    <s v="HONDA"/>
    <s v="BEAT STREET"/>
    <s v="HITAM"/>
    <s v="JG"/>
    <s v="GAGAL BAYAR"/>
    <n v="1"/>
    <n v="18"/>
    <x v="24"/>
    <s v="COLL"/>
    <x v="0"/>
    <x v="0"/>
    <m/>
  </r>
  <r>
    <n v="562"/>
    <d v="2025-11-10T15:04:18"/>
    <s v="66338f6f-6199-47e8-8fc9-c871a18b6d2c"/>
    <s v="LatLng(lat: 1.0346917, lng: 104.0536707)"/>
    <s v="SP-25-F0002526"/>
    <s v="JUNAEDI"/>
    <s v="BP 2619 HF"/>
    <x v="0"/>
    <s v="14.CALL CENTER"/>
    <s v=" "/>
    <n v="9"/>
    <s v="MH1JM3117JK656732"/>
    <s v="JM31E1653905"/>
    <s v="HONDA"/>
    <s v="SCOOPY NON KEYLESS"/>
    <s v="COKLAT HITAM"/>
    <s v="JG"/>
    <s v="BELUM JTO"/>
    <n v="1"/>
    <n v="6"/>
    <x v="30"/>
    <s v="COLL"/>
    <x v="0"/>
    <x v="0"/>
    <m/>
  </r>
  <r>
    <n v="563"/>
    <d v="2025-11-10T15:06:24"/>
    <s v="6d21de4b-42fc-49f2-86f3-40a2a9759695"/>
    <s v="LatLng(lat: 0.9094633, lng: 104.477685)"/>
    <s v="TP-24-F0000745"/>
    <s v="AL FATHUL FERDIAN"/>
    <s v="BP 2511 BU"/>
    <x v="0"/>
    <s v="14.CALL CENTER"/>
    <s v="A"/>
    <n v="1"/>
    <s v="MH1JFZ216JK451480"/>
    <s v="JFZ2E1451400"/>
    <s v="HONDA"/>
    <s v="BEAT STREET"/>
    <s v="HITAM"/>
    <s v="JG"/>
    <s v="DONE"/>
    <n v="11"/>
    <n v="24"/>
    <x v="0"/>
    <s v="COLL"/>
    <x v="0"/>
    <x v="0"/>
    <m/>
  </r>
  <r>
    <n v="564"/>
    <d v="2025-11-10T15:11:36"/>
    <s v="3841b94e-9a4f-4b53-a473-36560f4d9a4f"/>
    <s v="LatLng(lat: 1.1291767, lng: 103.956585)"/>
    <s v="OD-25-F0001848"/>
    <s v="SYAMSIR EVENDI"/>
    <s v="BP 6454 HE"/>
    <x v="0"/>
    <s v="14.CALL CENTER"/>
    <s v=" "/>
    <n v="9"/>
    <s v="MH4EX250MHJP03613"/>
    <s v="EX250LEAE1515"/>
    <s v="KAWASAКІ"/>
    <s v="EX250M"/>
    <s v="MERAH"/>
    <s v="JG"/>
    <s v="BELUM JTO"/>
    <n v="1"/>
    <n v="12"/>
    <x v="39"/>
    <s v="COLL"/>
    <x v="0"/>
    <x v="0"/>
    <m/>
  </r>
  <r>
    <n v="565"/>
    <d v="2025-11-10T15:22:08"/>
    <s v="b5e5eb90-c13c-42f2-8aa6-fb5964b939de"/>
    <s v="LatLng(lat: 1.1512961, lng: 104.0249444)"/>
    <s v="SP-24-F0002126"/>
    <s v="SANDI FIRDIANSYAH"/>
    <s v="BP 2324 RO"/>
    <x v="0"/>
    <s v="06.ROBEN"/>
    <s v="A"/>
    <n v="8"/>
    <s v="MH1JM8110NK961430"/>
    <s v="JM81E1962896"/>
    <s v="HONDA"/>
    <s v="BEAT FI"/>
    <s v="MERAH HITAM"/>
    <s v="JG"/>
    <s v="BELUM JTO"/>
    <n v="13"/>
    <n v="18"/>
    <x v="25"/>
    <s v="COLL"/>
    <x v="0"/>
    <x v="0"/>
    <m/>
  </r>
  <r>
    <n v="566"/>
    <d v="2025-11-10T15:23:49"/>
    <s v="987e43b5-2fed-4ba1-8992-1b4d84e413ab"/>
    <s v="LatLng(lat: 1.1467353, lng: 104.0237414)"/>
    <s v="SP-24-F0001792"/>
    <s v="AFRIANTI"/>
    <s v="BP 5937 OF"/>
    <x v="0"/>
    <s v="04.RIZKI A"/>
    <s v="A"/>
    <n v="1"/>
    <s v="MH3SE8810FJ213774"/>
    <s v="E3R2E0221019"/>
    <s v="YAMAHA"/>
    <s v="MIO M3"/>
    <s v="MERAH MUDA"/>
    <s v="JG"/>
    <s v="GAGAL BAYAR"/>
    <n v="14"/>
    <n v="18"/>
    <x v="20"/>
    <s v="COLL"/>
    <x v="0"/>
    <x v="0"/>
    <m/>
  </r>
  <r>
    <n v="567"/>
    <d v="2025-11-10T15:25:03"/>
    <s v="b5e5eb90-c13c-42f2-8aa6-fb5964b939de"/>
    <s v="LatLng(lat: 1.1500583, lng: 104.0266317)"/>
    <s v="OD-25-F0000212"/>
    <s v="ABDURRAHMAN"/>
    <s v="BP 2493 MI"/>
    <x v="0"/>
    <s v="04.RIZKI A"/>
    <s v="A"/>
    <n v="22"/>
    <s v="MH1JFM216EK702412"/>
    <s v="JFM2E1695074"/>
    <s v="HONDA"/>
    <s v="BEAT"/>
    <s v="HITAM"/>
    <s v="JG"/>
    <s v="BELUM JTO"/>
    <n v="10"/>
    <n v="12"/>
    <x v="25"/>
    <s v="COLL"/>
    <x v="0"/>
    <x v="0"/>
    <m/>
  </r>
  <r>
    <n v="568"/>
    <d v="2025-11-10T15:25:56"/>
    <s v="51f658db-9885-4d52-99bd-8e1bf0356977"/>
    <s v="LatLng(lat: 1.1500017, lng: 104.0278942)"/>
    <s v="OD-25-F0000212"/>
    <s v="ABDURRAHMAN"/>
    <s v="BP 2493 MI"/>
    <x v="0"/>
    <s v="04.RIZKI A"/>
    <s v="A"/>
    <n v="22"/>
    <s v="MH1JFM216EK702412"/>
    <s v="JFM2E1695074"/>
    <s v="HONDA"/>
    <s v="BEAT"/>
    <s v="HITAM"/>
    <s v="JG"/>
    <s v="BELUM JTO"/>
    <n v="10"/>
    <n v="12"/>
    <x v="19"/>
    <s v="COLL"/>
    <x v="0"/>
    <x v="0"/>
    <m/>
  </r>
  <r>
    <n v="569"/>
    <d v="2025-11-10T15:25:58"/>
    <s v="66338f6f-6199-47e8-8fc9-c871a18b6d2c"/>
    <s v="LatLng(lat: 1.0709354, lng: 104.0245295)"/>
    <s v="SP-25-F0002050"/>
    <s v="SIVANI REYSA"/>
    <s v="BP 5491 QJ"/>
    <x v="0"/>
    <s v="09.OLOAN"/>
    <s v="A"/>
    <n v="14"/>
    <s v="MH3SE8850JJ030415"/>
    <s v="E3W6E0083724"/>
    <s v="YAMAHA"/>
    <s v="MIO M3"/>
    <s v="BIRU PUTIH"/>
    <s v="JG"/>
    <s v="BELUM JTO"/>
    <n v="3"/>
    <n v="24"/>
    <x v="30"/>
    <s v="COLL"/>
    <x v="0"/>
    <x v="0"/>
    <m/>
  </r>
  <r>
    <n v="570"/>
    <d v="2025-11-10T15:29:15"/>
    <s v="1770dac3-81ca-4fab-8a6a-e60c63470def"/>
    <s v="LatLng(lat: 1.1482376, lng: 104.0274017)"/>
    <s v="OD-24-F0001038"/>
    <s v="AGUSMAN ZEGA"/>
    <s v="BP 2167 US"/>
    <x v="0"/>
    <s v="14.CALL CENTER"/>
    <s v="A"/>
    <n v="15"/>
    <s v="MH1JM8128PK721828"/>
    <s v="JM81E2723848"/>
    <s v="HONDA"/>
    <s v="BEAT"/>
    <s v="BIRU HITAM"/>
    <s v="JG"/>
    <s v="BELUM JTO"/>
    <n v="19"/>
    <n v="24"/>
    <x v="21"/>
    <s v="COLL"/>
    <x v="0"/>
    <x v="0"/>
    <m/>
  </r>
  <r>
    <n v="571"/>
    <d v="2025-11-10T15:33:02"/>
    <s v="86afd147-8c0b-48e4-aaf8-44ad72c52985"/>
    <s v="LatLng(lat: 1.1452962, lng: 104.0288077)"/>
    <s v="OD-25-F0000190"/>
    <s v="MUHAMMAD AL - HAZID"/>
    <s v="BP 4118 OE"/>
    <x v="0"/>
    <s v="14.CALL CENTER"/>
    <s v="A"/>
    <n v="20"/>
    <s v="MH31PA004FK893475"/>
    <s v="1PA891733"/>
    <s v="YAMAHA"/>
    <s v="VIXION"/>
    <s v="PUTIH"/>
    <s v="JG"/>
    <s v="BELUM JTO"/>
    <n v="10"/>
    <n v="18"/>
    <x v="15"/>
    <s v="COLL"/>
    <x v="0"/>
    <x v="0"/>
    <m/>
  </r>
  <r>
    <n v="572"/>
    <d v="2025-11-10T15:33:31"/>
    <s v="b5e5eb90-c13c-42f2-8aa6-fb5964b939de"/>
    <s v="LatLng(lat: 1.1492267, lng: 104.0296017)"/>
    <s v="OD-25-F0001566"/>
    <s v="HENGKI SAPUTRA"/>
    <s v="BP 2129 CO"/>
    <x v="0"/>
    <s v="13.WILFRIN"/>
    <s v="A"/>
    <n v="21"/>
    <s v="MH1JM0314NK028676"/>
    <s v="JM03E1002091"/>
    <s v="HONDA"/>
    <s v="SCOOPY NON KEYLESS"/>
    <s v="COKLAT KREM"/>
    <s v="JG"/>
    <s v="BELUM JTO"/>
    <n v="3"/>
    <n v="18"/>
    <x v="25"/>
    <s v="COLL"/>
    <x v="0"/>
    <x v="0"/>
    <m/>
  </r>
  <r>
    <n v="573"/>
    <d v="2025-11-10T15:33:42"/>
    <s v="1770dac3-81ca-4fab-8a6a-e60c63470def"/>
    <s v="LatLng(lat: 1.1491071, lng: 104.0294867)"/>
    <s v="OD-25-F0001566"/>
    <s v="HENGKI SAPUTRA"/>
    <s v="BP 2129 CO"/>
    <x v="0"/>
    <s v="13.WILFRIN"/>
    <s v="A"/>
    <n v="21"/>
    <s v="MH1JM0314NK028676"/>
    <s v="JM03E1002091"/>
    <s v="HONDA"/>
    <s v="SCOOPY NON KEYLESS"/>
    <s v="COKLAT KREM"/>
    <s v="JG"/>
    <s v="BELUM JTO"/>
    <n v="3"/>
    <n v="18"/>
    <x v="21"/>
    <s v="COLL"/>
    <x v="0"/>
    <x v="0"/>
    <m/>
  </r>
  <r>
    <n v="574"/>
    <d v="2025-11-10T15:35:24"/>
    <s v="74bb1709-aa7b-4b41-a082-a2af867fd15e"/>
    <s v="LatLng(lat: 1.1667301, lng: 104.0315671)"/>
    <s v="OD-25-F0000311"/>
    <s v="NANDA GALUH SUBEKTI"/>
    <s v="BP 4209 AF"/>
    <x v="0"/>
    <s v="06.ROBEN"/>
    <s v="A"/>
    <n v="1"/>
    <s v="MH3UG0750LK056051"/>
    <s v="G3E6E0564537"/>
    <s v="YAMAHA"/>
    <s v="MX KING"/>
    <s v="HITAM"/>
    <s v="JG"/>
    <s v="LUNAS"/>
    <n v="9"/>
    <n v="12"/>
    <x v="7"/>
    <s v="COLL"/>
    <x v="0"/>
    <x v="0"/>
    <m/>
  </r>
  <r>
    <n v="575"/>
    <d v="2025-11-10T15:40:52"/>
    <s v="5d155998-3b32-426c-9f80-9898af00922a"/>
    <s v="LatLng(lat: 1.1601929, lng: 104.0348221)"/>
    <s v="SP-25-F0002205"/>
    <s v="AGUNG WIJAYANTO"/>
    <s v="BP 4067 AC"/>
    <x v="6"/>
    <s v="C"/>
    <s v=" "/>
    <n v="2"/>
    <s v="MH3RG4610JK103120"/>
    <s v="G3E7E0480706"/>
    <s v="YAMAHA"/>
    <s v="ALL NEW VIXION"/>
    <s v="MERAH"/>
    <s v="JG"/>
    <s v="BELUM JTO"/>
    <n v="3"/>
    <n v="12"/>
    <x v="4"/>
    <s v="COLL"/>
    <x v="0"/>
    <x v="0"/>
    <m/>
  </r>
  <r>
    <n v="576"/>
    <d v="2025-11-10T16:02:36"/>
    <s v="1770dac3-81ca-4fab-8a6a-e60c63470def"/>
    <s v="LatLng(lat: 1.1444688, lng: 104.0279711)"/>
    <s v="OD-25-F0001728"/>
    <s v="HELISANTI GULO"/>
    <s v="BP 3931 AQ"/>
    <x v="0"/>
    <s v="14.CALL CENTER"/>
    <s v=" "/>
    <n v="17"/>
    <s v="MH1JM1120KK028736"/>
    <s v="JM11E2011762"/>
    <s v="HONDA"/>
    <s v="BEAT"/>
    <s v="MAGENTA HITAM"/>
    <s v="JG"/>
    <s v="BELUM JTO"/>
    <n v="2"/>
    <n v="24"/>
    <x v="21"/>
    <s v="COLL"/>
    <x v="0"/>
    <x v="0"/>
    <m/>
  </r>
  <r>
    <n v="577"/>
    <d v="2025-11-10T16:04:40"/>
    <s v="1770dac3-81ca-4fab-8a6a-e60c63470def"/>
    <s v="LatLng(lat: 1.1466154, lng: 104.0277747)"/>
    <s v="OD-24-F0002952"/>
    <s v="DELVINO GIFARI PRADANSYAH"/>
    <s v="BP 2485 MU"/>
    <x v="0"/>
    <s v="04.RIZKI A"/>
    <s v="A"/>
    <n v="21"/>
    <s v="MH1JM8119MK356000"/>
    <s v="JM81E1355837"/>
    <s v="HONDA"/>
    <s v="BEAT"/>
    <s v="HITAM"/>
    <s v="JG"/>
    <s v="BELUM JTO"/>
    <n v="13"/>
    <n v="24"/>
    <x v="21"/>
    <s v="COLL"/>
    <x v="0"/>
    <x v="0"/>
    <m/>
  </r>
  <r>
    <n v="578"/>
    <d v="2025-11-10T16:12:13"/>
    <s v="702dc462-24c0-4894-b1c2-8bb9fe7a2806"/>
    <s v="LatLng(lat: 1.1430926, lng: 104.0279958)"/>
    <s v="OD-24-F0003267"/>
    <s v="DJEMBRES REINHART WADU"/>
    <s v="BP 3559 OW"/>
    <x v="14"/>
    <s v="MARTIN"/>
    <s v=" "/>
    <n v="25"/>
    <s v="MH1KF411XKK578453"/>
    <s v="KF41E1578872"/>
    <s v="HONDA"/>
    <s v="VARIO 150"/>
    <s v="PUTIH"/>
    <s v="JG"/>
    <s v="GAGAL BAYAR"/>
    <n v="9"/>
    <n v="12"/>
    <x v="36"/>
    <s v="COLL"/>
    <x v="6"/>
    <x v="0"/>
    <m/>
  </r>
  <r>
    <n v="579"/>
    <d v="2025-11-10T16:12:51"/>
    <s v="e55e0695-655d-4783-ad52-79cb919e345d"/>
    <s v="LatLng(lat: 1.1349055, lng: 103.9995688)"/>
    <s v="OD-24-F0002933"/>
    <s v="YOBIYANTO DANG WAANG"/>
    <s v="BP 5660 JP"/>
    <x v="1"/>
    <s v="MARTIN"/>
    <s v=" "/>
    <n v="17"/>
    <s v="MH31PA004EK567854"/>
    <s v="1PA568108"/>
    <s v="YAMAHA"/>
    <s v="VIXION"/>
    <s v="PUTIH"/>
    <s v="JG"/>
    <s v="GAGAL BAYAR"/>
    <n v="1"/>
    <n v="12"/>
    <x v="44"/>
    <s v="ALL"/>
    <x v="4"/>
    <x v="1"/>
    <m/>
  </r>
  <r>
    <n v="580"/>
    <d v="2025-11-10T16:13:11"/>
    <s v="78c8aa58-d259-49a1-a96c-192417985ecf"/>
    <s v="LatLng(lat: 1.143149, lng: 104.0280266)"/>
    <s v="OD-24-F0003267"/>
    <s v="DJEMBRES REINHART WADU"/>
    <s v="BP 3559 OW"/>
    <x v="14"/>
    <s v="MARTIN"/>
    <s v=" "/>
    <n v="25"/>
    <s v="MH1KF411XKK578453"/>
    <s v="KF41E1578872"/>
    <s v="HONDA"/>
    <s v="VARIO 150"/>
    <s v="PUTIH"/>
    <s v="JG"/>
    <s v="GAGAL BAYAR"/>
    <n v="9"/>
    <n v="12"/>
    <x v="16"/>
    <s v="COLL"/>
    <x v="6"/>
    <x v="0"/>
    <m/>
  </r>
  <r>
    <n v="581"/>
    <d v="2025-11-10T16:13:21"/>
    <s v="6f0ee670-8a9a-45ff-8c00-ca014f6aabeb"/>
    <s v="LatLng(lat: 1.1437235, lng: 104.0332905)"/>
    <s v="SP-24-F0001412"/>
    <s v="SLAMET MARYADI"/>
    <s v="BP 3121 UE"/>
    <x v="0"/>
    <s v="04.RIZKI A"/>
    <s v="A"/>
    <n v="12"/>
    <s v="MH1JM0219MK116994"/>
    <s v="JM02E1118216"/>
    <s v="HONDA"/>
    <s v="SCOOPY"/>
    <s v="HITAM"/>
    <s v="JG"/>
    <s v="BELUM JTO"/>
    <n v="16"/>
    <n v="24"/>
    <x v="18"/>
    <s v="COLL"/>
    <x v="0"/>
    <x v="0"/>
    <m/>
  </r>
  <r>
    <n v="582"/>
    <d v="2025-11-10T16:15:12"/>
    <s v="702dc462-24c0-4894-b1c2-8bb9fe7a2806"/>
    <s v="LatLng(lat: 1.143144, lng: 104.0279756)"/>
    <s v="OD-25-F0001644"/>
    <s v="NOVA ANANTA BR GINTING"/>
    <s v="BP 2832 OA"/>
    <x v="0"/>
    <s v="14.CALL CENTER"/>
    <s v=" "/>
    <n v="2"/>
    <s v="MH1JFP115FK092121"/>
    <s v="JFP1E1098234"/>
    <s v="HONDA"/>
    <s v="BEAT"/>
    <s v="HITAM"/>
    <s v="JG"/>
    <s v="DONE"/>
    <n v="2"/>
    <n v="12"/>
    <x v="36"/>
    <s v="COLL"/>
    <x v="0"/>
    <x v="0"/>
    <m/>
  </r>
  <r>
    <n v="583"/>
    <d v="2025-11-10T16:17:00"/>
    <s v="702dc462-24c0-4894-b1c2-8bb9fe7a2806"/>
    <s v="LatLng(lat: 1.1456629, lng: 104.0276869)"/>
    <s v="OD-25-F0001728"/>
    <s v="HELISANTI GULO"/>
    <s v="BP 3931 AQ"/>
    <x v="0"/>
    <s v="14.CALL CENTER"/>
    <s v=" "/>
    <n v="17"/>
    <s v="MH1JM1120KK028736"/>
    <s v="JM11E2011762"/>
    <s v="HONDA"/>
    <s v="BEAT"/>
    <s v="MAGENTA HITAM"/>
    <s v="JG"/>
    <s v="BELUM JTO"/>
    <n v="2"/>
    <n v="24"/>
    <x v="36"/>
    <s v="COLL"/>
    <x v="0"/>
    <x v="0"/>
    <m/>
  </r>
  <r>
    <n v="584"/>
    <d v="2025-11-10T16:21:43"/>
    <s v="ac63d112-8c59-4edb-b75b-75ebcb97a513"/>
    <s v="LatLng(lat: 0.9599309, lng: 104.5229807)"/>
    <s v="BT-KD-25-00020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45"/>
    <s v="COLL"/>
    <x v="0"/>
    <x v="0"/>
    <m/>
  </r>
  <r>
    <n v="585"/>
    <d v="2025-11-10T16:22:29"/>
    <s v="688868a7-408e-44ae-b238-348dfc1995b0"/>
    <s v="LatLng(lat: 1.1400322, lng: 104.0382056)"/>
    <s v="OD-23-F0000842"/>
    <s v="SEBASTIAN KELANA ROMAWAN"/>
    <s v="BP 2236 HJ"/>
    <x v="10"/>
    <s v="EKSTERNAL"/>
    <s v=" "/>
    <n v="11"/>
    <s v="MH1JM4114JK010456"/>
    <s v="JM41E1011307"/>
    <s v="HONDA"/>
    <s v="VARIO"/>
    <s v="WHITE BLUE"/>
    <s v="JG"/>
    <s v="GAGAL BAYAR"/>
    <n v="11"/>
    <n v="18"/>
    <x v="14"/>
    <s v="COLL"/>
    <x v="8"/>
    <x v="0"/>
    <m/>
  </r>
  <r>
    <n v="586"/>
    <d v="2025-11-10T16:23:11"/>
    <s v="fced54d3-7c26-48e8-91fe-7d7236e7f959"/>
    <s v="LatLng(lat: 1.1219015, lng: 104.0438413)"/>
    <s v="OD-24-F0001091"/>
    <s v="EDI SAHPUTRA"/>
    <s v="BP 3104 M"/>
    <x v="0"/>
    <s v="04.RIZKI A"/>
    <s v="A"/>
    <n v="25"/>
    <s v="MH1JM811XMK439578"/>
    <s v="JM81E1441251"/>
    <s v="HONDA"/>
    <s v="BEAT SPORTY"/>
    <s v="HITAM"/>
    <s v="JG"/>
    <s v="BELUM JTO"/>
    <n v="19"/>
    <n v="24"/>
    <x v="10"/>
    <s v="COLL"/>
    <x v="1"/>
    <x v="0"/>
    <m/>
  </r>
  <r>
    <n v="587"/>
    <d v="2025-11-10T16:24:49"/>
    <s v="86afd147-8c0b-48e4-aaf8-44ad72c52985"/>
    <s v="LatLng(lat: 1.145065, lng: 104.0305869)"/>
    <s v="SP-25-F0000046"/>
    <s v="AJI SUPRAYOGA"/>
    <s v="BP 4045 AC"/>
    <x v="0"/>
    <s v="04.RIZKI A"/>
    <s v="A"/>
    <n v="7"/>
    <s v="MH31PA002DK314483"/>
    <s v="1PA315828"/>
    <s v="YAMAHA"/>
    <s v="VIXION KS"/>
    <s v="HITAM"/>
    <s v="JG"/>
    <s v="BELUM JTO"/>
    <n v="10"/>
    <n v="12"/>
    <x v="15"/>
    <s v="COLL"/>
    <x v="0"/>
    <x v="0"/>
    <m/>
  </r>
  <r>
    <n v="588"/>
    <d v="2025-11-10T16:26:44"/>
    <s v="6f0ee670-8a9a-45ff-8c00-ca014f6aabeb"/>
    <s v="LatLng(lat: 1.151369, lng: 104.0283075)"/>
    <s v="OD-25-F0001495"/>
    <s v="NOVI DIYANTI"/>
    <s v="BP 2740 MQ"/>
    <x v="0"/>
    <s v="04.RIZKI A"/>
    <s v="A"/>
    <n v="11"/>
    <s v="MH1JFL119EK143630"/>
    <s v="JFL1E1146614"/>
    <s v="HONDA"/>
    <s v="SCOOPY CW"/>
    <s v="MERAH KREM"/>
    <s v="JG"/>
    <s v="BELUM JTO"/>
    <n v="3"/>
    <n v="18"/>
    <x v="18"/>
    <s v="COLL"/>
    <x v="0"/>
    <x v="0"/>
    <m/>
  </r>
  <r>
    <n v="589"/>
    <d v="2025-11-10T16:28:07"/>
    <s v="702dc462-24c0-4894-b1c2-8bb9fe7a2806"/>
    <s v="LatLng(lat: 1.1467955, lng: 104.0281842)"/>
    <s v="OD-24-F0002230"/>
    <s v="AMIRUDIN"/>
    <s v="BP 3106 AA"/>
    <x v="0"/>
    <s v="04.RIZKI A"/>
    <s v="A"/>
    <n v="7"/>
    <s v="MH1JM8122PK335227"/>
    <s v="JM81E2337105"/>
    <s v="HONDA"/>
    <s v="BEAT"/>
    <s v="BIRU HITAM"/>
    <s v="JG"/>
    <s v="BELUM JTO"/>
    <n v="15"/>
    <n v="18"/>
    <x v="36"/>
    <s v="COLL"/>
    <x v="0"/>
    <x v="0"/>
    <m/>
  </r>
  <r>
    <n v="590"/>
    <d v="2025-11-10T16:29:43"/>
    <s v="1770dac3-81ca-4fab-8a6a-e60c63470def"/>
    <s v="LatLng(lat: 1.1428175, lng: 104.0368804)"/>
    <s v="SP-25-F0000755"/>
    <s v="HENDRA SITORUS"/>
    <s v="BP 3978 JU"/>
    <x v="0"/>
    <s v="04.RIZKI A"/>
    <s v="D"/>
    <n v="5"/>
    <s v="MH1JM6112KK071060"/>
    <s v="JM61E1071065"/>
    <s v="HONDA"/>
    <s v="GENIO"/>
    <s v="HITAM MERAH"/>
    <s v="JG"/>
    <s v="GAGAL BAYAR"/>
    <n v="7"/>
    <n v="18"/>
    <x v="21"/>
    <s v="COLL"/>
    <x v="0"/>
    <x v="0"/>
    <m/>
  </r>
  <r>
    <n v="591"/>
    <d v="2025-11-10T16:30:18"/>
    <s v="702dc462-24c0-4894-b1c2-8bb9fe7a2806"/>
    <s v="LatLng(lat: 1.1478898, lng: 104.0276526)"/>
    <s v="OD-25-F0000099"/>
    <s v="YANTO"/>
    <s v="BP 3170 FR"/>
    <x v="3"/>
    <s v="DOKA"/>
    <s v=" "/>
    <n v="11"/>
    <s v="MH1JFZ210JK234880"/>
    <s v="JFZ2E1236238"/>
    <s v="HONDA"/>
    <s v="BEAT STREET"/>
    <s v="HITAM"/>
    <s v="JG"/>
    <s v="GAGAL BAYAR"/>
    <n v="8"/>
    <n v="24"/>
    <x v="36"/>
    <s v="COLL"/>
    <x v="4"/>
    <x v="1"/>
    <m/>
  </r>
  <r>
    <n v="592"/>
    <d v="2025-11-10T16:31:12"/>
    <s v="6f0ee670-8a9a-45ff-8c00-ca014f6aabeb"/>
    <s v="LatLng(lat: 1.1525625, lng: 104.0279348)"/>
    <s v="OD-24-F0002833"/>
    <s v="ALI KUNARTO"/>
    <s v="BP 2872 AH"/>
    <x v="6"/>
    <s v="C"/>
    <s v=" "/>
    <n v="8"/>
    <s v="MH1JM2120KK327519"/>
    <s v="JM21E2304934"/>
    <s v="HONDA"/>
    <s v="BEAT"/>
    <s v="HITAM"/>
    <s v="JG"/>
    <s v="BELUM JTO"/>
    <n v="15"/>
    <n v="18"/>
    <x v="18"/>
    <s v="COLL"/>
    <x v="0"/>
    <x v="0"/>
    <m/>
  </r>
  <r>
    <n v="593"/>
    <d v="2025-11-10T16:40:12"/>
    <s v="1770dac3-81ca-4fab-8a6a-e60c63470def"/>
    <s v="LatLng(lat: 1.1416538, lng: 104.0367787)"/>
    <s v="SP-25-F0001375"/>
    <s v="FIRDA AULIA PUTRI"/>
    <s v="BP 2757 J"/>
    <x v="6"/>
    <s v="C"/>
    <s v=" "/>
    <n v="14"/>
    <s v="MH1JM0218MK325921"/>
    <s v="JM02E1325551"/>
    <s v="HONDA"/>
    <s v="SCOOPY"/>
    <s v="HTAM"/>
    <s v="JG"/>
    <s v="BELUM JTO"/>
    <n v="6"/>
    <n v="12"/>
    <x v="21"/>
    <s v="COLL"/>
    <x v="0"/>
    <x v="0"/>
    <m/>
  </r>
  <r>
    <n v="594"/>
    <d v="2025-11-10T16:43:28"/>
    <s v="fced54d3-7c26-48e8-91fe-7d7236e7f959"/>
    <s v="LatLng(lat: 1.1219774, lng: 104.0437892)"/>
    <s v="OD-24-F0002933"/>
    <s v="YOBIYANTO DANG WAANG"/>
    <s v="BP 5660 JP"/>
    <x v="1"/>
    <s v="MARTIN"/>
    <s v=" "/>
    <n v="17"/>
    <s v="MH31PA004EK567854"/>
    <s v="1PA568108"/>
    <s v="YAMAHA"/>
    <s v="VIXION"/>
    <s v="PUTIH"/>
    <s v="JG"/>
    <s v="GAGAL BAYAR"/>
    <n v="1"/>
    <n v="12"/>
    <x v="10"/>
    <s v="COLL"/>
    <x v="1"/>
    <x v="0"/>
    <m/>
  </r>
  <r>
    <n v="595"/>
    <d v="2025-11-10T16:48:41"/>
    <s v="1770dac3-81ca-4fab-8a6a-e60c63470def"/>
    <s v="LatLng(lat: 1.1442279, lng: 104.0336096)"/>
    <s v="SP-24-F0002769"/>
    <s v="RAFLIAN RUSDY"/>
    <s v="BP 2517 MR"/>
    <x v="0"/>
    <s v="04.RIZKI A"/>
    <s v="A"/>
    <n v="24"/>
    <s v="MH1JM8212NK529503"/>
    <s v="JM82E1527555"/>
    <s v="HONDA"/>
    <s v="BEAT STREET"/>
    <s v="HITAM"/>
    <s v="JG"/>
    <s v="BELUM JTO"/>
    <n v="11"/>
    <n v="18"/>
    <x v="21"/>
    <s v="COLL"/>
    <x v="0"/>
    <x v="0"/>
    <m/>
  </r>
  <r>
    <n v="596"/>
    <d v="2025-11-10T16:49:50"/>
    <s v="551fa799-4956-44f4-9122-ea915d0399f1"/>
    <s v="LatLng(lat: 1.0441554, lng: 103.9742852)"/>
    <s v="SP-25-F0001058"/>
    <s v="PELI ANDRILA"/>
    <s v="BP 4705 QO"/>
    <x v="4"/>
    <s v="TALENTA S"/>
    <s v=" "/>
    <n v="13"/>
    <s v="MH3RG4610KK110665"/>
    <s v="G3E7E0488310"/>
    <s v="YAMAHA"/>
    <s v="VIXION VVA"/>
    <s v="KUNING"/>
    <s v="JG"/>
    <s v="GAGAL BAYAR"/>
    <n v="5"/>
    <n v="18"/>
    <x v="12"/>
    <s v="COLL"/>
    <x v="3"/>
    <x v="0"/>
    <m/>
  </r>
  <r>
    <n v="597"/>
    <d v="2025-11-10T16:52:11"/>
    <s v="f0b79403-18b0-47dd-bacc-d76d9d60a28e"/>
    <s v="LatLng(lat: 1.1364333, lng: 104.027645)"/>
    <s v="SP-25-F0002052"/>
    <s v="ALFET SUSENO"/>
    <s v="BP 2985 CO"/>
    <x v="0"/>
    <s v="06.ROBEN"/>
    <s v="A"/>
    <n v="16"/>
    <s v="MH1JM0412NK012765"/>
    <s v="JM04E1012794"/>
    <s v="HONDA"/>
    <s v="SCOOPY"/>
    <s v="MERAH"/>
    <s v="JG"/>
    <s v="BELUM JTO"/>
    <n v="3"/>
    <n v="24"/>
    <x v="24"/>
    <s v="COLL"/>
    <x v="0"/>
    <x v="0"/>
    <m/>
  </r>
  <r>
    <n v="598"/>
    <d v="2025-11-10T16:59:12"/>
    <s v="3841b94e-9a4f-4b53-a473-36560f4d9a4f"/>
    <s v="LatLng(lat: 1.0995983, lng: 103.93149)"/>
    <s v="SP-25-F0002533"/>
    <s v="MUHAMMAD RIFAI"/>
    <s v="BP 2900 MU"/>
    <x v="0"/>
    <s v="14.CALL CENTER"/>
    <s v=" "/>
    <n v="9"/>
    <s v="MH1JM812XPK408473"/>
    <s v="JM81E2409669"/>
    <s v="HONDA"/>
    <s v="BEAT DIGITAL"/>
    <s v="MERAH HITAM"/>
    <s v="JG"/>
    <s v="BELUM JTO"/>
    <n v="1"/>
    <n v="18"/>
    <x v="39"/>
    <s v="COLL"/>
    <x v="0"/>
    <x v="0"/>
    <m/>
  </r>
  <r>
    <n v="599"/>
    <d v="2025-11-10T17:12:49"/>
    <s v="e0d931cf-6e64-4a91-a81a-04cf02d33a39"/>
    <s v="LatLng(lat: 1.0478567, lng: 103.9604367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DONE"/>
    <n v="2"/>
    <n v="18"/>
    <x v="13"/>
    <s v="COLL"/>
    <x v="0"/>
    <x v="0"/>
    <m/>
  </r>
  <r>
    <n v="600"/>
    <d v="2025-11-10T17:19:43"/>
    <s v="e0d931cf-6e64-4a91-a81a-04cf02d33a39"/>
    <s v="LatLng(lat: 1.0475767, lng: 103.9638633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13"/>
    <s v="COLL"/>
    <x v="0"/>
    <x v="0"/>
    <m/>
  </r>
  <r>
    <n v="601"/>
    <d v="2025-11-10T17:27:41"/>
    <s v="6d21de4b-42fc-49f2-86f3-40a2a9759695"/>
    <s v="LatLng(lat: 0.9146833, lng: 104.43685)"/>
    <s v="TP-24-F0000234"/>
    <s v="HARRY PUTRA AKTAMA"/>
    <s v="BP 2858 PC"/>
    <x v="0"/>
    <s v="01.SYAMSURI"/>
    <s v="A"/>
    <n v="25"/>
    <s v="MH1KF4117KK825394"/>
    <s v="KF41E1827891"/>
    <s v="HONDA"/>
    <s v="VARIO"/>
    <s v="HITAM"/>
    <s v="JG"/>
    <s v="BELUM JTO"/>
    <n v="18"/>
    <n v="24"/>
    <x v="0"/>
    <s v="COLL"/>
    <x v="0"/>
    <x v="0"/>
    <m/>
  </r>
  <r>
    <n v="602"/>
    <d v="2025-11-10T17:29:17"/>
    <s v="551fa799-4956-44f4-9122-ea915d0399f1"/>
    <s v="LatLng(lat: 1.049794, lng: 103.9459165)"/>
    <s v="SP-25-F0001245"/>
    <s v="DOHARMIN MANUTURI MANIK"/>
    <s v="BP 2647 AA"/>
    <x v="0"/>
    <s v="10.MIDUK"/>
    <s v="A"/>
    <n v="2"/>
    <s v="MH1KD1115PK356611"/>
    <s v="KD11E1356130"/>
    <s v="HONDA"/>
    <s v="CRF 150"/>
    <s v="PUTIH HITAM"/>
    <s v="JG"/>
    <s v="DONE"/>
    <n v="5"/>
    <n v="12"/>
    <x v="12"/>
    <s v="COLL"/>
    <x v="0"/>
    <x v="0"/>
    <m/>
  </r>
  <r>
    <n v="603"/>
    <d v="2025-11-10T17:38:59"/>
    <s v="6d21de4b-42fc-49f2-86f3-40a2a9759695"/>
    <s v="LatLng(lat: 0.9064957, lng: 104.4588769)"/>
    <s v="TP-25-F0000671"/>
    <s v="DAVID ARITONANG"/>
    <s v="BP 3362 RB"/>
    <x v="0"/>
    <s v="02.REY"/>
    <s v=" "/>
    <n v="26"/>
    <s v="MH1JM0219MK391393"/>
    <s v="JM02E1393654"/>
    <s v="HONDA"/>
    <s v="SCOOPY"/>
    <s v="PUTIH"/>
    <s v="JG"/>
    <s v="BELUM JTO"/>
    <n v="2"/>
    <n v="24"/>
    <x v="0"/>
    <s v="COLL"/>
    <x v="0"/>
    <x v="0"/>
    <m/>
  </r>
  <r>
    <n v="604"/>
    <d v="2025-11-10T17:45:19"/>
    <s v="5d155998-3b32-426c-9f80-9898af00922a"/>
    <s v="LatLng(lat: 1.0367288, lng: 103.9687934)"/>
    <s v="SP-25-F0000493"/>
    <s v="RAHMAT HIDAYAT"/>
    <s v="BP 4431 CU"/>
    <x v="6"/>
    <s v="C"/>
    <s v=" "/>
    <n v="1"/>
    <s v="MH1JMC119PK289437"/>
    <s v="JMC1E1289345"/>
    <s v="HONDA"/>
    <s v="VARIO 125"/>
    <s v="MERAH"/>
    <s v="JG"/>
    <s v="BELUM JTO"/>
    <n v="9"/>
    <n v="12"/>
    <x v="4"/>
    <s v="COLL"/>
    <x v="0"/>
    <x v="0"/>
    <m/>
  </r>
  <r>
    <n v="605"/>
    <d v="2025-11-10T17:48:32"/>
    <s v="5d155998-3b32-426c-9f80-9898af00922a"/>
    <s v="LatLng(lat: 1.036789, lng: 103.9688303)"/>
    <s v="SP-25-F0002054"/>
    <s v="SONIMANTIK IBI"/>
    <s v="BP 2766 AE"/>
    <x v="0"/>
    <s v="14.CALL CENTER"/>
    <s v="A"/>
    <n v="14"/>
    <s v="MH1JFZ134KK081571"/>
    <s v="JFZ1E3084782"/>
    <s v="HONDA"/>
    <s v="BEAT"/>
    <s v="PUTIH"/>
    <s v="JG"/>
    <s v="BELUM JTO"/>
    <n v="3"/>
    <n v="12"/>
    <x v="4"/>
    <s v="COLL"/>
    <x v="0"/>
    <x v="0"/>
    <m/>
  </r>
  <r>
    <n v="606"/>
    <d v="2025-11-10T17:51:25"/>
    <s v="6d21de4b-42fc-49f2-86f3-40a2a9759695"/>
    <s v="LatLng(lat: 0.8969558, lng: 104.4795951)"/>
    <s v="TP-25-F0000272"/>
    <s v="M. SYARIFUDDIN"/>
    <s v="BP 5727 GT"/>
    <x v="0"/>
    <s v="01.SYAMSURI"/>
    <s v="A"/>
    <n v="7"/>
    <s v="MH3SG3190KK580197"/>
    <s v="G3E4E1457429"/>
    <s v="YAMAHA"/>
    <s v="N-MAX"/>
    <s v="HITAM"/>
    <s v="JG"/>
    <s v="BELUM JTO"/>
    <n v="7"/>
    <n v="24"/>
    <x v="0"/>
    <s v="COLL"/>
    <x v="0"/>
    <x v="0"/>
    <m/>
  </r>
  <r>
    <n v="607"/>
    <d v="2025-11-10T17:57:14"/>
    <s v="a4f24bfd-45be-407a-a9ce-5da8e226108b"/>
    <s v="LatLng(lat: 1.1437957, lng: 104.0289385)"/>
    <s v="OD-24-F0001779"/>
    <s v="AYU MUTIARA"/>
    <s v="BP 6177 CI"/>
    <x v="1"/>
    <s v="MARTIN"/>
    <s v=" "/>
    <n v="2"/>
    <s v="MH3SG5670RJ434429"/>
    <s v="G3L8E1997556"/>
    <s v="YAMAHA"/>
    <s v="N MAX"/>
    <s v="HIJAU"/>
    <s v="JG"/>
    <s v="GAGAL BAYAR"/>
    <n v="5"/>
    <n v="24"/>
    <x v="2"/>
    <s v="COLL"/>
    <x v="1"/>
    <x v="0"/>
    <m/>
  </r>
  <r>
    <n v="608"/>
    <d v="2025-11-10T17:57:21"/>
    <s v="5d155998-3b32-426c-9f80-9898af00922a"/>
    <s v="LatLng(lat: 1.0368314, lng: 103.9687329)"/>
    <s v="SP-24-F0000997"/>
    <s v="HERMANTO MADERSON SITORUS"/>
    <s v="BP 2741 RF"/>
    <x v="0"/>
    <s v="10.MIDUK"/>
    <s v="A"/>
    <n v="18"/>
    <s v="MH1JM5117MK996138"/>
    <s v="JM51E1995142"/>
    <s v="HONDA"/>
    <s v="VARIO 125"/>
    <s v="HITAM"/>
    <s v="JG"/>
    <s v="BELUM JTO"/>
    <n v="18"/>
    <n v="18"/>
    <x v="4"/>
    <s v="COLL"/>
    <x v="0"/>
    <x v="0"/>
    <m/>
  </r>
  <r>
    <n v="609"/>
    <d v="2025-11-10T17:57:27"/>
    <s v="fced54d3-7c26-48e8-91fe-7d7236e7f959"/>
    <s v="LatLng(lat: 1.1221063, lng: 104.0438767)"/>
    <s v="OD-24-F0001779"/>
    <s v="AYU MUTIARA"/>
    <s v="BP 6177 CI"/>
    <x v="1"/>
    <s v="MARTIN"/>
    <s v=" "/>
    <n v="2"/>
    <s v="MH3SG5670RJ434429"/>
    <s v="G3L8E1997556"/>
    <s v="YAMAHA"/>
    <s v="N MAX"/>
    <s v="HIJAU"/>
    <s v="JG"/>
    <s v="GAGAL BAYAR"/>
    <n v="5"/>
    <n v="24"/>
    <x v="10"/>
    <s v="COLL"/>
    <x v="1"/>
    <x v="0"/>
    <m/>
  </r>
  <r>
    <n v="610"/>
    <d v="2025-11-10T18:02:35"/>
    <s v="5d155998-3b32-426c-9f80-9898af00922a"/>
    <s v="LatLng(lat: 1.034037, lng: 103.9712876)"/>
    <s v="SP-25-F0002268"/>
    <s v="JOGI ROGANTENG SINAGA"/>
    <s v="BP 5370 AM"/>
    <x v="0"/>
    <s v="14.CALL CENTER"/>
    <s v=" "/>
    <n v="9"/>
    <s v="MH3UG0750NK130558"/>
    <s v="G3E6E0670926"/>
    <s v="YAMAHA"/>
    <s v="JUPITER MX KING"/>
    <s v="MERAH"/>
    <s v="JG"/>
    <s v="DONE"/>
    <n v="2"/>
    <n v="12"/>
    <x v="4"/>
    <s v="COLL"/>
    <x v="0"/>
    <x v="0"/>
    <m/>
  </r>
  <r>
    <n v="611"/>
    <d v="2025-11-10T18:10:46"/>
    <s v="6d21de4b-42fc-49f2-86f3-40a2a9759695"/>
    <s v="LatLng(lat: 0.9116983, lng: 104.4934483)"/>
    <s v="TP-25-F0000393"/>
    <s v="HARDINATA"/>
    <s v="BP 2209 CW"/>
    <x v="0"/>
    <s v="01.SYAMSURI"/>
    <s v="A"/>
    <n v="1"/>
    <s v="MH1JFW110GK714927"/>
    <s v="JFW1E1717603"/>
    <s v="HONDA"/>
    <s v="SCOOPY"/>
    <s v="HITAM COKLAT"/>
    <s v="JG"/>
    <s v="GAGAL BAYAR"/>
    <n v="5"/>
    <n v="12"/>
    <x v="0"/>
    <s v="COLL"/>
    <x v="0"/>
    <x v="0"/>
    <m/>
  </r>
  <r>
    <n v="612"/>
    <d v="2025-11-10T18:56:58"/>
    <s v="5d155998-3b32-426c-9f80-9898af00922a"/>
    <s v="LatLng(lat: 1.0342286, lng: 103.9764033)"/>
    <s v="SP-25-F0002560"/>
    <s v="SOFIAN ARIF"/>
    <s v="BP 2802 IR"/>
    <x v="0"/>
    <s v="14.CALL CENTER"/>
    <s v=" "/>
    <n v="13"/>
    <s v="MH1KC8218HK173344"/>
    <s v="KC82E1169456"/>
    <s v="HONDA"/>
    <s v="CB 150 R LED"/>
    <s v="HITAM"/>
    <s v="JG"/>
    <s v="BELUM JTO"/>
    <n v="1"/>
    <n v="18"/>
    <x v="4"/>
    <s v="COLL"/>
    <x v="0"/>
    <x v="0"/>
    <m/>
  </r>
  <r>
    <n v="613"/>
    <d v="2025-11-10T19:19:09"/>
    <s v="3841b94e-9a4f-4b53-a473-36560f4d9a4f"/>
    <s v="LatLng(lat: 1.0451467, lng: 103.970155)"/>
    <s v="OD-24-F0001197"/>
    <s v="YOHANES HENDRIKUS BHURU"/>
    <s v="BP 2947 JU"/>
    <x v="0"/>
    <s v="09.OLOAN"/>
    <s v="A"/>
    <n v="3"/>
    <s v="MH1JM821XLK037430"/>
    <s v="JM82E1037456"/>
    <s v="HONDA"/>
    <s v="BEAT STREET"/>
    <s v="HITAM"/>
    <s v="JG"/>
    <s v="GAGAL BAYAR"/>
    <n v="18"/>
    <n v="24"/>
    <x v="39"/>
    <s v="COLL"/>
    <x v="0"/>
    <x v="0"/>
    <m/>
  </r>
  <r>
    <n v="614"/>
    <d v="2025-11-10T19:36:30"/>
    <s v="3841b94e-9a4f-4b53-a473-36560f4d9a4f"/>
    <s v="LatLng(lat: 1.0644917, lng: 103.9168845)"/>
    <s v="SP-25-F0002118"/>
    <s v="ANWAR ASH SHIDIQ"/>
    <s v="BP 2027 O"/>
    <x v="0"/>
    <s v="11.RIMPUN "/>
    <s v="A"/>
    <n v="26"/>
    <s v="MH1JM9117MK473774"/>
    <s v="JM91E1473272"/>
    <s v="HONDA"/>
    <s v="BEAT DELUXE"/>
    <s v="SILVER"/>
    <s v="JG"/>
    <s v="BELUM JTO"/>
    <n v="3"/>
    <n v="12"/>
    <x v="39"/>
    <s v="COLL"/>
    <x v="0"/>
    <x v="0"/>
    <m/>
  </r>
  <r>
    <n v="615"/>
    <d v="2025-11-11T09:14:55"/>
    <s v="fced54d3-7c26-48e8-91fe-7d7236e7f959"/>
    <s v="LatLng(lat: 1.0336269, lng: 104.1311433)"/>
    <s v="SP-24-F0002705"/>
    <s v="IMAH LESTIANA"/>
    <s v="BP 2549 UF"/>
    <x v="0"/>
    <s v="10.MIDUK"/>
    <s v="A"/>
    <n v="16"/>
    <s v="MH1JFZ137KK632348"/>
    <s v="JFZ1E3632269"/>
    <s v="HONDA"/>
    <s v="BEAT"/>
    <s v="HITAM"/>
    <s v="JG"/>
    <s v="BELUM JTO"/>
    <n v="11"/>
    <n v="18"/>
    <x v="10"/>
    <s v="COLL"/>
    <x v="1"/>
    <x v="0"/>
    <m/>
  </r>
  <r>
    <n v="616"/>
    <d v="2025-11-11T10:26:20"/>
    <s v="e0d931cf-6e64-4a91-a81a-04cf02d33a39"/>
    <s v="LatLng(lat: 1.0474733, lng: 103.964485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13"/>
    <s v="COLL"/>
    <x v="0"/>
    <x v="0"/>
    <m/>
  </r>
  <r>
    <n v="617"/>
    <d v="2025-11-11T10:30:21"/>
    <s v="551fa799-4956-44f4-9122-ea915d0399f1"/>
    <s v="LatLng(lat: 1.0450412, lng: 103.9658467)"/>
    <s v="SP-24-F0002634"/>
    <s v="RIZKY PRATAMA SIRAIT"/>
    <s v="BP 2447 MU"/>
    <x v="0"/>
    <s v="12.JUBRAIDER S"/>
    <s v="A"/>
    <n v="7"/>
    <s v="MH1JM8111LK270646"/>
    <s v="JM81E1272610"/>
    <s v="HONDA"/>
    <s v="BEAT FI"/>
    <s v="PUTIH"/>
    <s v="JG"/>
    <s v="BELUM JTO"/>
    <n v="11"/>
    <n v="12"/>
    <x v="12"/>
    <s v="COLL"/>
    <x v="0"/>
    <x v="0"/>
    <m/>
  </r>
  <r>
    <n v="618"/>
    <d v="2025-11-11T10:32:24"/>
    <s v="551fa799-4956-44f4-9122-ea915d0399f1"/>
    <s v="LatLng(lat: 1.0451116, lng: 103.9661631)"/>
    <s v="OD-24-F0002157"/>
    <s v="ZULIANA RAMBE"/>
    <s v="BP 3597 HI"/>
    <x v="6"/>
    <s v="C"/>
    <s v=" "/>
    <n v="1"/>
    <s v="MH1KC0210JK013935"/>
    <s v="KC02E1013762"/>
    <s v="HONDA"/>
    <s v="CB VERZA"/>
    <s v="MERAH"/>
    <s v="JG"/>
    <s v="BELUM JTO"/>
    <n v="16"/>
    <n v="18"/>
    <x v="12"/>
    <s v="COLL"/>
    <x v="0"/>
    <x v="0"/>
    <m/>
  </r>
  <r>
    <n v="619"/>
    <d v="2025-11-11T10:48:39"/>
    <s v="fced54d3-7c26-48e8-91fe-7d7236e7f959"/>
    <s v="LatLng(lat: 1.0679552, lng: 104.2051842)"/>
    <s v="TP-24-F0000373"/>
    <s v="MASRI DERITA"/>
    <s v="BP 3275 RB"/>
    <x v="12"/>
    <s v="SATRIA"/>
    <s v=" "/>
    <n v="16"/>
    <s v="MH1JM0115MK332617"/>
    <s v="JM01E1330883"/>
    <s v="HONDA"/>
    <s v="SCOOPY"/>
    <s v="HITAM"/>
    <s v="JG"/>
    <s v="GAGAL BAYAR"/>
    <n v="13"/>
    <n v="36"/>
    <x v="10"/>
    <s v="COLL"/>
    <x v="1"/>
    <x v="0"/>
    <m/>
  </r>
  <r>
    <n v="620"/>
    <d v="2025-11-11T12:10:24"/>
    <s v="6d21de4b-42fc-49f2-86f3-40a2a9759695"/>
    <s v="LatLng(lat: 0.9071313, lng: 104.564373)"/>
    <s v="TP-24-F0000184"/>
    <s v="LASMI ROMAULI SIMANULLANG"/>
    <s v="BP 3870 GW"/>
    <x v="0"/>
    <s v="01.SYAMSURI"/>
    <s v="A"/>
    <n v="6"/>
    <s v="MH1JFZ218JK287939"/>
    <s v="JFZ2E1287916"/>
    <s v="HONDA"/>
    <s v="BEAT FI"/>
    <s v="HITAM"/>
    <s v="JG"/>
    <s v="BELUM JTO"/>
    <n v="18"/>
    <n v="24"/>
    <x v="0"/>
    <s v="COLL"/>
    <x v="0"/>
    <x v="0"/>
    <m/>
  </r>
  <r>
    <n v="621"/>
    <d v="2025-11-11T12:15:13"/>
    <s v="6d21de4b-42fc-49f2-86f3-40a2a9759695"/>
    <s v="LatLng(lat: 0.9126505, lng: 104.5326873)"/>
    <s v="BT-KD-24-00155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622"/>
    <d v="2025-11-11T12:19:34"/>
    <s v="6d21de4b-42fc-49f2-86f3-40a2a9759695"/>
    <s v="LatLng(lat: 0.9152078, lng: 104.5199814)"/>
    <s v="TP-24-F0000135"/>
    <s v="MARZUKI"/>
    <s v="BP 2484 HT"/>
    <x v="10"/>
    <s v="EKSTERNAL"/>
    <s v=" "/>
    <n v="9"/>
    <s v="MH1JFL119FK182736"/>
    <s v="JFL1E1182843"/>
    <s v="HONDA"/>
    <s v="SCOOPY"/>
    <s v="BIRU - KREM"/>
    <s v="JG"/>
    <s v="GAGAL BAYAR"/>
    <n v="5"/>
    <n v="18"/>
    <x v="0"/>
    <s v="COLL"/>
    <x v="8"/>
    <x v="0"/>
    <m/>
  </r>
  <r>
    <n v="623"/>
    <d v="2025-11-11T12:51:16"/>
    <s v="97b899c7-a738-4c0c-a57d-47d1be720bd2"/>
    <s v="LatLng(lat: 1.0971953, lng: 104.0363162)"/>
    <s v="OD-25-F0001598"/>
    <s v="TRI SANDI PRAYUGO"/>
    <s v="BP 3533 HJ"/>
    <x v="0"/>
    <s v="09.OLOAN"/>
    <s v="A"/>
    <n v="26"/>
    <s v="MH1JFZ215JK335347"/>
    <s v="JFZ2E1335354"/>
    <s v="HONDA"/>
    <s v="BEAT STREET"/>
    <s v="HITAM"/>
    <s v="JG"/>
    <s v="BELUM JTO"/>
    <n v="3"/>
    <n v="18"/>
    <x v="5"/>
    <s v="COLL"/>
    <x v="0"/>
    <x v="0"/>
    <m/>
  </r>
  <r>
    <n v="624"/>
    <d v="2025-11-11T13:20:45"/>
    <s v="551fa799-4956-44f4-9122-ea915d0399f1"/>
    <s v="LatLng(lat: 1.0402558, lng: 103.9879161)"/>
    <s v="SP-25-F0001058"/>
    <s v="PELI ANDRILA"/>
    <s v="BP 4705 QO"/>
    <x v="4"/>
    <s v="TALENTA S"/>
    <s v=" "/>
    <n v="13"/>
    <s v="MH3RG4610KK110665"/>
    <s v="G3E7E0488310"/>
    <s v="YAMAHA"/>
    <s v="VIXION VVA"/>
    <s v="KUNING"/>
    <s v="JG"/>
    <s v="GAGAL BAYAR"/>
    <n v="5"/>
    <n v="18"/>
    <x v="12"/>
    <s v="COLL"/>
    <x v="6"/>
    <x v="0"/>
    <m/>
  </r>
  <r>
    <n v="625"/>
    <d v="2025-11-11T13:30:20"/>
    <s v="74bb1709-aa7b-4b41-a082-a2af867fd15e"/>
    <s v="LatLng(lat: 1.0630106, lng: 104.0161338)"/>
    <s v="SP-25-F0002570"/>
    <s v="E RUDIYANDI"/>
    <s v="BP 5541 UO"/>
    <x v="0"/>
    <s v="14.CALL CENTER"/>
    <s v=" "/>
    <n v="15"/>
    <s v="MH1JMD114RK531124"/>
    <s v="JMD1E1530020"/>
    <s v="HONDA"/>
    <s v="VARIO 125 KEYLESS"/>
    <s v="MERAH"/>
    <s v="JG"/>
    <s v="BELUM JTO"/>
    <n v="1"/>
    <n v="18"/>
    <x v="7"/>
    <s v="COLL"/>
    <x v="0"/>
    <x v="0"/>
    <m/>
  </r>
  <r>
    <n v="626"/>
    <d v="2025-11-11T13:32:46"/>
    <s v="5d155998-3b32-426c-9f80-9898af00922a"/>
    <s v="LatLng(lat: 1.0814465, lng: 104.0280781)"/>
    <s v="OD-25-F0000866"/>
    <s v="DAVIT PRIDINOLO"/>
    <s v="BP 2214 QA"/>
    <x v="6"/>
    <s v="C"/>
    <s v=" "/>
    <n v="2"/>
    <s v="MH1KC8213GK009062"/>
    <s v="KC82E1005462"/>
    <s v="HONDA"/>
    <s v="CB 150 R"/>
    <s v="PUTIH MERAH"/>
    <s v="JG"/>
    <s v="BELUM JTO"/>
    <n v="8"/>
    <n v="18"/>
    <x v="4"/>
    <s v="COLL"/>
    <x v="0"/>
    <x v="0"/>
    <m/>
  </r>
  <r>
    <n v="627"/>
    <d v="2025-11-11T13:35:29"/>
    <s v="51f658db-9885-4d52-99bd-8e1bf0356977"/>
    <s v="LatLng(lat: 1.0413744, lng: 103.9935388)"/>
    <s v="SP-25-F0001839"/>
    <s v="GIDION ENDRISON SIMANJUNTAK"/>
    <s v="BP 2729 RS"/>
    <x v="0"/>
    <s v="11.RIMPUN "/>
    <s v="A"/>
    <n v="1"/>
    <s v="MH1JM812XPK635002"/>
    <s v="JM81E2635326"/>
    <s v="HONDA"/>
    <s v="BEAT"/>
    <s v="HITAM"/>
    <s v="JG"/>
    <s v="GAGAL BAYAR"/>
    <n v="3"/>
    <n v="12"/>
    <x v="19"/>
    <s v="COLL"/>
    <x v="0"/>
    <x v="0"/>
    <m/>
  </r>
  <r>
    <n v="628"/>
    <d v="2025-11-11T13:35:37"/>
    <s v="1770dac3-81ca-4fab-8a6a-e60c63470def"/>
    <s v="LatLng(lat: 1.0392904, lng: 103.9946639)"/>
    <s v="SP-25-F0001839"/>
    <s v="GIDION ENDRISON SIMANJUNTAK"/>
    <s v="BP 2729 RS"/>
    <x v="0"/>
    <s v="11.RIMPUN "/>
    <s v="A"/>
    <n v="1"/>
    <s v="MH1JM812XPK635002"/>
    <s v="JM81E2635326"/>
    <s v="HONDA"/>
    <s v="BEAT"/>
    <s v="HITAM"/>
    <s v="JG"/>
    <s v="GAGAL BAYAR"/>
    <n v="3"/>
    <n v="12"/>
    <x v="21"/>
    <s v="COLL"/>
    <x v="0"/>
    <x v="0"/>
    <m/>
  </r>
  <r>
    <n v="629"/>
    <d v="2025-11-11T13:36:42"/>
    <s v="b5e5eb90-c13c-42f2-8aa6-fb5964b939de"/>
    <s v="LatLng(lat: 1.0396835, lng: 104.0002686)"/>
    <s v="SP-24-F0002676"/>
    <s v="NILA YENI"/>
    <s v="BP 2940 RF"/>
    <x v="0"/>
    <s v="09.OLOAN"/>
    <s v="A"/>
    <n v="12"/>
    <s v="MH1JM8114MK845159"/>
    <s v="JM81E1847836"/>
    <s v="HONDA"/>
    <s v="BEAT"/>
    <s v="HITAM"/>
    <s v="JG"/>
    <s v="BELUM JTO"/>
    <n v="11"/>
    <n v="12"/>
    <x v="25"/>
    <s v="COLL"/>
    <x v="0"/>
    <x v="0"/>
    <m/>
  </r>
  <r>
    <n v="630"/>
    <d v="2025-11-11T13:45:52"/>
    <s v="78c8aa58-d259-49a1-a96c-192417985ecf"/>
    <s v="LatLng(lat: 1.143747, lng: 104.0280191)"/>
    <s v="OD-24-F0003117"/>
    <s v="MEI SANDI PRATAMA"/>
    <s v="BP 4201 CH"/>
    <x v="0"/>
    <s v="08.JOSRI"/>
    <s v=" "/>
    <n v="12"/>
    <s v="MH1JFZ121JK944994"/>
    <s v="JFZ1E2951259"/>
    <s v="HONDA"/>
    <s v="BEAT"/>
    <s v="HITAM"/>
    <s v="JG"/>
    <s v="BELUM JTO"/>
    <n v="12"/>
    <n v="18"/>
    <x v="16"/>
    <s v="COLL"/>
    <x v="0"/>
    <x v="0"/>
    <m/>
  </r>
  <r>
    <n v="631"/>
    <d v="2025-11-11T13:47:43"/>
    <s v="dcc6f40b-a9a1-43d4-bd37-f0019f505bcd"/>
    <s v="LatLng(lat: 1.1446509, lng: 104.0279824)"/>
    <s v="OD-24-F0003117"/>
    <s v="MEI SANDI PRATAMA"/>
    <s v="BP 4201 CH"/>
    <x v="0"/>
    <s v="08.JOSRI"/>
    <s v=" "/>
    <n v="12"/>
    <s v="MH1JFZ121JK944994"/>
    <s v="JFZ1E2951259"/>
    <s v="HONDA"/>
    <s v="BEAT"/>
    <s v="HITAM"/>
    <s v="JG"/>
    <s v="BELUM JTO"/>
    <n v="12"/>
    <n v="18"/>
    <x v="9"/>
    <s v="COLL"/>
    <x v="0"/>
    <x v="0"/>
    <m/>
  </r>
  <r>
    <n v="632"/>
    <d v="2025-11-11T13:52:43"/>
    <s v="74bb1709-aa7b-4b41-a082-a2af867fd15e"/>
    <s v="LatLng(lat: 1.13827, lng: 104.02739)"/>
    <s v="SP-25-F0001038"/>
    <s v="BILLI ADITIA"/>
    <s v="BP 3474 J"/>
    <x v="0"/>
    <s v="07.RINTO"/>
    <s v="A"/>
    <n v="9"/>
    <s v="MH1JM0211MK362650"/>
    <s v="JM02E1362627"/>
    <s v="HONDA"/>
    <s v="SCOOPY"/>
    <s v="HITAM"/>
    <s v="JG"/>
    <s v="BELUM JTO"/>
    <n v="6"/>
    <n v="18"/>
    <x v="7"/>
    <s v="COLL"/>
    <x v="0"/>
    <x v="0"/>
    <m/>
  </r>
  <r>
    <n v="633"/>
    <d v="2025-11-11T13:53:37"/>
    <s v="688868a7-408e-44ae-b238-348dfc1995b0"/>
    <s v="LatLng(lat: 1.1546595, lng: 104.0320224)"/>
    <s v="SP-25-F0000598"/>
    <s v="DESVI ANDI S"/>
    <s v="BP 2343 IF"/>
    <x v="0"/>
    <s v="14.CALL CENTER"/>
    <s v="A"/>
    <n v="13"/>
    <s v="MH1JF5133CK849082"/>
    <s v="JF51E3837092"/>
    <s v="HONDA"/>
    <s v="BEAT"/>
    <s v="BIRU PUTIH"/>
    <s v="JG"/>
    <s v="DONE"/>
    <n v="8"/>
    <n v="12"/>
    <x v="14"/>
    <s v="COLL"/>
    <x v="0"/>
    <x v="0"/>
    <m/>
  </r>
  <r>
    <n v="634"/>
    <d v="2025-11-11T14:00:45"/>
    <s v="e0d931cf-6e64-4a91-a81a-04cf02d33a39"/>
    <s v="LatLng(lat: 1.1595717, lng: 104.0258717)"/>
    <s v="SP-25-F0002599"/>
    <s v="CINDY SEPTYANI SITANGGANG"/>
    <s v="BP 2870 QS"/>
    <x v="0"/>
    <s v="14.CALL CENTER"/>
    <s v=" "/>
    <n v="16"/>
    <s v="MH1JM0319PK420801"/>
    <s v="JM03E1421036"/>
    <s v="HONDA"/>
    <s v="SCOOPY NON KEYLESS"/>
    <s v="COKLAT KREM"/>
    <s v="JG"/>
    <s v="BELUM JTO"/>
    <n v="1"/>
    <n v="12"/>
    <x v="13"/>
    <s v="COLL"/>
    <x v="0"/>
    <x v="0"/>
    <m/>
  </r>
  <r>
    <n v="635"/>
    <d v="2025-11-11T14:01:42"/>
    <s v="74bb1709-aa7b-4b41-a082-a2af867fd15e"/>
    <s v="LatLng(lat: 1.15952, lng: 104.0245067)"/>
    <s v="OD-25-F0001246"/>
    <s v="YOSEF FREIDAMETZ HORE"/>
    <s v="BP 2604 UM"/>
    <x v="3"/>
    <s v="DOKA"/>
    <s v=" "/>
    <n v="18"/>
    <s v="MH1JM0213LK038212"/>
    <s v="JM02E1038159"/>
    <s v="HONDA"/>
    <s v="SCOOPY"/>
    <s v="PUTIH"/>
    <s v="JG"/>
    <s v="GAGAL BAYAR"/>
    <n v="3"/>
    <n v="18"/>
    <x v="7"/>
    <s v="COLL"/>
    <x v="6"/>
    <x v="0"/>
    <m/>
  </r>
  <r>
    <n v="636"/>
    <d v="2025-11-11T14:02:39"/>
    <s v="688868a7-408e-44ae-b238-348dfc1995b0"/>
    <s v="LatLng(lat: 1.15442, lng: 104.0364667)"/>
    <s v="SP-25-F0001175"/>
    <s v="TOTOK SUBIYANTO"/>
    <s v="BP 5508 AG"/>
    <x v="0"/>
    <s v="08.JOSRI"/>
    <s v="A"/>
    <n v="24"/>
    <s v="MH3SG5620MJ283838"/>
    <s v="G3L8E0527014"/>
    <s v="YAMAHA"/>
    <s v="NMAX NON CONECTED"/>
    <s v="HITAM"/>
    <s v="JG"/>
    <s v="BELUM JTO"/>
    <n v="6"/>
    <n v="24"/>
    <x v="14"/>
    <s v="COLL"/>
    <x v="0"/>
    <x v="0"/>
    <m/>
  </r>
  <r>
    <n v="637"/>
    <d v="2025-11-11T14:02:45"/>
    <s v="f0b79403-18b0-47dd-bacc-d76d9d60a28e"/>
    <s v="LatLng(lat: 1.1490017, lng: 104.0364401)"/>
    <s v="OD-24-F0000948"/>
    <s v="KARTIKA RATNA SARI"/>
    <s v="BP 3797 MU"/>
    <x v="0"/>
    <s v="14.CALL CENTER"/>
    <s v="A"/>
    <n v="8"/>
    <s v="MH1JM9111MK377073"/>
    <s v="JM91E1371399"/>
    <s v="HONDA"/>
    <s v="BEAT"/>
    <s v="HITAM"/>
    <s v="JG"/>
    <s v="BELUM JTO"/>
    <n v="19"/>
    <n v="24"/>
    <x v="24"/>
    <s v="COLL"/>
    <x v="0"/>
    <x v="0"/>
    <m/>
  </r>
  <r>
    <n v="638"/>
    <d v="2025-11-11T14:02:53"/>
    <s v="86afd147-8c0b-48e4-aaf8-44ad72c52985"/>
    <s v="LatLng(lat: 1.1544392, lng: 104.0314221)"/>
    <s v="SP-25-F0000598"/>
    <s v="DESVI ANDI S"/>
    <s v="BP 2343 IF"/>
    <x v="0"/>
    <s v="14.CALL CENTER"/>
    <s v="A"/>
    <n v="13"/>
    <s v="MH1JF5133CK849082"/>
    <s v="JF51E3837092"/>
    <s v="HONDA"/>
    <s v="BEAT"/>
    <s v="BIRU PUTIH"/>
    <s v="JG"/>
    <s v="DONE"/>
    <n v="8"/>
    <n v="12"/>
    <x v="15"/>
    <s v="COLL"/>
    <x v="0"/>
    <x v="0"/>
    <m/>
  </r>
  <r>
    <n v="639"/>
    <d v="2025-11-11T14:02:54"/>
    <s v="51f658db-9885-4d52-99bd-8e1bf0356977"/>
    <s v="LatLng(lat: 1.1545414, lng: 104.0318571)"/>
    <s v="SP-25-F0000598"/>
    <s v="DESVI ANDI S"/>
    <s v="BP 2343 IF"/>
    <x v="0"/>
    <s v="14.CALL CENTER"/>
    <s v="A"/>
    <n v="13"/>
    <s v="MH1JF5133CK849082"/>
    <s v="JF51E3837092"/>
    <s v="HONDA"/>
    <s v="BEAT"/>
    <s v="BIRU PUTIH"/>
    <s v="JG"/>
    <s v="DONE"/>
    <n v="8"/>
    <n v="12"/>
    <x v="19"/>
    <s v="COLL"/>
    <x v="0"/>
    <x v="0"/>
    <m/>
  </r>
  <r>
    <n v="640"/>
    <d v="2025-11-11T14:05:18"/>
    <s v="5d155998-3b32-426c-9f80-9898af00922a"/>
    <s v="LatLng(lat: 1.1623494, lng: 104.0245708)"/>
    <s v="OD-24-F0001456"/>
    <s v="LARASATI"/>
    <s v="BP 3995 UE"/>
    <x v="4"/>
    <s v="MARTIN"/>
    <s v=" "/>
    <n v="7"/>
    <s v="MH1JM9116MK392930"/>
    <s v="JM91E1394320"/>
    <s v="HONDA"/>
    <s v="BEAT"/>
    <s v="HITAM"/>
    <s v="JG"/>
    <s v="PARTIAL"/>
    <n v="16"/>
    <n v="18"/>
    <x v="4"/>
    <s v="COLL"/>
    <x v="0"/>
    <x v="0"/>
    <m/>
  </r>
  <r>
    <n v="641"/>
    <d v="2025-11-11T14:06:20"/>
    <s v="f0b79403-18b0-47dd-bacc-d76d9d60a28e"/>
    <s v="LatLng(lat: 1.1487141, lng: 104.0357144)"/>
    <s v="SP-25-F0002657"/>
    <s v="WAHYU KRISNANTO"/>
    <s v="BP 4258 QM"/>
    <x v="6"/>
    <s v="C"/>
    <s v=" "/>
    <n v="1"/>
    <s v="MH3SG3190JK318966"/>
    <s v="G3E4E1108849"/>
    <s v="YAMAHA"/>
    <s v="NMAX"/>
    <s v="PUTIH"/>
    <s v="JG"/>
    <s v="BELUM JTO"/>
    <n v="1"/>
    <n v="24"/>
    <x v="24"/>
    <s v="COLL"/>
    <x v="0"/>
    <x v="0"/>
    <m/>
  </r>
  <r>
    <n v="642"/>
    <d v="2025-11-11T14:08:37"/>
    <s v="f0b79403-18b0-47dd-bacc-d76d9d60a28e"/>
    <s v="LatLng(lat: 1.1510404, lng: 104.0364401)"/>
    <s v="SP-25-F0002375"/>
    <s v="ANGGI AFRIANDO"/>
    <s v="BP 2861 P"/>
    <x v="0"/>
    <s v="04.RIZKI A"/>
    <s v=" "/>
    <n v="25"/>
    <s v="MH1JM8222PK015114"/>
    <s v="JM82E2014609"/>
    <s v="HONDA"/>
    <s v="BEAT STREET"/>
    <s v="SILVER"/>
    <s v="JG"/>
    <s v="BELUM JTO"/>
    <n v="2"/>
    <n v="24"/>
    <x v="24"/>
    <s v="COLL"/>
    <x v="0"/>
    <x v="0"/>
    <m/>
  </r>
  <r>
    <n v="643"/>
    <d v="2025-11-11T14:08:44"/>
    <s v="702dc462-24c0-4894-b1c2-8bb9fe7a2806"/>
    <s v="LatLng(lat: 1.1583461, lng: 104.0260462)"/>
    <s v="SP-25-F0001601"/>
    <s v="ANGGI BERTA ANDRIANI"/>
    <s v="BP 2655 UM"/>
    <x v="0"/>
    <s v="13.WILFRIN"/>
    <s v="A"/>
    <n v="7"/>
    <s v="MH1JM0215LK014901"/>
    <s v="JM02E1015033"/>
    <s v="HONDA"/>
    <s v="SCOOPY NON KEYLESS"/>
    <s v="COKLAT"/>
    <s v="JG"/>
    <s v="BELUM JTO"/>
    <n v="4"/>
    <n v="12"/>
    <x v="36"/>
    <s v="COLL"/>
    <x v="0"/>
    <x v="0"/>
    <m/>
  </r>
  <r>
    <n v="644"/>
    <d v="2025-11-11T14:09:44"/>
    <s v="86afd147-8c0b-48e4-aaf8-44ad72c52985"/>
    <s v="LatLng(lat: 1.152127, lng: 104.0339569)"/>
    <s v="OD-24-F0003191"/>
    <s v="ROMI GUNAWAN"/>
    <s v="BP 2873 HE"/>
    <x v="0"/>
    <s v="05.BOSPA"/>
    <s v="D"/>
    <n v="16"/>
    <s v="MH1JFV117JK834595"/>
    <s v="JFV1E1839664"/>
    <s v="HONDA"/>
    <s v="VARIO"/>
    <s v="MERAH"/>
    <s v="JG"/>
    <s v="BELUM JTO"/>
    <n v="12"/>
    <n v="18"/>
    <x v="15"/>
    <s v="COLL"/>
    <x v="0"/>
    <x v="0"/>
    <m/>
  </r>
  <r>
    <n v="645"/>
    <d v="2025-11-11T14:09:48"/>
    <s v="51f658db-9885-4d52-99bd-8e1bf0356977"/>
    <s v="LatLng(lat: 1.1519309, lng: 104.0339193)"/>
    <s v="OD-24-F0003191"/>
    <s v="ROMI GUNAWAN"/>
    <s v="BP 2873 HE"/>
    <x v="0"/>
    <s v="05.BOSPA"/>
    <s v="D"/>
    <n v="16"/>
    <s v="MH1JFV117JK834595"/>
    <s v="JFV1E1839664"/>
    <s v="HONDA"/>
    <s v="VARIO"/>
    <s v="MERAH"/>
    <s v="JG"/>
    <s v="BELUM JTO"/>
    <n v="12"/>
    <n v="18"/>
    <x v="19"/>
    <s v="COLL"/>
    <x v="0"/>
    <x v="0"/>
    <m/>
  </r>
  <r>
    <n v="646"/>
    <d v="2025-11-11T14:15:59"/>
    <s v="f0b79403-18b0-47dd-bacc-d76d9d60a28e"/>
    <s v="LatLng(lat: 1.1501484, lng: 104.0400685)"/>
    <s v="OD-25-F0001250"/>
    <s v="NUR LAELA"/>
    <s v="BP 2701 OU"/>
    <x v="0"/>
    <s v="14.CALL CENTER"/>
    <s v="A"/>
    <n v="18"/>
    <s v="MH1JM8115MK549468"/>
    <s v="JM81E1551375"/>
    <s v="HONDA"/>
    <s v="BEAT FI"/>
    <s v="MERAH HITAM"/>
    <s v="JG"/>
    <s v="BELUM JTO"/>
    <n v="5"/>
    <n v="12"/>
    <x v="24"/>
    <s v="COLL"/>
    <x v="0"/>
    <x v="0"/>
    <m/>
  </r>
  <r>
    <n v="647"/>
    <d v="2025-11-11T14:20:52"/>
    <s v="1770dac3-81ca-4fab-8a6a-e60c63470def"/>
    <s v="LatLng(lat: 1.1425696, lng: 104.0380813)"/>
    <s v="SP-25-F0002534"/>
    <s v="MISWADI"/>
    <s v="BP 3522 HU"/>
    <x v="0"/>
    <s v="14.CALL CENTER"/>
    <s v=" "/>
    <n v="11"/>
    <s v="MH1JFZ216JK420522"/>
    <s v="JFZ2E1420685"/>
    <s v="HONDA"/>
    <s v="BEAT STREET"/>
    <s v="HITAM"/>
    <s v="JG"/>
    <s v="BELUM JTO"/>
    <n v="1"/>
    <n v="18"/>
    <x v="21"/>
    <s v="COLL"/>
    <x v="0"/>
    <x v="0"/>
    <m/>
  </r>
  <r>
    <n v="648"/>
    <d v="2025-11-11T14:24:42"/>
    <s v="dcc6f40b-a9a1-43d4-bd37-f0019f505bcd"/>
    <s v="LatLng(lat: 1.1503967, lng: 104.0368616)"/>
    <s v="SP-25-F0002630"/>
    <s v="ANDIKA RAHMAN"/>
    <s v="BP 4396 EJ"/>
    <x v="0"/>
    <s v="14.CALL CENTER"/>
    <s v=" "/>
    <n v="20"/>
    <s v="MH3UG0750PK165871"/>
    <s v="G3E6E0706312"/>
    <s v="YAMAHA"/>
    <s v="MX KING"/>
    <s v="BIRU"/>
    <s v="JG"/>
    <s v="DONE"/>
    <n v="1"/>
    <n v="18"/>
    <x v="9"/>
    <s v="COLL"/>
    <x v="0"/>
    <x v="0"/>
    <m/>
  </r>
  <r>
    <n v="649"/>
    <d v="2025-11-11T14:25:31"/>
    <s v="1770dac3-81ca-4fab-8a6a-e60c63470def"/>
    <s v="LatLng(lat: 1.1404249, lng: 104.0380104)"/>
    <s v="SP-25-F0002689"/>
    <s v="WILLY"/>
    <s v="BP 3020 HE"/>
    <x v="6"/>
    <s v="C"/>
    <s v=" "/>
    <n v="5"/>
    <s v="MH1JFV11XJK815698"/>
    <s v="JFV1E1821247"/>
    <s v="HONDA"/>
    <s v="VARIO 125"/>
    <s v="HITAM"/>
    <s v="JG"/>
    <s v="BELUM JTO"/>
    <n v="1"/>
    <n v="12"/>
    <x v="21"/>
    <s v="COLL"/>
    <x v="0"/>
    <x v="0"/>
    <m/>
  </r>
  <r>
    <n v="650"/>
    <d v="2025-11-11T14:39:06"/>
    <s v="f0b79403-18b0-47dd-bacc-d76d9d60a28e"/>
    <s v="LatLng(lat: 1.15074, lng: 104.0382543)"/>
    <s v="SP-25-F0001375"/>
    <s v="FIRDA AULIA PUTRI"/>
    <s v="BP 2757 J"/>
    <x v="6"/>
    <s v="C"/>
    <s v=" "/>
    <n v="14"/>
    <s v="MH1JM0218MK325921"/>
    <s v="JM02E1325551"/>
    <s v="HONDA"/>
    <s v="SCOOPY"/>
    <s v="HTAM"/>
    <s v="JG"/>
    <s v="BELUM JTO"/>
    <n v="6"/>
    <n v="12"/>
    <x v="24"/>
    <s v="COLL"/>
    <x v="0"/>
    <x v="0"/>
    <m/>
  </r>
  <r>
    <n v="651"/>
    <d v="2025-11-11T14:40:36"/>
    <s v="b5e5eb90-c13c-42f2-8aa6-fb5964b939de"/>
    <s v="LatLng(lat: 1.1361845, lng: 104.0366068)"/>
    <s v="SP-24-F0000148"/>
    <s v="IAN MUSTAKIM"/>
    <s v="BP 5157 IR"/>
    <x v="0"/>
    <s v="04.RIZKI A"/>
    <s v="A"/>
    <n v="26"/>
    <s v="MH31PA004EK671695"/>
    <s v="1PA669364"/>
    <s v="YAMAHA"/>
    <s v="VIXION"/>
    <s v="HITAM"/>
    <s v="JG"/>
    <s v="BELUM JTO"/>
    <n v="22"/>
    <n v="24"/>
    <x v="25"/>
    <s v="COLL"/>
    <x v="0"/>
    <x v="0"/>
    <m/>
  </r>
  <r>
    <n v="652"/>
    <d v="2025-11-11T14:40:38"/>
    <s v="1770dac3-81ca-4fab-8a6a-e60c63470def"/>
    <s v="LatLng(lat: 1.136122, lng: 104.0362968)"/>
    <s v="SP-24-F0000148"/>
    <s v="IAN MUSTAKIM"/>
    <s v="BP 5157 IR"/>
    <x v="0"/>
    <s v="04.RIZKI A"/>
    <s v="A"/>
    <n v="26"/>
    <s v="MH31PA004EK671695"/>
    <s v="1PA669364"/>
    <s v="YAMAHA"/>
    <s v="VIXION"/>
    <s v="HITAM"/>
    <s v="JG"/>
    <s v="BELUM JTO"/>
    <n v="22"/>
    <n v="24"/>
    <x v="21"/>
    <s v="COLL"/>
    <x v="0"/>
    <x v="0"/>
    <m/>
  </r>
  <r>
    <n v="653"/>
    <d v="2025-11-11T14:41:46"/>
    <s v="f0b79403-18b0-47dd-bacc-d76d9d60a28e"/>
    <s v="LatLng(lat: 1.1542279, lng: 104.0397057)"/>
    <s v="OD-25-F0001435"/>
    <s v="HENDRICK"/>
    <s v="BP 6972 GI"/>
    <x v="0"/>
    <s v="09.OLOAN"/>
    <s v="A"/>
    <n v="25"/>
    <s v="MH8BG41EAFJ414650"/>
    <s v="G427ID415543"/>
    <s v="SUZUKI"/>
    <s v="SATRIA FU"/>
    <s v="HITAM"/>
    <s v="JG"/>
    <s v="BELUM JTO"/>
    <n v="4"/>
    <n v="12"/>
    <x v="24"/>
    <s v="COLL"/>
    <x v="0"/>
    <x v="0"/>
    <m/>
  </r>
  <r>
    <n v="654"/>
    <d v="2025-11-11T14:41:54"/>
    <s v="51f658db-9885-4d52-99bd-8e1bf0356977"/>
    <s v="LatLng(lat: 1.1448113, lng: 104.0472288)"/>
    <s v="SP-23-F0000621"/>
    <s v="LORENTINUS KOTA"/>
    <s v="BP 2843 GI"/>
    <x v="10"/>
    <s v="EKSTERNAL"/>
    <s v=" "/>
    <n v="25"/>
    <s v="MH1JBH118CK225077"/>
    <s v="JBH1E1218487"/>
    <s v="HONDA"/>
    <s v="BLADE"/>
    <s v="ORANGE HITAM"/>
    <s v="JG"/>
    <s v="GAGAL BAYAR"/>
    <n v="7"/>
    <n v="12"/>
    <x v="19"/>
    <s v="COLL"/>
    <x v="8"/>
    <x v="0"/>
    <m/>
  </r>
  <r>
    <n v="655"/>
    <d v="2025-11-11T14:49:23"/>
    <s v="551fa799-4956-44f4-9122-ea915d0399f1"/>
    <s v="LatLng(lat: 1.1593328, lng: 104.0223654)"/>
    <s v="OD-25-F0000823"/>
    <s v="SUPRIO HERNANDOS"/>
    <s v="BP 4159 AE"/>
    <x v="0"/>
    <s v="04.RIZKI A"/>
    <s v="A"/>
    <n v="25"/>
    <s v="MH3SEF310KJ186221"/>
    <s v="E31VE0247347"/>
    <s v="YAMAHA"/>
    <s v="LEXI"/>
    <s v="HITAM"/>
    <s v="JG"/>
    <s v="BELUM JTO"/>
    <n v="8"/>
    <n v="12"/>
    <x v="12"/>
    <s v="COLL"/>
    <x v="0"/>
    <x v="0"/>
    <m/>
  </r>
  <r>
    <n v="656"/>
    <d v="2025-11-11T14:50:32"/>
    <s v="a4f24bfd-45be-407a-a9ce-5da8e226108b"/>
    <s v="LatLng(lat: 0.9154418, lng: 104.4938598)"/>
    <s v="OD-24-F0003171"/>
    <s v="YOGI RIZKY MARCELLIE"/>
    <s v="BP 6544 HG"/>
    <x v="1"/>
    <s v="MARTIN"/>
    <s v=" "/>
    <n v="15"/>
    <s v="MH8DL11AZKJ201152"/>
    <s v="CGA1ID201100"/>
    <s v="SUZUKI"/>
    <s v="SATRIA FU"/>
    <s v="HITAM"/>
    <s v="JG"/>
    <s v="GAGAL BAYAR"/>
    <n v="2"/>
    <n v="24"/>
    <x v="2"/>
    <s v="COLL"/>
    <x v="1"/>
    <x v="0"/>
    <m/>
  </r>
  <r>
    <n v="657"/>
    <d v="2025-11-11T14:59:27"/>
    <s v="5d155998-3b32-426c-9f80-9898af00922a"/>
    <s v="LatLng(lat: 1.1472076, lng: 104.0382636)"/>
    <s v="SP-24-F0002691"/>
    <s v="HENY JUNIAR SAPUTRI"/>
    <s v="BP 2745 HF"/>
    <x v="0"/>
    <s v="13.WILFRIN"/>
    <s v="A"/>
    <n v="14"/>
    <s v="MH1JFZ12XJK244472"/>
    <s v="JFZ1E2246483"/>
    <s v="HONDA"/>
    <s v="BEAT FI"/>
    <s v="PUTIH"/>
    <s v="JG"/>
    <s v="BELUM JTO"/>
    <n v="11"/>
    <n v="12"/>
    <x v="4"/>
    <s v="COLL"/>
    <x v="0"/>
    <x v="0"/>
    <m/>
  </r>
  <r>
    <n v="658"/>
    <d v="2025-11-11T15:00:05"/>
    <s v="78c8aa58-d259-49a1-a96c-192417985ecf"/>
    <s v="LatLng(lat: 1.1595235, lng: 104.0255576)"/>
    <s v="SP-25-F0002599"/>
    <s v="CINDY SEPTYANI SITANGGANG"/>
    <s v="BP 2870 QS"/>
    <x v="0"/>
    <s v="14.CALL CENTER"/>
    <s v=" "/>
    <n v="16"/>
    <s v="MH1JM0319PK420801"/>
    <s v="JM03E1421036"/>
    <s v="HONDA"/>
    <s v="SCOOPY NON KEYLESS"/>
    <s v="COKLAT KREM"/>
    <s v="JG"/>
    <s v="BELUM JTO"/>
    <n v="1"/>
    <n v="12"/>
    <x v="16"/>
    <s v="COLL"/>
    <x v="0"/>
    <x v="0"/>
    <m/>
  </r>
  <r>
    <n v="659"/>
    <d v="2025-11-11T15:24:48"/>
    <s v="78c8aa58-d259-49a1-a96c-192417985ecf"/>
    <s v="LatLng(lat: 1.159069, lng: 104.0265303)"/>
    <s v="SP-25-F0001591"/>
    <s v="MAZREHA ZURAIMI"/>
    <s v="BP 2374 II"/>
    <x v="0"/>
    <s v="04.RIZKI A"/>
    <s v="A"/>
    <n v="5"/>
    <s v="MH1JM8122NK228692"/>
    <s v="JM81E2230716"/>
    <s v="HONDA"/>
    <s v="BEAT"/>
    <s v="HITAM"/>
    <s v="JG"/>
    <s v="DONE"/>
    <n v="4"/>
    <n v="18"/>
    <x v="16"/>
    <s v="COLL"/>
    <x v="0"/>
    <x v="0"/>
    <m/>
  </r>
  <r>
    <n v="660"/>
    <d v="2025-11-11T15:24:54"/>
    <s v="74bb1709-aa7b-4b41-a082-a2af867fd15e"/>
    <s v="LatLng(lat: 1.1591136, lng: 104.0265118)"/>
    <s v="SP-25-F0001591"/>
    <s v="MAZREHA ZURAIMI"/>
    <s v="BP 2374 II"/>
    <x v="0"/>
    <s v="04.RIZKI A"/>
    <s v="A"/>
    <n v="5"/>
    <s v="MH1JM8122NK228692"/>
    <s v="JM81E2230716"/>
    <s v="HONDA"/>
    <s v="BEAT"/>
    <s v="HITAM"/>
    <s v="JG"/>
    <s v="DONE"/>
    <n v="4"/>
    <n v="18"/>
    <x v="7"/>
    <s v="COLL"/>
    <x v="0"/>
    <x v="0"/>
    <m/>
  </r>
  <r>
    <n v="661"/>
    <d v="2025-11-11T15:28:49"/>
    <s v="fced54d3-7c26-48e8-91fe-7d7236e7f959"/>
    <s v="LatLng(lat: 0.9154494, lng: 104.4938513)"/>
    <s v="OD-25-F0000820"/>
    <s v="YOSEF VERILIUS LOLI"/>
    <s v="BP 4100 HE"/>
    <x v="15"/>
    <s v="MARTIN"/>
    <s v=" "/>
    <n v="24"/>
    <s v="MH3SG6410PJ289477"/>
    <s v="G3P4E0209446"/>
    <s v="YAMAHA"/>
    <s v="AEROX"/>
    <s v="MERAH"/>
    <s v="JG"/>
    <s v="GAGAL BAYAR"/>
    <n v="6"/>
    <n v="12"/>
    <x v="10"/>
    <s v="COLL"/>
    <x v="1"/>
    <x v="0"/>
    <m/>
  </r>
  <r>
    <n v="662"/>
    <d v="2025-11-11T15:30:27"/>
    <s v="3841b94e-9a4f-4b53-a473-36560f4d9a4f"/>
    <s v="LatLng(lat: 1.0422033, lng: 103.9231017)"/>
    <s v="SP-24-F0001741"/>
    <s v="ABDUL ROVIK F"/>
    <s v="BP 2077 OA"/>
    <x v="1"/>
    <s v="PAUL"/>
    <s v=" "/>
    <n v="22"/>
    <s v="MH1KC7117FK015196"/>
    <s v="KC71E1017712"/>
    <s v="HONDA"/>
    <s v="CBR"/>
    <s v="HITAM"/>
    <s v="JG"/>
    <s v="GAGAL BAYAR"/>
    <n v="8"/>
    <n v="12"/>
    <x v="39"/>
    <s v="COLL"/>
    <x v="6"/>
    <x v="0"/>
    <m/>
  </r>
  <r>
    <n v="663"/>
    <d v="2025-11-11T16:07:03"/>
    <s v="eea94692-e3ef-470d-a986-47d8940e37c5"/>
    <s v="LatLng(lat: 1.0425499, lng: 103.9828578)"/>
    <s v="SP-25-F0000456"/>
    <s v="SULAEMAN"/>
    <s v="BP 6631 GM"/>
    <x v="0"/>
    <s v="11.RIMPUN "/>
    <s v="A"/>
    <n v="1"/>
    <s v="MH8BG41FAFJ143475"/>
    <s v="G428ID142258"/>
    <s v="SUZUKI"/>
    <s v="SATRIA FU"/>
    <s v="HITAM"/>
    <s v="JG"/>
    <s v="GAGAL BAYAR"/>
    <n v="8"/>
    <n v="12"/>
    <x v="8"/>
    <s v="COLL"/>
    <x v="0"/>
    <x v="0"/>
    <m/>
  </r>
  <r>
    <n v="664"/>
    <d v="2025-11-11T16:40:05"/>
    <s v="fced54d3-7c26-48e8-91fe-7d7236e7f959"/>
    <s v="LatLng(lat: 0.9154541, lng: 104.493863)"/>
    <s v="OD-24-F0003171"/>
    <s v="YOGI RIZKY MARCELLIE"/>
    <s v="BP 6544 HG"/>
    <x v="1"/>
    <s v="MARTIN"/>
    <s v=" "/>
    <n v="15"/>
    <s v="MH8DL11AZKJ201152"/>
    <s v="CGA1ID201100"/>
    <s v="SUZUKI"/>
    <s v="SATRIA FU"/>
    <s v="HITAM"/>
    <s v="JG"/>
    <s v="GAGAL BAYAR"/>
    <n v="2"/>
    <n v="24"/>
    <x v="10"/>
    <s v="COLL"/>
    <x v="1"/>
    <x v="0"/>
    <m/>
  </r>
  <r>
    <n v="665"/>
    <d v="2025-11-11T16:49:03"/>
    <s v="6f0ee670-8a9a-45ff-8c00-ca014f6aabeb"/>
    <s v="LatLng(lat: 1.1420345, lng: 104.0500283)"/>
    <s v="OD-25-F0000820"/>
    <s v="YOSEF VERILIUS LOLI"/>
    <s v="BP 4100 HE"/>
    <x v="15"/>
    <s v="MARTIN"/>
    <s v=" "/>
    <n v="24"/>
    <s v="MH3SG6410PJ289477"/>
    <s v="G3P4E0209446"/>
    <s v="YAMAHA"/>
    <s v="AEROX"/>
    <s v="MERAH"/>
    <s v="JG"/>
    <s v="GAGAL BAYAR"/>
    <n v="6"/>
    <n v="12"/>
    <x v="18"/>
    <s v="COLL"/>
    <x v="6"/>
    <x v="0"/>
    <m/>
  </r>
  <r>
    <n v="666"/>
    <d v="2025-11-11T17:01:14"/>
    <s v="702dc462-24c0-4894-b1c2-8bb9fe7a2806"/>
    <s v="LatLng(lat: 1.1057403, lng: 104.0395045)"/>
    <s v="SP-25-F0001882"/>
    <s v="RADEN MUHAMAD YOLANDA CIKAL KUSUMA"/>
    <s v="BP 2818 OD"/>
    <x v="0"/>
    <s v="05.BOSPA"/>
    <s v="A"/>
    <n v="1"/>
    <s v="MH1JM8112MK793210"/>
    <s v="JM81E1795071"/>
    <s v="HONDA"/>
    <s v="BEAT"/>
    <s v="HITAM"/>
    <s v="JG"/>
    <s v="DONE"/>
    <n v="3"/>
    <n v="24"/>
    <x v="36"/>
    <s v="COLL"/>
    <x v="0"/>
    <x v="0"/>
    <m/>
  </r>
  <r>
    <n v="667"/>
    <d v="2025-11-11T17:16:38"/>
    <s v="1770dac3-81ca-4fab-8a6a-e60c63470def"/>
    <s v="LatLng(lat: 1.0641976, lng: 104.0178427)"/>
    <s v="OD-25-F0001372"/>
    <s v="ZAINURI MADANG"/>
    <s v="BP 2687 CF"/>
    <x v="0"/>
    <s v="12.JUBRAIDER S"/>
    <s v="A"/>
    <n v="15"/>
    <s v="MH1JFP119FK228380"/>
    <s v="JFP1E1224351"/>
    <s v="HONDA"/>
    <s v="BEAT"/>
    <s v="HITAM"/>
    <s v="JG"/>
    <s v="BELUM JTO"/>
    <n v="4"/>
    <n v="18"/>
    <x v="21"/>
    <s v="COLL"/>
    <x v="0"/>
    <x v="0"/>
    <m/>
  </r>
  <r>
    <n v="668"/>
    <d v="2025-11-11T17:17:02"/>
    <s v="e4173dd7-6d58-43a6-8f0e-8ad94c7a888a"/>
    <s v="LatLng(lat: 1.0627705, lng: 104.015695)"/>
    <s v="SP-25-F0001923"/>
    <s v="WIWIK PURWANTI"/>
    <s v="BP 2039 UI"/>
    <x v="0"/>
    <s v="07.RINTO"/>
    <s v="A"/>
    <n v="4"/>
    <s v="MH1JM9115MK790081"/>
    <s v="JM91E1789664"/>
    <s v="HONDA"/>
    <s v="BEAT"/>
    <s v="HITAM"/>
    <s v="JG"/>
    <s v="DONE"/>
    <n v="3"/>
    <n v="12"/>
    <x v="29"/>
    <s v="COLL"/>
    <x v="0"/>
    <x v="0"/>
    <m/>
  </r>
  <r>
    <n v="669"/>
    <d v="2025-11-11T17:21:30"/>
    <s v="6f0ee670-8a9a-45ff-8c00-ca014f6aabeb"/>
    <s v="LatLng(lat: 1.040512, lng: 103.9921327)"/>
    <s v="OD-25-F0001372"/>
    <s v="ZAINURI MADANG"/>
    <s v="BP 2687 CF"/>
    <x v="0"/>
    <s v="12.JUBRAIDER S"/>
    <s v="A"/>
    <n v="15"/>
    <s v="MH1JFP119FK228380"/>
    <s v="JFP1E1224351"/>
    <s v="HONDA"/>
    <s v="BEAT"/>
    <s v="HITAM"/>
    <s v="JG"/>
    <s v="BELUM JTO"/>
    <n v="4"/>
    <n v="18"/>
    <x v="18"/>
    <s v="COLL"/>
    <x v="0"/>
    <x v="0"/>
    <m/>
  </r>
  <r>
    <n v="670"/>
    <d v="2025-11-11T17:21:46"/>
    <s v="a4f24bfd-45be-407a-a9ce-5da8e226108b"/>
    <s v="LatLng(lat: 0.9121894, lng: 104.4632549)"/>
    <s v="TP-24-F0000233"/>
    <s v="M. BATUA SAKTI"/>
    <s v="BP 3958 OT"/>
    <x v="0"/>
    <s v="01.SYAMSURI"/>
    <s v="A"/>
    <n v="25"/>
    <s v="MH1KF1113GK664354"/>
    <s v="KF11E1663436"/>
    <s v="HONDA"/>
    <s v="VARIO TECHNO"/>
    <s v="HITAM"/>
    <s v="JG"/>
    <s v="BELUM JTO"/>
    <n v="18"/>
    <n v="36"/>
    <x v="2"/>
    <s v="COLL"/>
    <x v="1"/>
    <x v="0"/>
    <m/>
  </r>
  <r>
    <n v="671"/>
    <d v="2025-11-11T17:22:00"/>
    <s v="fced54d3-7c26-48e8-91fe-7d7236e7f959"/>
    <s v="LatLng(lat: 0.9121628, lng: 104.4632639)"/>
    <s v="TP-24-F0000233"/>
    <s v="M. BATUA SAKTI"/>
    <s v="BP 3958 OT"/>
    <x v="0"/>
    <s v="01.SYAMSURI"/>
    <s v="A"/>
    <n v="25"/>
    <s v="MH1KF1113GK664354"/>
    <s v="KF11E1663436"/>
    <s v="HONDA"/>
    <s v="VARIO TECHNO"/>
    <s v="HITAM"/>
    <s v="JG"/>
    <s v="BELUM JTO"/>
    <n v="18"/>
    <n v="36"/>
    <x v="10"/>
    <s v="COLL"/>
    <x v="1"/>
    <x v="0"/>
    <m/>
  </r>
  <r>
    <n v="672"/>
    <d v="2025-11-11T17:23:55"/>
    <s v="6d21de4b-42fc-49f2-86f3-40a2a9759695"/>
    <s v="LatLng(lat: 0.9174596, lng: 104.4931166)"/>
    <s v="SK-KD-24-00228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673"/>
    <d v="2025-11-11T17:27:44"/>
    <s v="1770dac3-81ca-4fab-8a6a-e60c63470def"/>
    <s v="LatLng(lat: 1.0410134, lng: 103.9573854)"/>
    <s v="SP-25-F0002716"/>
    <s v="JUWITA PUTRI MANURUNG"/>
    <s v="BP 3104 QQ"/>
    <x v="6"/>
    <s v="C"/>
    <s v=" "/>
    <n v="1"/>
    <s v="MH1JM211XHK183865"/>
    <s v="JM21E1181325"/>
    <s v="HONDA"/>
    <s v="BEAT"/>
    <s v="MERAH PUTIH"/>
    <s v="JG"/>
    <s v="BELUM JTO"/>
    <n v="1"/>
    <n v="6"/>
    <x v="21"/>
    <s v="COLL"/>
    <x v="0"/>
    <x v="0"/>
    <m/>
  </r>
  <r>
    <n v="674"/>
    <d v="2025-11-11T17:34:50"/>
    <s v="74bb1709-aa7b-4b41-a082-a2af867fd15e"/>
    <s v="LatLng(lat: 1.0287371, lng: 103.9591081)"/>
    <s v="OD-25-F0001214"/>
    <s v="TI TI"/>
    <s v="BP 5253 UO"/>
    <x v="0"/>
    <s v="14.CALL CENTER"/>
    <s v="A"/>
    <n v="9"/>
    <s v="MH1KCB112RK056584"/>
    <s v="KCB1E1056631"/>
    <s v="HONDA"/>
    <s v="CBR 150"/>
    <s v="MERAH PUTIH"/>
    <s v="JG"/>
    <s v="DONE"/>
    <n v="5"/>
    <n v="24"/>
    <x v="7"/>
    <s v="COLL"/>
    <x v="0"/>
    <x v="0"/>
    <m/>
  </r>
  <r>
    <n v="675"/>
    <d v="2025-11-11T17:37:51"/>
    <s v="e0d931cf-6e64-4a91-a81a-04cf02d33a39"/>
    <s v="LatLng(lat: 1.0232, lng: 103.9616583)"/>
    <s v="SP-24-F0002743"/>
    <s v="CHRESTINA JUNI PRASETYA AGUSTIN"/>
    <s v="BP 3066 UO"/>
    <x v="0"/>
    <s v="12.JUBRAIDER S"/>
    <s v="A"/>
    <n v="21"/>
    <s v="MH1JM0116MK254896"/>
    <s v="JM01E1252844"/>
    <s v="HONDA"/>
    <s v="SCOOPY NON KEYLESS"/>
    <s v="HITAM"/>
    <s v="JG"/>
    <s v="BELUM JTO"/>
    <n v="11"/>
    <n v="12"/>
    <x v="13"/>
    <s v="COLL"/>
    <x v="0"/>
    <x v="0"/>
    <m/>
  </r>
  <r>
    <n v="676"/>
    <d v="2025-11-11T17:48:39"/>
    <s v="e0d931cf-6e64-4a91-a81a-04cf02d33a39"/>
    <s v="LatLng(lat: 1.0480333, lng: 103.96049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DONE"/>
    <n v="2"/>
    <n v="18"/>
    <x v="13"/>
    <s v="COLL"/>
    <x v="0"/>
    <x v="0"/>
    <m/>
  </r>
  <r>
    <n v="677"/>
    <d v="2025-11-11T18:39:29"/>
    <s v="fced54d3-7c26-48e8-91fe-7d7236e7f959"/>
    <s v="LatLng(lat: 0.922604, lng: 104.4594121)"/>
    <s v="SP-24-F0002000"/>
    <s v="RAFAEL LAGA"/>
    <s v="BP 3199 RH"/>
    <x v="1"/>
    <s v="PAUL"/>
    <s v=" "/>
    <n v="21"/>
    <s v="MH1JM8115NK880231"/>
    <s v="JM81E1883209"/>
    <s v="HONDA"/>
    <s v="BEAT"/>
    <s v="HITAM"/>
    <s v="JG"/>
    <s v="GAGAL BAYAR"/>
    <n v="4"/>
    <n v="18"/>
    <x v="10"/>
    <s v="COLL"/>
    <x v="1"/>
    <x v="0"/>
    <m/>
  </r>
  <r>
    <n v="678"/>
    <d v="2025-11-11T19:52:04"/>
    <s v="e0d931cf-6e64-4a91-a81a-04cf02d33a39"/>
    <s v="LatLng(lat: 1.0475547, lng: 103.9645705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3"/>
    <s v="COLL"/>
    <x v="0"/>
    <x v="0"/>
    <m/>
  </r>
  <r>
    <n v="679"/>
    <d v="2025-11-12T08:48:00"/>
    <s v="97b899c7-a738-4c0c-a57d-47d1be720bd2"/>
    <s v="LatLng(lat: 1.1563573, lng: 104.0400902)"/>
    <s v="SP-25-F0002233"/>
    <s v="KUKUH RIYADI"/>
    <s v="BP 2263 AP"/>
    <x v="0"/>
    <s v="04.RIZKI A"/>
    <s v=" "/>
    <n v="15"/>
    <s v="MH1JM0316PK219678"/>
    <s v="JM03E1219732"/>
    <s v="HONDA"/>
    <s v="SCOOPY"/>
    <s v="BIRU PUTIH"/>
    <s v="JG"/>
    <s v="BELUM JTO"/>
    <n v="2"/>
    <n v="24"/>
    <x v="5"/>
    <s v="COLL"/>
    <x v="0"/>
    <x v="0"/>
    <m/>
  </r>
  <r>
    <n v="680"/>
    <d v="2025-11-12T09:20:04"/>
    <s v="5d155998-3b32-426c-9f80-9898af00922a"/>
    <s v="LatLng(lat: 1.0498692, lng: 103.9686358)"/>
    <s v="OD-24-F0001877"/>
    <s v="RIDWAN"/>
    <s v="BP 4913 RG"/>
    <x v="0"/>
    <s v="05.BOSPA"/>
    <s v="A"/>
    <n v="10"/>
    <s v="MH31PA002DK112748"/>
    <s v="1PA112222"/>
    <s v="YAMAHA"/>
    <s v="VIXION"/>
    <s v="TITANIUM GOLD"/>
    <s v="JG"/>
    <s v="BELUM JTO"/>
    <n v="16"/>
    <n v="24"/>
    <x v="4"/>
    <s v="COLL"/>
    <x v="0"/>
    <x v="0"/>
    <m/>
  </r>
  <r>
    <n v="681"/>
    <d v="2025-11-12T09:42:45"/>
    <s v="66338f6f-6199-47e8-8fc9-c871a18b6d2c"/>
    <s v="LatLng(lat: 1.0433613, lng: 103.9794899)"/>
    <s v="SP-25-F0001221"/>
    <s v="HANDIKA ABDULLAH"/>
    <s v="BP 3077 FU"/>
    <x v="0"/>
    <s v="12.JUBRAIDER S"/>
    <s v="A"/>
    <n v="1"/>
    <s v="MH1JFZ130KK590413"/>
    <s v="JFZ1E3590223"/>
    <s v="HONDA"/>
    <s v="BEAT FI"/>
    <s v="PUTIH"/>
    <s v="JG"/>
    <s v="GAGAL BAYAR"/>
    <n v="5"/>
    <n v="12"/>
    <x v="30"/>
    <s v="COLL"/>
    <x v="0"/>
    <x v="0"/>
    <m/>
  </r>
  <r>
    <n v="682"/>
    <d v="2025-11-12T10:16:33"/>
    <s v="2d9d422f-1d0e-4451-8950-dc9e388e3850"/>
    <s v="LatLng(lat: 1.057176, lng: 103.945959)"/>
    <s v="OD-24-F0003159"/>
    <s v="WICKY MEVLI JAPADRI"/>
    <s v="BP 5778 CD"/>
    <x v="4"/>
    <s v="EVENDI"/>
    <s v=" "/>
    <n v="14"/>
    <s v="MH1KF4115KK651003"/>
    <s v="KF41E1651689"/>
    <s v="HONDA"/>
    <s v="VARIO"/>
    <s v="BIRU"/>
    <s v="JG"/>
    <s v="GAGAL BAYAR"/>
    <n v="11"/>
    <n v="24"/>
    <x v="33"/>
    <s v="COLL"/>
    <x v="1"/>
    <x v="0"/>
    <m/>
  </r>
  <r>
    <n v="683"/>
    <d v="2025-11-12T10:36:05"/>
    <s v="66338f6f-6199-47e8-8fc9-c871a18b6d2c"/>
    <s v="LatLng(lat: 1.0434054, lng: 103.9794504)"/>
    <s v="OD-25-F0000508"/>
    <s v="MUTOHAROH"/>
    <s v="BP 2802 RP"/>
    <x v="0"/>
    <s v="07.RINTO"/>
    <s v="A"/>
    <n v="1"/>
    <s v="MH1JM0415PK418798"/>
    <s v="JM04E1418638"/>
    <s v="HONDA"/>
    <s v="SCOOPY"/>
    <s v="HIJAU"/>
    <s v="JG"/>
    <s v="GAGAL BAYAR"/>
    <n v="8"/>
    <n v="18"/>
    <x v="30"/>
    <s v="COLL"/>
    <x v="0"/>
    <x v="0"/>
    <m/>
  </r>
  <r>
    <n v="684"/>
    <d v="2025-11-12T10:38:14"/>
    <s v="b5e5eb90-c13c-42f2-8aa6-fb5964b939de"/>
    <s v="LatLng(lat: 1.0377918, lng: 103.9859459)"/>
    <s v="OD-25-F0001477"/>
    <s v="PARTOGI SILALAHI"/>
    <s v="BP 2127 QA"/>
    <x v="0"/>
    <s v="10.MIDUK"/>
    <s v="A"/>
    <n v="6"/>
    <s v="MH1KC8214GK012357"/>
    <s v="KC82E1011278"/>
    <s v="HONDA"/>
    <s v="CB 150 LED"/>
    <s v="HITAM-MERAH"/>
    <s v="JG"/>
    <s v="BELUM JTO"/>
    <n v="3"/>
    <n v="18"/>
    <x v="25"/>
    <s v="COLL"/>
    <x v="0"/>
    <x v="0"/>
    <m/>
  </r>
  <r>
    <n v="685"/>
    <d v="2025-11-12T10:43:16"/>
    <s v="74bb1709-aa7b-4b41-a082-a2af867fd15e"/>
    <s v="LatLng(lat: 1.0538055, lng: 103.9724155)"/>
    <s v="OD-25-F0000615"/>
    <s v="HERMAN"/>
    <s v="BP 4394 QE"/>
    <x v="0"/>
    <s v="11.RIMPUN "/>
    <s v="A"/>
    <n v="1"/>
    <s v="MH3SG3120HK263987"/>
    <s v="G3E4E0375725"/>
    <s v="YAMAHA"/>
    <s v="NMAX"/>
    <s v="MERAH"/>
    <s v="JG"/>
    <s v="DONE"/>
    <n v="8"/>
    <n v="24"/>
    <x v="7"/>
    <s v="COLL"/>
    <x v="0"/>
    <x v="0"/>
    <m/>
  </r>
  <r>
    <n v="686"/>
    <d v="2025-11-12T10:44:58"/>
    <s v="86afd147-8c0b-48e4-aaf8-44ad72c52985"/>
    <s v="LatLng(lat: 1.0352961, lng: 103.9845068)"/>
    <s v="SP-25-F0000996"/>
    <s v="SUYANA"/>
    <s v="BP 2713 CA"/>
    <x v="0"/>
    <s v="14.CALL CENTER"/>
    <s v="A"/>
    <n v="5"/>
    <s v="MH1JM0117NK670540"/>
    <s v="JM01E1671776"/>
    <s v="HONDA"/>
    <s v="SCOOPY KEYLESS"/>
    <s v="HITAM-ORANGE"/>
    <s v="JG"/>
    <s v="DONE"/>
    <n v="6"/>
    <n v="12"/>
    <x v="15"/>
    <s v="COLL"/>
    <x v="0"/>
    <x v="0"/>
    <m/>
  </r>
  <r>
    <n v="687"/>
    <d v="2025-11-12T10:46:12"/>
    <s v="6d21de4b-42fc-49f2-86f3-40a2a9759695"/>
    <s v="LatLng(lat: 0.9267528, lng: 104.4407672)"/>
    <s v="BT-KD-24-00156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688"/>
    <d v="2025-11-12T10:48:38"/>
    <s v="74bb1709-aa7b-4b41-a082-a2af867fd15e"/>
    <s v="LatLng(lat: 1.0550932, lng: 103.9720505)"/>
    <s v="SP-25-F0000904"/>
    <s v="PARLINDUNGAN NST"/>
    <s v="BP 4029 RC"/>
    <x v="0"/>
    <s v="10.MIDUK"/>
    <s v="A"/>
    <n v="1"/>
    <s v="MH1JM3139KK059763"/>
    <s v="JM31E3052221"/>
    <s v="HONDA"/>
    <s v="SCOOPY"/>
    <s v="PUTIH HITAM"/>
    <s v="JG"/>
    <s v="GAGAL BAYAR"/>
    <n v="6"/>
    <n v="18"/>
    <x v="7"/>
    <s v="COLL"/>
    <x v="0"/>
    <x v="0"/>
    <m/>
  </r>
  <r>
    <n v="689"/>
    <d v="2025-11-12T10:49:25"/>
    <s v="551fa799-4956-44f4-9122-ea915d0399f1"/>
    <s v="LatLng(lat: 1.0478209, lng: 103.9729148)"/>
    <s v="SP-25-F0000784"/>
    <s v="TARWI FIRDAUS"/>
    <s v="BP 6495 FH"/>
    <x v="0"/>
    <s v="14.CALL CENTER"/>
    <s v="A"/>
    <n v="9"/>
    <s v="MH4KR150LCKP58745"/>
    <s v="KR150LEP88331"/>
    <s v="KAWASAKI"/>
    <s v="NINJA RR"/>
    <s v="ORANGE"/>
    <s v="JG"/>
    <s v="BELUM JTO"/>
    <n v="7"/>
    <n v="12"/>
    <x v="12"/>
    <s v="COLL"/>
    <x v="0"/>
    <x v="0"/>
    <m/>
  </r>
  <r>
    <n v="690"/>
    <d v="2025-11-12T10:51:26"/>
    <s v="f0b79403-18b0-47dd-bacc-d76d9d60a28e"/>
    <s v="LatLng(lat: 1.0410479, lng: 103.9831132)"/>
    <s v="SP-25-F0001157"/>
    <s v="EKO PRASTIO"/>
    <s v="BP 3155 RD"/>
    <x v="0"/>
    <s v="12.JUBRAIDER S"/>
    <s v="A"/>
    <n v="21"/>
    <s v="MH1JM021XMK536182"/>
    <s v="JM02E1536367"/>
    <s v="HONDA"/>
    <s v="SCOOPY"/>
    <s v="PUTIH"/>
    <s v="JG"/>
    <s v="BELUM JTO"/>
    <n v="6"/>
    <n v="18"/>
    <x v="24"/>
    <s v="COLL"/>
    <x v="0"/>
    <x v="0"/>
    <m/>
  </r>
  <r>
    <n v="691"/>
    <d v="2025-11-12T10:52:13"/>
    <s v="688868a7-408e-44ae-b238-348dfc1995b0"/>
    <s v="LatLng(lat: 1.0433514, lng: 103.9871119)"/>
    <s v="SP-25-F0002420"/>
    <s v="M.SOBRI"/>
    <s v="BP 3699 IR"/>
    <x v="6"/>
    <s v="C"/>
    <s v=" "/>
    <n v="1"/>
    <s v="MH1KC8217HK163839"/>
    <s v="KC82E1160864"/>
    <s v="HONDA"/>
    <s v="CB 150"/>
    <s v="MERAH"/>
    <s v="JG"/>
    <s v="BELUM JTO"/>
    <n v="3"/>
    <n v="6"/>
    <x v="14"/>
    <s v="COLL"/>
    <x v="0"/>
    <x v="0"/>
    <m/>
  </r>
  <r>
    <n v="692"/>
    <d v="2025-11-12T10:52:14"/>
    <s v="987e43b5-2fed-4ba1-8992-1b4d84e413ab"/>
    <s v="LatLng(lat: 1.0433201, lng: 103.986836)"/>
    <s v="SP-25-F0002420"/>
    <s v="M.SOBRI"/>
    <s v="BP 3699 IR"/>
    <x v="6"/>
    <s v="C"/>
    <s v=" "/>
    <n v="1"/>
    <s v="MH1KC8217HK163839"/>
    <s v="KC82E1160864"/>
    <s v="HONDA"/>
    <s v="CB 150"/>
    <s v="MERAH"/>
    <s v="JG"/>
    <s v="BELUM JTO"/>
    <n v="3"/>
    <n v="6"/>
    <x v="20"/>
    <s v="COLL"/>
    <x v="0"/>
    <x v="0"/>
    <m/>
  </r>
  <r>
    <n v="693"/>
    <d v="2025-11-12T10:52:29"/>
    <s v="551fa799-4956-44f4-9122-ea915d0399f1"/>
    <s v="LatLng(lat: 1.0463977, lng: 103.9712484)"/>
    <s v="SP-25-F0001358"/>
    <s v="JANUARTRI DERMAWAN SYAH"/>
    <s v="BP 3852 GU"/>
    <x v="0"/>
    <s v="14.CALL CENTER"/>
    <s v="A"/>
    <n v="13"/>
    <s v="MH1KD1115LK118476"/>
    <s v="KD11E1117482"/>
    <s v="HONDA"/>
    <s v="CRF 150"/>
    <s v="MERAH PUTIH"/>
    <s v="JG"/>
    <s v="BELUM JTO"/>
    <n v="5"/>
    <n v="12"/>
    <x v="12"/>
    <s v="COLL"/>
    <x v="0"/>
    <x v="0"/>
    <m/>
  </r>
  <r>
    <n v="694"/>
    <d v="2025-11-12T10:53:45"/>
    <s v="86c5db36-c6d1-4806-9a2e-31a2483c0bb3"/>
    <s v="LatLng(lat: 1.0480483, lng: 103.9662383)"/>
    <s v="OD-25-F0001525"/>
    <s v="RAJA MISTRIANA"/>
    <s v="BP 3754 RH"/>
    <x v="0"/>
    <s v="13.WILFRIN"/>
    <s v="A"/>
    <n v="16"/>
    <s v="MH1KFA113NK003680"/>
    <s v="KFA1E1003793"/>
    <s v="HONDA"/>
    <s v="VARIO 160"/>
    <s v="PUTIH"/>
    <s v="JG"/>
    <s v="BELUM JTO"/>
    <n v="3"/>
    <n v="18"/>
    <x v="46"/>
    <s v="COLL"/>
    <x v="0"/>
    <x v="0"/>
    <m/>
  </r>
  <r>
    <n v="695"/>
    <d v="2025-11-12T10:54:13"/>
    <s v="551fa799-4956-44f4-9122-ea915d0399f1"/>
    <s v="LatLng(lat: 1.0482184, lng: 103.9711122)"/>
    <s v="SP-25-F0000681"/>
    <s v="ARMAN SUSANTO"/>
    <s v="BP 4650 AO"/>
    <x v="0"/>
    <s v="11.RIMPUN "/>
    <s v="A"/>
    <n v="1"/>
    <s v="MH3RG4760NK046865"/>
    <s v="G3S7E0037857"/>
    <s v="YAMAHA"/>
    <s v="XSR"/>
    <s v="PERAK"/>
    <s v="JG"/>
    <s v="DONE"/>
    <n v="7"/>
    <n v="24"/>
    <x v="12"/>
    <s v="COLL"/>
    <x v="0"/>
    <x v="0"/>
    <m/>
  </r>
  <r>
    <n v="696"/>
    <d v="2025-11-12T10:57:08"/>
    <s v="551fa799-4956-44f4-9122-ea915d0399f1"/>
    <s v="LatLng(lat: 1.0496258, lng: 103.9745732)"/>
    <s v="OD-24-F0002632"/>
    <s v="WAWAN"/>
    <s v="BP 3778 HM"/>
    <x v="0"/>
    <s v="10.MIDUK"/>
    <s v="A"/>
    <n v="13"/>
    <s v="MH1JFZ129JK19948"/>
    <s v="JFZ1E2721568"/>
    <s v="HONDA"/>
    <s v="BEAT"/>
    <s v="HITAM"/>
    <s v="JG"/>
    <s v="BELUM JTO"/>
    <n v="14"/>
    <n v="24"/>
    <x v="12"/>
    <s v="COLL"/>
    <x v="0"/>
    <x v="0"/>
    <m/>
  </r>
  <r>
    <n v="697"/>
    <d v="2025-11-12T10:57:51"/>
    <s v="86c5db36-c6d1-4806-9a2e-31a2483c0bb3"/>
    <s v="LatLng(lat: 1.0480483, lng: 103.9662383)"/>
    <s v="SP-25-F0001707"/>
    <s v="ERINA YULDRI YANI SIMANJORANG"/>
    <s v="BP 2517 CU"/>
    <x v="0"/>
    <s v="14.CALL CENTER"/>
    <s v="A"/>
    <n v="15"/>
    <s v="MH1JM3130LK666300"/>
    <s v="JM31E3663275"/>
    <s v="HONDA"/>
    <s v="SCOOPY NON KEYLESS"/>
    <s v="COKLAT HITAM"/>
    <s v="JG"/>
    <s v="BELUM JTO"/>
    <n v="4"/>
    <n v="6"/>
    <x v="46"/>
    <s v="COLL"/>
    <x v="0"/>
    <x v="0"/>
    <m/>
  </r>
  <r>
    <n v="698"/>
    <d v="2025-11-12T11:00:08"/>
    <s v="6f0ee670-8a9a-45ff-8c00-ca014f6aabeb"/>
    <s v="LatLng(lat: 1.0402246, lng: 103.9828996)"/>
    <s v="SP-25-F0001157"/>
    <s v="EKO PRASTIO"/>
    <s v="BP 3155 RD"/>
    <x v="0"/>
    <s v="12.JUBRAIDER S"/>
    <s v="A"/>
    <n v="21"/>
    <s v="MH1JM021XMK536182"/>
    <s v="JM02E1536367"/>
    <s v="HONDA"/>
    <s v="SCOOPY"/>
    <s v="PUTIH"/>
    <s v="JG"/>
    <s v="BELUM JTO"/>
    <n v="6"/>
    <n v="18"/>
    <x v="18"/>
    <s v="COLL"/>
    <x v="0"/>
    <x v="0"/>
    <m/>
  </r>
  <r>
    <n v="699"/>
    <d v="2025-11-12T11:01:25"/>
    <s v="688868a7-408e-44ae-b238-348dfc1995b0"/>
    <s v="LatLng(lat: 1.0442339, lng: 103.986819)"/>
    <s v="SP-25-F0002487"/>
    <s v="PITTO DOLI SIJABAT"/>
    <s v="BP 3474 SQ"/>
    <x v="0"/>
    <s v="14.CALL CENTER"/>
    <s v=" "/>
    <n v="6"/>
    <s v="MH1JM8124PK635335"/>
    <s v="JM81E2635650"/>
    <s v="HONDA"/>
    <s v="BEAT DIGITAL"/>
    <s v="SILVER HITAM"/>
    <s v="JG"/>
    <s v="BELUM JTO"/>
    <n v="1"/>
    <n v="18"/>
    <x v="14"/>
    <s v="COLL"/>
    <x v="0"/>
    <x v="0"/>
    <m/>
  </r>
  <r>
    <n v="700"/>
    <d v="2025-11-12T11:01:31"/>
    <s v="987e43b5-2fed-4ba1-8992-1b4d84e413ab"/>
    <s v="LatLng(lat: 1.0445234, lng: 103.9870301)"/>
    <s v="SP-25-F0002487"/>
    <s v="PITTO DOLI SIJABAT"/>
    <s v="BP 3474 SQ"/>
    <x v="0"/>
    <s v="14.CALL CENTER"/>
    <s v=" "/>
    <n v="6"/>
    <s v="MH1JM8124PK635335"/>
    <s v="JM81E2635650"/>
    <s v="HONDA"/>
    <s v="BEAT DIGITAL"/>
    <s v="SILVER HITAM"/>
    <s v="JG"/>
    <s v="BELUM JTO"/>
    <n v="1"/>
    <n v="18"/>
    <x v="20"/>
    <s v="COLL"/>
    <x v="0"/>
    <x v="0"/>
    <m/>
  </r>
  <r>
    <n v="701"/>
    <d v="2025-11-12T11:04:35"/>
    <s v="551fa799-4956-44f4-9122-ea915d0399f1"/>
    <s v="LatLng(lat: 1.0538646, lng: 103.9755123)"/>
    <s v="SP-25-F0001481"/>
    <s v="ADIMAS JAYATAMA"/>
    <s v="BP 3723 CR"/>
    <x v="0"/>
    <s v="11.RIMPUN "/>
    <s v="A"/>
    <n v="25"/>
    <s v="MH1JM0211NK867475"/>
    <s v="JM02E1867136"/>
    <s v="HONDA"/>
    <s v="SCOOPY KEYLESS"/>
    <s v="HITAM"/>
    <s v="JG"/>
    <s v="BELUM JTO"/>
    <n v="5"/>
    <n v="12"/>
    <x v="12"/>
    <s v="COLL"/>
    <x v="0"/>
    <x v="0"/>
    <m/>
  </r>
  <r>
    <n v="702"/>
    <d v="2025-11-12T11:18:07"/>
    <s v="987e43b5-2fed-4ba1-8992-1b4d84e413ab"/>
    <s v="LatLng(lat: 1.0445656, lng: 103.9878141)"/>
    <s v="SP-25-F0001778"/>
    <s v="MELANITA SIMANJUNTAK"/>
    <s v="BP 3547 RF"/>
    <x v="0"/>
    <s v="13.WILFRIN"/>
    <s v="A"/>
    <n v="22"/>
    <s v="MH1KF6113MK044418"/>
    <s v="KF61E1044316"/>
    <s v="HONDA"/>
    <s v="ADV"/>
    <s v="HITAM"/>
    <s v="JG"/>
    <s v="BELUM JTO"/>
    <n v="4"/>
    <n v="12"/>
    <x v="20"/>
    <s v="COLL"/>
    <x v="0"/>
    <x v="0"/>
    <m/>
  </r>
  <r>
    <n v="703"/>
    <d v="2025-11-12T11:46:03"/>
    <s v="1770dac3-81ca-4fab-8a6a-e60c63470def"/>
    <s v="LatLng(lat: 1.0470508, lng: 103.9574074)"/>
    <s v="SP-24-F0001913"/>
    <s v="MENERIMA SAOTA"/>
    <s v="BP 2405 SQ"/>
    <x v="1"/>
    <s v="PAUL"/>
    <s v=" "/>
    <n v="11"/>
    <s v="MH1JM8129PK680562"/>
    <s v="JM81E2680905"/>
    <s v="HONDA"/>
    <s v="BEAT"/>
    <s v="SILVER HITAM"/>
    <s v="JG"/>
    <s v="GAGAL BAYAR"/>
    <n v="6"/>
    <n v="24"/>
    <x v="21"/>
    <s v="COLL"/>
    <x v="6"/>
    <x v="0"/>
    <m/>
  </r>
  <r>
    <n v="704"/>
    <d v="2025-11-12T11:48:21"/>
    <s v="1770dac3-81ca-4fab-8a6a-e60c63470def"/>
    <s v="LatLng(lat: 1.0473639, lng: 103.9565934)"/>
    <s v="SP-25-F0002438"/>
    <s v="BENI ANDIKA"/>
    <s v="BP 6724 CU"/>
    <x v="0"/>
    <s v="05.BOSPA"/>
    <s v=" "/>
    <n v="1"/>
    <s v="MH1JMB110RK124793"/>
    <s v="JMB1E1124543"/>
    <s v="HONDA"/>
    <s v="GENIO"/>
    <s v="HITAM"/>
    <s v="JG"/>
    <s v="GAGAL BAYAR"/>
    <n v="1"/>
    <n v="18"/>
    <x v="21"/>
    <s v="COLL"/>
    <x v="0"/>
    <x v="0"/>
    <m/>
  </r>
  <r>
    <n v="705"/>
    <d v="2025-11-12T12:11:04"/>
    <s v="1770dac3-81ca-4fab-8a6a-e60c63470def"/>
    <s v="LatLng(lat: 1.0473543, lng: 103.9565875)"/>
    <s v="SP-24-F0000646"/>
    <s v="DEWI SARTIKA TAMBA"/>
    <s v="BP 2848 UM"/>
    <x v="1"/>
    <s v="PAUL"/>
    <s v=" "/>
    <n v="1"/>
    <s v="MH1JM911XLK370704"/>
    <s v="JM91E1370258"/>
    <s v="HONDA"/>
    <s v="BEAT DIGITAL"/>
    <s v="HITAM"/>
    <s v="JG"/>
    <s v="GAGAL BAYAR"/>
    <n v="11"/>
    <n v="12"/>
    <x v="21"/>
    <s v="COLL"/>
    <x v="8"/>
    <x v="0"/>
    <m/>
  </r>
  <r>
    <n v="706"/>
    <d v="2025-11-12T12:27:24"/>
    <s v="6f0ee670-8a9a-45ff-8c00-ca014f6aabeb"/>
    <s v="LatLng(lat: 1.0471572, lng: 103.9565925)"/>
    <s v="SP-24-F0002000"/>
    <s v="RAFAEL LAGA"/>
    <s v="BP 3199 RH"/>
    <x v="1"/>
    <s v="PAUL"/>
    <s v=" "/>
    <n v="21"/>
    <s v="MH1JM8115NK880231"/>
    <s v="JM81E1883209"/>
    <s v="HONDA"/>
    <s v="BEAT"/>
    <s v="HITAM"/>
    <s v="JG"/>
    <s v="GAGAL BAYAR"/>
    <n v="4"/>
    <n v="18"/>
    <x v="18"/>
    <s v="COLL"/>
    <x v="6"/>
    <x v="0"/>
    <m/>
  </r>
  <r>
    <n v="707"/>
    <d v="2025-11-12T12:37:18"/>
    <s v="e4173dd7-6d58-43a6-8f0e-8ad94c7a888a"/>
    <s v="LatLng(lat: 1.052261, lng: 103.9693144)"/>
    <s v="SP-24-F0001703"/>
    <s v="SITI ROHANI"/>
    <s v="BP 2103 OM"/>
    <x v="0"/>
    <s v="14.CALL CENTER"/>
    <s v="A"/>
    <n v="16"/>
    <s v="MH1KF1112FK392927"/>
    <s v="KF11E1403035"/>
    <s v="HONDA"/>
    <s v="VARIO"/>
    <s v="PUTIH"/>
    <s v="JG"/>
    <s v="BELUM JTO"/>
    <n v="15"/>
    <n v="24"/>
    <x v="29"/>
    <s v="COLL"/>
    <x v="0"/>
    <x v="0"/>
    <m/>
  </r>
  <r>
    <n v="708"/>
    <d v="2025-11-12T12:41:17"/>
    <s v="551fa799-4956-44f4-9122-ea915d0399f1"/>
    <s v="LatLng(lat: 1.0542673, lng: 103.9732674)"/>
    <s v="SP-25-F0002223"/>
    <s v="BOBY ANGGARA"/>
    <s v="BP 3974 HG"/>
    <x v="0"/>
    <s v="10.MIDUK"/>
    <s v=" "/>
    <n v="4"/>
    <s v="MH1JM0318PK226129"/>
    <s v="JM03E1226150"/>
    <s v="HONDA"/>
    <s v="SCOOPY"/>
    <s v="HITAM-MERAH"/>
    <s v="JG"/>
    <s v="GAGAL BAYAR"/>
    <n v="2"/>
    <n v="12"/>
    <x v="12"/>
    <s v="COLL"/>
    <x v="0"/>
    <x v="0"/>
    <m/>
  </r>
  <r>
    <n v="709"/>
    <d v="2025-11-12T12:41:37"/>
    <s v="1770dac3-81ca-4fab-8a6a-e60c63470def"/>
    <s v="LatLng(lat: 1.0456553, lng: 103.964928)"/>
    <s v="SP-25-F0002224"/>
    <s v="SAURIDO MENDROFA"/>
    <s v="BP 3926 UR"/>
    <x v="6"/>
    <s v="C"/>
    <s v=" "/>
    <n v="3"/>
    <s v="MH1JM3137LK524073"/>
    <s v="JM31E3521638"/>
    <s v="HONDA"/>
    <s v="SCOOPY"/>
    <s v="COKLAT HITAM"/>
    <s v="JG"/>
    <s v="BELUM JTO"/>
    <n v="3"/>
    <n v="12"/>
    <x v="21"/>
    <s v="COLL"/>
    <x v="0"/>
    <x v="0"/>
    <m/>
  </r>
  <r>
    <n v="710"/>
    <d v="2025-11-12T12:50:03"/>
    <s v="987e43b5-2fed-4ba1-8992-1b4d84e413ab"/>
    <s v="LatLng(lat: 1.0360336, lng: 103.9975296)"/>
    <s v="SP-25-F0001045"/>
    <s v="RIKI MULYANTO"/>
    <s v="BP 2807 HE"/>
    <x v="0"/>
    <s v="12.JUBRAIDER S"/>
    <s v="A"/>
    <n v="10"/>
    <s v="MH1JFZ129JK353053"/>
    <s v="JFZ1E2348182"/>
    <s v="HONDA"/>
    <s v="BEAT"/>
    <s v="HITAM"/>
    <s v="JG"/>
    <s v="BELUM JTO"/>
    <n v="6"/>
    <n v="18"/>
    <x v="20"/>
    <s v="COLL"/>
    <x v="0"/>
    <x v="0"/>
    <m/>
  </r>
  <r>
    <n v="711"/>
    <d v="2025-11-12T12:50:16"/>
    <s v="551fa799-4956-44f4-9122-ea915d0399f1"/>
    <s v="LatLng(lat: 1.0573634, lng: 103.976925)"/>
    <s v="SP-25-F0002121"/>
    <s v="ALDI RENDI RAMANDA SIMBOLON"/>
    <s v="BP 3771 RO"/>
    <x v="0"/>
    <s v="14.CALL CENTER"/>
    <s v="A"/>
    <n v="22"/>
    <s v="MH1JM8215NK505096"/>
    <s v="JM82E1503114"/>
    <s v="HONDA"/>
    <s v="BEAT STREET"/>
    <s v="HITAM"/>
    <s v="JG"/>
    <s v="BELUM JTO"/>
    <n v="3"/>
    <n v="18"/>
    <x v="12"/>
    <s v="COLL"/>
    <x v="0"/>
    <x v="0"/>
    <m/>
  </r>
  <r>
    <n v="712"/>
    <d v="2025-11-12T12:50:51"/>
    <s v="551fa799-4956-44f4-9122-ea915d0399f1"/>
    <s v="LatLng(lat: 1.057263, lng: 103.9778212)"/>
    <s v="SP-25-F0000069"/>
    <s v="MULYATI"/>
    <s v="BP 2998 HQ"/>
    <x v="0"/>
    <s v="12.JUBRAIDER S"/>
    <s v="A"/>
    <n v="9"/>
    <s v="MH1JFU115HK920315"/>
    <s v="JFU1E1923621"/>
    <s v="HONDA"/>
    <s v="VARIO 125"/>
    <s v="HITAM"/>
    <s v="JG"/>
    <s v="BELUM JTO"/>
    <n v="10"/>
    <n v="12"/>
    <x v="12"/>
    <s v="COLL"/>
    <x v="0"/>
    <x v="0"/>
    <m/>
  </r>
  <r>
    <n v="713"/>
    <d v="2025-11-12T12:59:51"/>
    <s v="f0b79403-18b0-47dd-bacc-d76d9d60a28e"/>
    <s v="LatLng(lat: 1.0527518, lng: 103.9653421)"/>
    <s v="OD-25-F0001511"/>
    <s v="WAHYU ZAMAKBAR"/>
    <s v="BP 3992 OR"/>
    <x v="0"/>
    <s v="06.ROBEN"/>
    <s v="A"/>
    <n v="7"/>
    <s v="MH1JFZ113HK749030"/>
    <s v="JFZ1E1766668"/>
    <s v="HONDA"/>
    <s v="BEAT"/>
    <s v="HITAM"/>
    <s v="JG"/>
    <s v="BELUM JTO"/>
    <n v="3"/>
    <n v="18"/>
    <x v="24"/>
    <s v="COLL"/>
    <x v="0"/>
    <x v="0"/>
    <m/>
  </r>
  <r>
    <n v="714"/>
    <d v="2025-11-12T13:01:06"/>
    <s v="b5022170-5138-4d36-a599-749fef2d3ebb"/>
    <s v="LatLng(lat: 1.1391542, lng: 104.0269549)"/>
    <s v="OD-24-F0002032"/>
    <s v="RATNO STIADI"/>
    <s v="BP 2503 RU"/>
    <x v="0"/>
    <s v="14.CALL CENTER"/>
    <s v="A"/>
    <n v="23"/>
    <s v="MH1JFZ133KK462232"/>
    <s v="JFZ1E3462125"/>
    <s v="HONDA"/>
    <s v="BEAT"/>
    <s v="HITAM"/>
    <s v="JG"/>
    <s v="BELUM JTO"/>
    <n v="16"/>
    <n v="24"/>
    <x v="38"/>
    <s v="COLL"/>
    <x v="0"/>
    <x v="0"/>
    <m/>
  </r>
  <r>
    <n v="715"/>
    <d v="2025-11-12T13:02:49"/>
    <s v="f0b79403-18b0-47dd-bacc-d76d9d60a28e"/>
    <s v="LatLng(lat: 1.0536154, lng: 103.9671554)"/>
    <s v="SP-25-F0002387"/>
    <s v="RAHMAT WIJAYA"/>
    <s v="BP 2171 QJ"/>
    <x v="0"/>
    <s v="14.CALL CENTER"/>
    <s v=" "/>
    <n v="22"/>
    <s v="MH1KF1117GK816149"/>
    <s v="KF11E1814218"/>
    <s v="HONDA"/>
    <s v="VARIO 150 ESP"/>
    <s v="WHITE RED"/>
    <s v="JG"/>
    <s v="BELUM JTO"/>
    <n v="2"/>
    <n v="24"/>
    <x v="24"/>
    <s v="COLL"/>
    <x v="0"/>
    <x v="0"/>
    <m/>
  </r>
  <r>
    <n v="716"/>
    <d v="2025-11-12T13:04:46"/>
    <s v="51f658db-9885-4d52-99bd-8e1bf0356977"/>
    <s v="LatLng(lat: 1.0540206, lng: 103.9676173)"/>
    <s v="OD-24-F0002858"/>
    <s v="HERMAN SAPUTRA"/>
    <s v="BP 3350 UU"/>
    <x v="0"/>
    <s v="10.MIDUK"/>
    <s v=" "/>
    <n v="10"/>
    <s v="MH1JM9129PK711122"/>
    <s v="JM91E2708932"/>
    <s v="HONDA"/>
    <s v="BEAT"/>
    <s v="BIRU"/>
    <s v="JG"/>
    <s v="BELUM JTO"/>
    <n v="13"/>
    <n v="18"/>
    <x v="19"/>
    <s v="COLL"/>
    <x v="0"/>
    <x v="0"/>
    <m/>
  </r>
  <r>
    <n v="717"/>
    <d v="2025-11-12T13:06:19"/>
    <s v="51f658db-9885-4d52-99bd-8e1bf0356977"/>
    <s v="LatLng(lat: 1.0533661, lng: 103.9667305)"/>
    <s v="SP-25-F0002387"/>
    <s v="RAHMAT WIJAYA"/>
    <s v="BP 2171 QJ"/>
    <x v="0"/>
    <s v="14.CALL CENTER"/>
    <s v=" "/>
    <n v="22"/>
    <s v="MH1KF1117GK816149"/>
    <s v="KF11E1814218"/>
    <s v="HONDA"/>
    <s v="VARIO 150 ESP"/>
    <s v="WHITE RED"/>
    <s v="JG"/>
    <s v="BELUM JTO"/>
    <n v="2"/>
    <n v="24"/>
    <x v="19"/>
    <s v="COLL"/>
    <x v="0"/>
    <x v="0"/>
    <m/>
  </r>
  <r>
    <n v="718"/>
    <d v="2025-11-12T13:06:26"/>
    <s v="86afd147-8c0b-48e4-aaf8-44ad72c52985"/>
    <s v="LatLng(lat: 1.0534433, lng: 103.9668557)"/>
    <s v="SP-25-F0002387"/>
    <s v="RAHMAT WIJAYA"/>
    <s v="BP 2171 QJ"/>
    <x v="0"/>
    <s v="14.CALL CENTER"/>
    <s v=" "/>
    <n v="22"/>
    <s v="MH1KF1117GK816149"/>
    <s v="KF11E1814218"/>
    <s v="HONDA"/>
    <s v="VARIO 150 ESP"/>
    <s v="WHITE RED"/>
    <s v="JG"/>
    <s v="BELUM JTO"/>
    <n v="2"/>
    <n v="24"/>
    <x v="15"/>
    <s v="COLL"/>
    <x v="0"/>
    <x v="0"/>
    <m/>
  </r>
  <r>
    <n v="719"/>
    <d v="2025-11-12T13:15:02"/>
    <s v="5d155998-3b32-426c-9f80-9898af00922a"/>
    <s v="LatLng(lat: 1.0486209, lng: 103.9711455)"/>
    <s v="SP-25-F0000681"/>
    <s v="ARMAN SUSANTO"/>
    <s v="BP 4650 AO"/>
    <x v="0"/>
    <s v="11.RIMPUN "/>
    <s v="A"/>
    <n v="1"/>
    <s v="MH3RG4760NK046865"/>
    <s v="G3S7E0037857"/>
    <s v="YAMAHA"/>
    <s v="XSR"/>
    <s v="PERAK"/>
    <s v="JG"/>
    <s v="DONE"/>
    <n v="7"/>
    <n v="24"/>
    <x v="4"/>
    <s v="COLL"/>
    <x v="0"/>
    <x v="0"/>
    <m/>
  </r>
  <r>
    <n v="720"/>
    <d v="2025-11-12T13:15:15"/>
    <s v="f0b79403-18b0-47dd-bacc-d76d9d60a28e"/>
    <s v="LatLng(lat: 1.04713, lng: 103.9638767)"/>
    <s v="OD-25-F0001736"/>
    <s v="TARMIZI"/>
    <s v="BP 2838 RD"/>
    <x v="0"/>
    <s v="14.CALL CENTER"/>
    <s v=" "/>
    <n v="19"/>
    <s v="MH1JM9113MK928524"/>
    <s v="JM91E1928035"/>
    <s v="HONDA"/>
    <s v="BEAT DELUXE"/>
    <s v="COKLAT"/>
    <s v="JG"/>
    <s v="BELUM JTO"/>
    <n v="2"/>
    <n v="24"/>
    <x v="24"/>
    <s v="COLL"/>
    <x v="0"/>
    <x v="0"/>
    <m/>
  </r>
  <r>
    <n v="721"/>
    <d v="2025-11-12T13:15:50"/>
    <s v="1770dac3-81ca-4fab-8a6a-e60c63470def"/>
    <s v="LatLng(lat: 1.0474195, lng: 103.9402752)"/>
    <s v="SP-25-F0002350"/>
    <s v="WENDRI JULIADI"/>
    <s v="BP 5799 CG"/>
    <x v="0"/>
    <s v="14.CALL CENTER"/>
    <s v=" "/>
    <n v="17"/>
    <s v="MH1JM0415PK634229"/>
    <s v="JM04E1634225"/>
    <s v="HONDA"/>
    <s v="SCOOPY KEYLESS"/>
    <s v="PUTIH"/>
    <s v="JG"/>
    <s v="BELUM JTO"/>
    <n v="2"/>
    <n v="18"/>
    <x v="21"/>
    <s v="COLL"/>
    <x v="0"/>
    <x v="0"/>
    <m/>
  </r>
  <r>
    <n v="722"/>
    <d v="2025-11-12T13:18:40"/>
    <s v="f0b79403-18b0-47dd-bacc-d76d9d60a28e"/>
    <s v="LatLng(lat: 1.0468733, lng: 103.9648967)"/>
    <s v="OD-25-F0001525"/>
    <s v="RAJA MISTRIANA"/>
    <s v="BP 3754 RH"/>
    <x v="0"/>
    <s v="13.WILFRIN"/>
    <s v="A"/>
    <n v="16"/>
    <s v="MH1KFA113NK003680"/>
    <s v="KFA1E1003793"/>
    <s v="HONDA"/>
    <s v="VARIO 160"/>
    <s v="PUTIH"/>
    <s v="JG"/>
    <s v="BELUM JTO"/>
    <n v="3"/>
    <n v="18"/>
    <x v="24"/>
    <s v="COLL"/>
    <x v="0"/>
    <x v="0"/>
    <m/>
  </r>
  <r>
    <n v="723"/>
    <d v="2025-11-12T13:23:19"/>
    <s v="1770dac3-81ca-4fab-8a6a-e60c63470def"/>
    <s v="LatLng(lat: 1.0485489, lng: 103.939315)"/>
    <s v="SP-25-F0000550"/>
    <s v="RONALTI YUHANDA"/>
    <s v="BP 2381 FR"/>
    <x v="0"/>
    <s v="12.JUBRAIDER S"/>
    <s v="A"/>
    <n v="8"/>
    <s v="MH1JFZ127HK172849"/>
    <s v="JFZ1E2179012"/>
    <s v="HONDA"/>
    <s v="BEAT FI"/>
    <s v="PUTIH"/>
    <s v="JG"/>
    <s v="BELUM JTO"/>
    <n v="8"/>
    <n v="12"/>
    <x v="21"/>
    <s v="COLL"/>
    <x v="0"/>
    <x v="0"/>
    <m/>
  </r>
  <r>
    <n v="724"/>
    <d v="2025-11-12T13:27:02"/>
    <s v="1770dac3-81ca-4fab-8a6a-e60c63470def"/>
    <s v="LatLng(lat: 1.0492001, lng: 103.9396623)"/>
    <s v="SP-25-F0000181"/>
    <s v="AFRIZAL"/>
    <s v="BP 4168 CI"/>
    <x v="0"/>
    <s v="14.CALL CENTER"/>
    <s v="A"/>
    <n v="22"/>
    <s v="MH1JMB117PK096147"/>
    <s v="JMB1E1096092"/>
    <s v="HONDA"/>
    <s v="GENIO"/>
    <s v="HITAM"/>
    <s v="JG"/>
    <s v="BELUM JTO"/>
    <n v="10"/>
    <n v="30"/>
    <x v="21"/>
    <s v="COLL"/>
    <x v="0"/>
    <x v="0"/>
    <m/>
  </r>
  <r>
    <n v="725"/>
    <d v="2025-11-12T13:29:32"/>
    <s v="97b899c7-a738-4c0c-a57d-47d1be720bd2"/>
    <s v="LatLng(lat: 1.1020691, lng: 104.0340843)"/>
    <s v="OD-25-F0000774"/>
    <s v="MAT HALIL"/>
    <s v="BP 2054 RQ"/>
    <x v="0"/>
    <s v="08.JOSRI"/>
    <s v="A"/>
    <n v="18"/>
    <s v="MH1JMA115NK035810"/>
    <s v="JMA1E1035720"/>
    <s v="HONDA"/>
    <s v="GENIO"/>
    <s v="HITAM-MERAH"/>
    <s v="JG"/>
    <s v="BELUM JTO"/>
    <n v="8"/>
    <n v="24"/>
    <x v="5"/>
    <s v="COLL"/>
    <x v="0"/>
    <x v="0"/>
    <m/>
  </r>
  <r>
    <n v="726"/>
    <d v="2025-11-12T13:32:36"/>
    <s v="1770dac3-81ca-4fab-8a6a-e60c63470def"/>
    <s v="LatLng(lat: 1.0485056, lng: 103.9387248)"/>
    <s v="SP-25-F0000220"/>
    <s v="DWI WIDODO"/>
    <s v="BP 3489 HO"/>
    <x v="0"/>
    <s v="12.JUBRAIDER S"/>
    <s v="A"/>
    <n v="1"/>
    <s v="MH1JM2121JK075746"/>
    <s v="JM21E2054575"/>
    <s v="HONDA"/>
    <s v="BEAT FI"/>
    <s v="MERAH-PUTIH"/>
    <s v="JG"/>
    <s v="GAGAL BAYAR"/>
    <n v="9"/>
    <n v="12"/>
    <x v="21"/>
    <s v="COLL"/>
    <x v="0"/>
    <x v="0"/>
    <m/>
  </r>
  <r>
    <n v="727"/>
    <d v="2025-11-12T13:33:07"/>
    <s v="1770dac3-81ca-4fab-8a6a-e60c63470def"/>
    <s v="LatLng(lat: 1.0488598, lng: 103.9385071)"/>
    <s v="OD-25-F0001320"/>
    <s v="TEGUH RIANTO"/>
    <s v="BP 6548 HE"/>
    <x v="0"/>
    <s v="09.OLOAN"/>
    <s v="A"/>
    <n v="15"/>
    <s v="MH8DL11AZJJ154984"/>
    <s v="CGA1ID154968"/>
    <s v="SUZUKI"/>
    <s v="SATRIA FU"/>
    <s v="HITAM"/>
    <s v="JG"/>
    <s v="BELUM JTO"/>
    <n v="4"/>
    <n v="18"/>
    <x v="21"/>
    <s v="COLL"/>
    <x v="0"/>
    <x v="0"/>
    <m/>
  </r>
  <r>
    <n v="728"/>
    <d v="2025-11-12T13:37:19"/>
    <s v="1770dac3-81ca-4fab-8a6a-e60c63470def"/>
    <s v="LatLng(lat: 1.048317, lng: 103.9382667)"/>
    <s v="OD-25-F0000009"/>
    <s v="BIMAYU ARIEN PRATAMA"/>
    <s v="BP 4340 QI"/>
    <x v="0"/>
    <s v="05.BOSPA"/>
    <s v="A"/>
    <n v="3"/>
    <s v="MH3SG3190JJ079019"/>
    <s v="G3E4E0781134"/>
    <s v="YAMAHA"/>
    <s v="NMAX"/>
    <s v="BIRU"/>
    <s v="JG"/>
    <s v="GAGAL BAYAR"/>
    <n v="10"/>
    <n v="24"/>
    <x v="21"/>
    <s v="COLL"/>
    <x v="0"/>
    <x v="0"/>
    <m/>
  </r>
  <r>
    <n v="729"/>
    <d v="2025-11-12T13:39:16"/>
    <s v="1770dac3-81ca-4fab-8a6a-e60c63470def"/>
    <s v="LatLng(lat: 1.0482061, lng: 103.9374189)"/>
    <s v="SP-25-F0001634"/>
    <s v="HENDRI SETYAWAN"/>
    <s v="BP 2945 SO"/>
    <x v="0"/>
    <s v="14.CALL CENTER"/>
    <s v="A"/>
    <n v="9"/>
    <s v="MH1JM8120PK769582"/>
    <s v="JM81E2774191"/>
    <s v="HONDA"/>
    <s v="BEAT FI"/>
    <s v="BIRU HITAM"/>
    <s v="JG"/>
    <s v="BELUM JTO"/>
    <n v="4"/>
    <n v="18"/>
    <x v="21"/>
    <s v="COLL"/>
    <x v="0"/>
    <x v="0"/>
    <m/>
  </r>
  <r>
    <n v="730"/>
    <d v="2025-11-12T13:51:09"/>
    <s v="97b899c7-a738-4c0c-a57d-47d1be720bd2"/>
    <s v="LatLng(lat: 1.1254624, lng: 104.0270032)"/>
    <s v="OD-25-F0000458"/>
    <s v="ADI"/>
    <s v="BP 3914 UH"/>
    <x v="0"/>
    <s v="06.ROBEN"/>
    <s v="A"/>
    <n v="13"/>
    <s v="MH1KF4111KK731205"/>
    <s v="KF41E1733895"/>
    <s v="HONDA"/>
    <s v="VARIO"/>
    <s v="HITAM"/>
    <s v="JG"/>
    <s v="BELUM JTO"/>
    <n v="9"/>
    <n v="12"/>
    <x v="5"/>
    <s v="COLL"/>
    <x v="0"/>
    <x v="0"/>
    <m/>
  </r>
  <r>
    <n v="731"/>
    <d v="2025-11-12T13:55:11"/>
    <s v="66338f6f-6199-47e8-8fc9-c871a18b6d2c"/>
    <s v="LatLng(lat: 1.0415314, lng: 103.9873288)"/>
    <s v="SP-24-F0001686"/>
    <s v="EMI DAMANIK"/>
    <s v="BP 2495 RQ"/>
    <x v="0"/>
    <s v="10.MIDUK"/>
    <s v="A"/>
    <n v="14"/>
    <s v="MH1JM8129NK018011"/>
    <s v="JM81E2019666"/>
    <s v="HONDA"/>
    <s v="BEAT"/>
    <s v="MERAH HITAM"/>
    <s v="JG"/>
    <s v="BELUM JTO"/>
    <n v="15"/>
    <n v="18"/>
    <x v="30"/>
    <s v="COLL"/>
    <x v="0"/>
    <x v="0"/>
    <m/>
  </r>
  <r>
    <n v="732"/>
    <d v="2025-11-12T14:01:36"/>
    <s v="97b899c7-a738-4c0c-a57d-47d1be720bd2"/>
    <s v="LatLng(lat: 1.125492, lng: 104.0269049)"/>
    <s v="OD-25-F0000451"/>
    <s v="MARTA YONA"/>
    <s v="BP 3104 RF"/>
    <x v="0"/>
    <s v="14.CALL CENTER"/>
    <s v="A"/>
    <n v="13"/>
    <s v="MH1JM9116MK995473"/>
    <s v="JM91E1995179"/>
    <s v="HONDA"/>
    <s v="BEAT"/>
    <s v="BIRU"/>
    <s v="JG"/>
    <s v="BELUM JTO"/>
    <n v="9"/>
    <n v="12"/>
    <x v="5"/>
    <s v="COLL"/>
    <x v="0"/>
    <x v="0"/>
    <m/>
  </r>
  <r>
    <n v="733"/>
    <d v="2025-11-12T14:02:53"/>
    <s v="f0b79403-18b0-47dd-bacc-d76d9d60a28e"/>
    <s v="LatLng(lat: 1.0436717, lng: 103.9809617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24"/>
    <s v="COLL"/>
    <x v="0"/>
    <x v="0"/>
    <m/>
  </r>
  <r>
    <n v="734"/>
    <d v="2025-11-12T14:10:50"/>
    <s v="987e43b5-2fed-4ba1-8992-1b4d84e413ab"/>
    <s v="LatLng(lat: 1.0541174, lng: 103.9861952)"/>
    <s v="SP-25-F0002123"/>
    <s v="NURASIAH SITORUS"/>
    <s v="BP 4135 AH"/>
    <x v="0"/>
    <s v="14.CALL CENTER"/>
    <s v="A"/>
    <n v="22"/>
    <s v="MH3SG5620MJ325546"/>
    <s v="G3L8E0602004"/>
    <s v="YAMAHA"/>
    <s v="NMAX NEW"/>
    <s v="BIRU"/>
    <s v="JG"/>
    <s v="BELUM JTO"/>
    <n v="3"/>
    <n v="18"/>
    <x v="20"/>
    <s v="COLL"/>
    <x v="0"/>
    <x v="0"/>
    <m/>
  </r>
  <r>
    <n v="735"/>
    <d v="2025-11-12T14:14:35"/>
    <s v="ac63d112-8c59-4edb-b75b-75ebcb97a513"/>
    <s v="LatLng(lat: 1.0478681, lng: 104.2398101)"/>
    <s v="SK-KD-24-00273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45"/>
    <s v="COLL"/>
    <x v="0"/>
    <x v="0"/>
    <m/>
  </r>
  <r>
    <n v="736"/>
    <d v="2025-11-12T14:15:19"/>
    <s v="b5e5eb90-c13c-42f2-8aa6-fb5964b939de"/>
    <s v="LatLng(lat: 1.0448136, lng: 103.9598938)"/>
    <s v="OD-25-F0001104"/>
    <s v="SISWANDI GEA"/>
    <s v="BP 3810 IU"/>
    <x v="0"/>
    <s v="14.CALL CENTER"/>
    <s v="A"/>
    <n v="15"/>
    <s v="MH1JM821XLK024791"/>
    <s v="JM82E1024724"/>
    <s v="HONDA"/>
    <s v="BEAT STREET"/>
    <s v="HITAM"/>
    <s v="JG"/>
    <s v="BELUM JTO"/>
    <n v="6"/>
    <n v="12"/>
    <x v="25"/>
    <s v="COLL"/>
    <x v="0"/>
    <x v="0"/>
    <m/>
  </r>
  <r>
    <n v="737"/>
    <d v="2025-11-12T14:20:26"/>
    <s v="74bb1709-aa7b-4b41-a082-a2af867fd15e"/>
    <s v="LatLng(lat: 1.0502415, lng: 103.9687254)"/>
    <s v="SP-24-F0002105"/>
    <s v="MARTINA BUNGA"/>
    <s v="BP 3360 CR"/>
    <x v="0"/>
    <s v="10.MIDUK"/>
    <s v="A"/>
    <n v="5"/>
    <s v="MH1JM8216NK636635"/>
    <s v="JM82E1634725"/>
    <s v="HONDA"/>
    <s v="BEAT STREET"/>
    <s v="HITAM"/>
    <s v="JG"/>
    <s v="GAGAL BAYAR"/>
    <n v="13"/>
    <n v="18"/>
    <x v="7"/>
    <s v="COLL"/>
    <x v="0"/>
    <x v="0"/>
    <m/>
  </r>
  <r>
    <n v="738"/>
    <d v="2025-11-12T14:27:53"/>
    <s v="b5e5eb90-c13c-42f2-8aa6-fb5964b939de"/>
    <s v="LatLng(lat: 1.0418483, lng: 103.9592233)"/>
    <s v="OD-24-F0001177"/>
    <s v="GARVASILUS JUNIANNUS BOLI TOKAN"/>
    <s v="BP 4521 AJ"/>
    <x v="6"/>
    <s v="C"/>
    <s v=" "/>
    <n v="1"/>
    <s v="MH3SEG720NJ036807"/>
    <s v="E32XE0053510"/>
    <s v="YAMAHA"/>
    <s v="GEAR"/>
    <s v="PERAK"/>
    <s v="JG"/>
    <s v="BELUM JTO"/>
    <n v="19"/>
    <n v="24"/>
    <x v="25"/>
    <s v="COLL"/>
    <x v="0"/>
    <x v="0"/>
    <m/>
  </r>
  <r>
    <n v="739"/>
    <d v="2025-11-12T14:32:00"/>
    <s v="eea94692-e3ef-470d-a986-47d8940e37c5"/>
    <s v="LatLng(lat: 1.0412511, lng: 103.9900345)"/>
    <s v="OD-25-F0000341"/>
    <s v="RAMADHAN PUTRA"/>
    <s v="BP 3163 RH"/>
    <x v="0"/>
    <s v="03.DAULAT"/>
    <s v="A"/>
    <n v="3"/>
    <s v="MH1KB1110MK314557"/>
    <s v="KB11E1314203"/>
    <s v="HONDA"/>
    <s v="SONIC"/>
    <s v="MERAH-PUTIH"/>
    <s v="JG"/>
    <s v="GAGAL BAYAR"/>
    <n v="9"/>
    <n v="18"/>
    <x v="8"/>
    <s v="COLL"/>
    <x v="0"/>
    <x v="0"/>
    <m/>
  </r>
  <r>
    <n v="740"/>
    <d v="2025-11-12T14:34:51"/>
    <s v="6d21de4b-42fc-49f2-86f3-40a2a9759695"/>
    <s v="LatLng(lat: 0.9068189, lng: 104.4993278)"/>
    <s v="TP-25-F0000514"/>
    <s v="NANANG YULIANTO"/>
    <s v="BP 2956 QB"/>
    <x v="0"/>
    <s v="14.CALL CENTER"/>
    <s v="A"/>
    <n v="18"/>
    <s v="MH1JFZ11XHK678621"/>
    <s v="JFZ1E1697271"/>
    <s v="HONDA"/>
    <s v="BEAT"/>
    <s v="HITAM"/>
    <s v="JG"/>
    <s v="BELUM JTO"/>
    <n v="4"/>
    <n v="24"/>
    <x v="0"/>
    <s v="COLL"/>
    <x v="0"/>
    <x v="0"/>
    <m/>
  </r>
  <r>
    <n v="741"/>
    <d v="2025-11-12T14:40:48"/>
    <s v="fced54d3-7c26-48e8-91fe-7d7236e7f959"/>
    <s v="LatLng(lat: 0.9154462, lng: 104.493858)"/>
    <s v="OD-25-F0001832"/>
    <s v="HUSNAN HADIP"/>
    <s v="BP 2302 HR"/>
    <x v="0"/>
    <s v="06.ROBEN"/>
    <s v=" "/>
    <n v="4"/>
    <s v="MH1JM4116JK136446"/>
    <s v="JM41E1137334"/>
    <s v="HONDA"/>
    <s v="VARIO 125"/>
    <s v="HITAM"/>
    <s v="JG"/>
    <s v="DONE"/>
    <n v="1"/>
    <n v="18"/>
    <x v="10"/>
    <s v="COLL"/>
    <x v="1"/>
    <x v="0"/>
    <m/>
  </r>
  <r>
    <n v="742"/>
    <d v="2025-11-12T14:42:41"/>
    <s v="702dc462-24c0-4894-b1c2-8bb9fe7a2806"/>
    <s v="LatLng(lat: 1.0525442, lng: 103.9713131)"/>
    <s v="OD-24-F0002526"/>
    <s v="AFRIZAL"/>
    <s v="BP 3738 U"/>
    <x v="6"/>
    <s v="C"/>
    <s v=" "/>
    <n v="6"/>
    <s v="MH1JM8124PK268694"/>
    <s v="JM81E2269937"/>
    <s v="HONDA"/>
    <s v="BEAT"/>
    <s v="BIRU HITAM"/>
    <s v="JG"/>
    <s v="BELUM JTO"/>
    <n v="15"/>
    <n v="18"/>
    <x v="36"/>
    <s v="COLL"/>
    <x v="0"/>
    <x v="0"/>
    <m/>
  </r>
  <r>
    <n v="743"/>
    <d v="2025-11-12T14:43:31"/>
    <s v="6d21de4b-42fc-49f2-86f3-40a2a9759695"/>
    <s v="LatLng(lat: 0.9038679, lng: 104.5071562)"/>
    <s v="TP-24-F0000665"/>
    <s v="SALAMUN"/>
    <s v="BP 2342 UB"/>
    <x v="0"/>
    <s v="02.REY"/>
    <s v="A"/>
    <n v="1"/>
    <s v="MH1JM6114KK002189"/>
    <s v="JM61E10022283"/>
    <s v="HONDA"/>
    <s v="GENIO"/>
    <s v="MERAH"/>
    <s v="JG"/>
    <s v="GAGAL BAYAR"/>
    <n v="12"/>
    <n v="24"/>
    <x v="0"/>
    <s v="COLL"/>
    <x v="0"/>
    <x v="0"/>
    <m/>
  </r>
  <r>
    <n v="744"/>
    <d v="2025-11-12T14:50:33"/>
    <s v="6d21de4b-42fc-49f2-86f3-40a2a9759695"/>
    <s v="LatLng(lat: 0.9168341, lng: 104.5039882)"/>
    <s v="TP-24-F0000826"/>
    <s v="ALI AMIN NASUTION"/>
    <s v="BP 3266 PS"/>
    <x v="0"/>
    <s v="14.CALL CENTER"/>
    <s v="A"/>
    <n v="1"/>
    <s v="MH1KFA117PK185533"/>
    <s v="KFA1E1185648"/>
    <s v="HONDA"/>
    <s v="VARIO 160"/>
    <s v="PUTIH"/>
    <s v="JG"/>
    <s v="DONE"/>
    <n v="10"/>
    <n v="36"/>
    <x v="0"/>
    <s v="COLL"/>
    <x v="0"/>
    <x v="0"/>
    <m/>
  </r>
  <r>
    <n v="745"/>
    <d v="2025-11-12T14:54:52"/>
    <s v="e0d931cf-6e64-4a91-a81a-04cf02d33a39"/>
    <s v="LatLng(lat: 1.0500983, lng: 103.9737183)"/>
    <s v="SP-25-F0001861"/>
    <s v="FRIANTO SINURAT"/>
    <s v="BP 3680 RS"/>
    <x v="0"/>
    <s v="11.RIMPUN "/>
    <s v="A"/>
    <n v="1"/>
    <s v="MH1JM8218PK932338"/>
    <s v="JM82E1931859"/>
    <s v="HONDA"/>
    <s v="BEAT STREET"/>
    <s v="HITAM"/>
    <s v="JG"/>
    <s v="GAGAL BAYAR"/>
    <n v="3"/>
    <n v="12"/>
    <x v="13"/>
    <s v="COLL"/>
    <x v="0"/>
    <x v="0"/>
    <m/>
  </r>
  <r>
    <n v="746"/>
    <d v="2025-11-12T15:07:16"/>
    <s v="5d155998-3b32-426c-9f80-9898af00922a"/>
    <s v="LatLng(lat: 1.0492466, lng: 103.9780734)"/>
    <s v="SP-25-F0002000"/>
    <s v="JANET MARUDUT SIAHAAN"/>
    <s v="BP 4207 CU"/>
    <x v="0"/>
    <s v="13.WILFRIN"/>
    <s v="A"/>
    <n v="12"/>
    <s v="MH3RG4760RK070904"/>
    <s v="G3S7E0087732"/>
    <s v="YAMAHA"/>
    <s v="XSR"/>
    <s v="HITAM"/>
    <s v="JG"/>
    <s v="BELUM JTO"/>
    <n v="3"/>
    <n v="18"/>
    <x v="4"/>
    <s v="COLL"/>
    <x v="0"/>
    <x v="0"/>
    <m/>
  </r>
  <r>
    <n v="747"/>
    <d v="2025-11-12T15:14:41"/>
    <s v="86afd147-8c0b-48e4-aaf8-44ad72c52985"/>
    <s v="LatLng(lat: 1.0558561, lng: 103.9818979)"/>
    <s v="OD-24-F0001889"/>
    <s v="SITI AISYAH"/>
    <s v="BP 2217 RA"/>
    <x v="0"/>
    <s v="09.OLOAN"/>
    <s v="A"/>
    <n v="10"/>
    <s v="MH1JM9120NK324973"/>
    <s v="JM91E2323117"/>
    <s v="HONDA"/>
    <s v="BEAT"/>
    <s v="BIRU SILVER"/>
    <s v="JG"/>
    <s v="BELUM JTO"/>
    <n v="16"/>
    <n v="18"/>
    <x v="15"/>
    <s v="COLL"/>
    <x v="0"/>
    <x v="0"/>
    <m/>
  </r>
  <r>
    <n v="748"/>
    <d v="2025-11-12T15:23:16"/>
    <s v="51f658db-9885-4d52-99bd-8e1bf0356977"/>
    <s v="LatLng(lat: 1.0546953, lng: 103.9864324)"/>
    <s v="OD-25-F0001851"/>
    <s v="SYAIFUDDIANSYAH"/>
    <s v="BP 5319 HJ"/>
    <x v="0"/>
    <s v="14.CALL CENTER"/>
    <s v=" "/>
    <n v="9"/>
    <s v="MH1JM0313RK723463"/>
    <s v="JM03E1724478"/>
    <s v="HONDA"/>
    <s v="SCOOPY"/>
    <s v="BIRU-PUTIH"/>
    <s v="JG"/>
    <s v="BELUM JTO"/>
    <n v="1"/>
    <n v="24"/>
    <x v="19"/>
    <s v="COLL"/>
    <x v="0"/>
    <x v="0"/>
    <m/>
  </r>
  <r>
    <n v="749"/>
    <d v="2025-11-12T15:24:37"/>
    <s v="86afd147-8c0b-48e4-aaf8-44ad72c52985"/>
    <s v="LatLng(lat: 1.0549387, lng: 103.9868292)"/>
    <s v="OD-25-F0001851"/>
    <s v="SYAIFUDDIANSYAH"/>
    <s v="BP 5319 HJ"/>
    <x v="0"/>
    <s v="14.CALL CENTER"/>
    <s v=" "/>
    <n v="9"/>
    <s v="MH1JM0313RK723463"/>
    <s v="JM03E1724478"/>
    <s v="HONDA"/>
    <s v="SCOOPY"/>
    <s v="BIRU-PUTIH"/>
    <s v="JG"/>
    <s v="BELUM JTO"/>
    <n v="1"/>
    <n v="24"/>
    <x v="15"/>
    <s v="COLL"/>
    <x v="0"/>
    <x v="0"/>
    <m/>
  </r>
  <r>
    <n v="750"/>
    <d v="2025-11-12T15:26:36"/>
    <s v="fced54d3-7c26-48e8-91fe-7d7236e7f959"/>
    <s v="LatLng(lat: 0.9153997, lng: 104.4939483)"/>
    <s v="OD-24-F0002784"/>
    <s v="ANWAR"/>
    <s v="BP 3612 HI"/>
    <x v="0"/>
    <s v="08.JOSRI"/>
    <s v="A"/>
    <n v="1"/>
    <s v="MH1KF4111JK050265"/>
    <s v="KF41E1050964"/>
    <s v="HONDA"/>
    <s v="VARIO"/>
    <s v="MERAH"/>
    <s v="JG"/>
    <s v="GAGAL BAYAR"/>
    <n v="13"/>
    <n v="18"/>
    <x v="10"/>
    <s v="COLL"/>
    <x v="1"/>
    <x v="0"/>
    <m/>
  </r>
  <r>
    <n v="751"/>
    <d v="2025-11-12T15:26:49"/>
    <s v="f0b79403-18b0-47dd-bacc-d76d9d60a28e"/>
    <s v="LatLng(lat: 1.0500233, lng: 103.9866717)"/>
    <s v="OD-25-F0001851"/>
    <s v="SYAIFUDDIANSYAH"/>
    <s v="BP 5319 HJ"/>
    <x v="0"/>
    <s v="14.CALL CENTER"/>
    <s v=" "/>
    <n v="9"/>
    <s v="MH1JM0313RK723463"/>
    <s v="JM03E1724478"/>
    <s v="HONDA"/>
    <s v="SCOOPY"/>
    <s v="BIRU-PUTIH"/>
    <s v="JG"/>
    <s v="BELUM JTO"/>
    <n v="1"/>
    <n v="24"/>
    <x v="24"/>
    <s v="COLL"/>
    <x v="0"/>
    <x v="0"/>
    <m/>
  </r>
  <r>
    <n v="752"/>
    <d v="2025-11-12T15:27:12"/>
    <s v="6f0ee670-8a9a-45ff-8c00-ca014f6aabeb"/>
    <s v="LatLng(lat: 1.0492599, lng: 103.9868394)"/>
    <s v="OD-25-F0001851"/>
    <s v="SYAIFUDDIANSYAH"/>
    <s v="BP 5319 HJ"/>
    <x v="0"/>
    <s v="14.CALL CENTER"/>
    <s v=" "/>
    <n v="9"/>
    <s v="MH1JM0313RK723463"/>
    <s v="JM03E1724478"/>
    <s v="HONDA"/>
    <s v="SCOOPY"/>
    <s v="BIRU-PUTIH"/>
    <s v="JG"/>
    <s v="BELUM JTO"/>
    <n v="1"/>
    <n v="24"/>
    <x v="18"/>
    <s v="COLL"/>
    <x v="0"/>
    <x v="0"/>
    <m/>
  </r>
  <r>
    <n v="753"/>
    <d v="2025-11-12T15:33:39"/>
    <s v="86afd147-8c0b-48e4-aaf8-44ad72c52985"/>
    <s v="LatLng(lat: 1.0551875, lng: 103.9886464)"/>
    <s v="SP-25-F0002097"/>
    <s v="ARMANDIA SINURAT"/>
    <s v="BP 3945 SO"/>
    <x v="7"/>
    <s v="EVENDI"/>
    <s v=" "/>
    <n v="21"/>
    <s v="MH1JM8221PK013760"/>
    <s v="JM82E2012962"/>
    <s v="HONDA"/>
    <s v="BEAT STREET"/>
    <s v="HITAM"/>
    <s v="JG"/>
    <s v="GAGAL BAYAR"/>
    <n v="2"/>
    <n v="18"/>
    <x v="15"/>
    <s v="COLL"/>
    <x v="6"/>
    <x v="0"/>
    <m/>
  </r>
  <r>
    <n v="754"/>
    <d v="2025-11-12T15:35:28"/>
    <s v="3841b94e-9a4f-4b53-a473-36560f4d9a4f"/>
    <s v="LatLng(lat: 1.040332, lng: 103.9911756)"/>
    <s v="OD-25-F0001349"/>
    <s v="MA`RIFAI"/>
    <s v="BP 4305 HI"/>
    <x v="0"/>
    <s v="13.WILFRIN"/>
    <s v="A"/>
    <n v="12"/>
    <s v="MH1JMF11XRK075674"/>
    <s v="JMF1E1075873"/>
    <s v="HONDA"/>
    <s v="BEAT"/>
    <s v="HITAM"/>
    <s v="JG"/>
    <s v="BELUM JTO"/>
    <n v="4"/>
    <n v="12"/>
    <x v="39"/>
    <s v="COLL"/>
    <x v="0"/>
    <x v="0"/>
    <m/>
  </r>
  <r>
    <n v="755"/>
    <d v="2025-11-12T16:15:32"/>
    <s v="86afd147-8c0b-48e4-aaf8-44ad72c52985"/>
    <s v="LatLng(lat: 1.0411992, lng: 103.9812973)"/>
    <s v="SP-24-F0000722"/>
    <s v="JULEO INDRI VANESSA"/>
    <s v="BP 3410 HI"/>
    <x v="0"/>
    <s v="12.JUBRAIDER S"/>
    <s v="D"/>
    <n v="12"/>
    <s v="MH1KC0212JK009045"/>
    <s v="KC02E1008899"/>
    <s v="HONDA"/>
    <s v="CB VERZA"/>
    <s v="HITAM"/>
    <s v="JG"/>
    <s v="BELUM JTO"/>
    <n v="19"/>
    <n v="24"/>
    <x v="15"/>
    <s v="COLL"/>
    <x v="0"/>
    <x v="0"/>
    <m/>
  </r>
  <r>
    <n v="756"/>
    <d v="2025-11-12T16:28:18"/>
    <s v="551fa799-4956-44f4-9122-ea915d0399f1"/>
    <s v="LatLng(lat: 1.0524657, lng: 103.9702499)"/>
    <s v="SP-25-F0001522"/>
    <s v="ALI MAKMUR"/>
    <s v="BP 5274 AQ"/>
    <x v="0"/>
    <s v="14.CALL CENTER"/>
    <s v="A"/>
    <n v="1"/>
    <s v="MH3SG5670PK281211"/>
    <s v="G3L8E1490474"/>
    <s v="YAMAHA"/>
    <s v="N MAX CONNECTED"/>
    <s v="MERAH"/>
    <s v="JG"/>
    <s v="DONE"/>
    <n v="4"/>
    <n v="18"/>
    <x v="12"/>
    <s v="COLL"/>
    <x v="0"/>
    <x v="0"/>
    <m/>
  </r>
  <r>
    <n v="757"/>
    <d v="2025-11-12T16:35:49"/>
    <s v="551fa799-4956-44f4-9122-ea915d0399f1"/>
    <s v="LatLng(lat: 1.0518541, lng: 103.9514941)"/>
    <s v="OD-24-F0002144"/>
    <s v="SUGITO"/>
    <s v="BP 3238 UR"/>
    <x v="6"/>
    <s v="C"/>
    <s v=" "/>
    <n v="1"/>
    <s v="MH1JM3137LK483248"/>
    <s v="JM31E3478443"/>
    <s v="HONDA"/>
    <s v="SCOOPY"/>
    <s v="HITAM SILVER"/>
    <s v="JG"/>
    <s v="BELUM JTO"/>
    <n v="16"/>
    <n v="18"/>
    <x v="12"/>
    <s v="COLL"/>
    <x v="0"/>
    <x v="0"/>
    <m/>
  </r>
  <r>
    <n v="758"/>
    <d v="2025-11-12T17:32:58"/>
    <s v="e0d931cf-6e64-4a91-a81a-04cf02d33a39"/>
    <s v="LatLng(lat: 1.0622617, lng: 103.9302383)"/>
    <s v="OD-24-F0002638"/>
    <s v="ERICK ROMARIO TUAPETEL"/>
    <s v="BP 2599 AF"/>
    <x v="0"/>
    <s v="10.MIDUK"/>
    <s v="A"/>
    <n v="14"/>
    <s v="MH1JFZ215KK520872"/>
    <s v="JFZ2E1520869"/>
    <s v="HONDA"/>
    <s v="BEAT"/>
    <s v="HITAM"/>
    <s v="JG"/>
    <s v="BELUM JTO"/>
    <n v="14"/>
    <n v="18"/>
    <x v="13"/>
    <s v="COLL"/>
    <x v="0"/>
    <x v="0"/>
    <m/>
  </r>
  <r>
    <n v="759"/>
    <d v="2025-11-12T17:45:54"/>
    <s v="5d155998-3b32-426c-9f80-9898af00922a"/>
    <s v="LatLng(lat: 1.0463667, lng: 103.9689456)"/>
    <s v="OD-24-F0000124"/>
    <s v="AGUS SHARONI"/>
    <s v="BP 5813 IH"/>
    <x v="0"/>
    <s v="10.MIDUK"/>
    <s v="A"/>
    <n v="11"/>
    <s v="MH33C1205CK043115"/>
    <s v="3C11041029"/>
    <s v="YAMAHA"/>
    <s v="VIXION"/>
    <s v="MERAH MARUN"/>
    <s v="JG"/>
    <s v="BELUM JTO"/>
    <n v="22"/>
    <n v="24"/>
    <x v="4"/>
    <s v="COLL"/>
    <x v="0"/>
    <x v="0"/>
    <m/>
  </r>
  <r>
    <n v="760"/>
    <d v="2025-11-12T18:13:12"/>
    <s v="5d155998-3b32-426c-9f80-9898af00922a"/>
    <s v="LatLng(lat: 1.0328073, lng: 103.9761491)"/>
    <s v="SP-24-F0001419"/>
    <s v="SRI WAHYUNI"/>
    <s v="BP 2616 J"/>
    <x v="0"/>
    <s v="10.MIDUK"/>
    <s v="A"/>
    <n v="15"/>
    <s v="MH1JM0217MK343245"/>
    <s v="JM02E1343278"/>
    <s v="HONDA"/>
    <s v="SCOOPY"/>
    <s v="COKLAT"/>
    <s v="JG"/>
    <s v="BELUM JTO"/>
    <n v="16"/>
    <n v="36"/>
    <x v="4"/>
    <s v="COLL"/>
    <x v="0"/>
    <x v="0"/>
    <m/>
  </r>
  <r>
    <n v="761"/>
    <d v="2025-11-12T18:19:13"/>
    <s v="6d21de4b-42fc-49f2-86f3-40a2a9759695"/>
    <s v="LatLng(lat: 0.9095528, lng: 104.4959592)"/>
    <s v="TP-24-F0000120"/>
    <s v="SUSWANDI"/>
    <s v="BP 4518 PB"/>
    <x v="0"/>
    <s v="01.SYAMSURI"/>
    <s v="A"/>
    <n v="3"/>
    <s v="MH3SG3190KJ442031"/>
    <s v="G3E4E1271180"/>
    <s v="YAMAHA"/>
    <s v="NMAX"/>
    <s v="ABU - ABU"/>
    <s v="JG"/>
    <s v="GAGAL BAYAR"/>
    <n v="19"/>
    <n v="24"/>
    <x v="0"/>
    <s v="COLL"/>
    <x v="0"/>
    <x v="0"/>
    <m/>
  </r>
  <r>
    <n v="762"/>
    <d v="2025-11-12T18:21:55"/>
    <s v="6d21de4b-42fc-49f2-86f3-40a2a9759695"/>
    <s v="LatLng(lat: 0.9065301, lng: 104.5000296)"/>
    <s v="TP-25-F0000339"/>
    <s v="MARDIANA"/>
    <s v="BP 2440 PC"/>
    <x v="0"/>
    <s v="14.CALL CENTER"/>
    <s v="A"/>
    <n v="6"/>
    <s v="MH1JFZ219KK682830"/>
    <s v="JFZ2E1681501"/>
    <s v="HONDA"/>
    <s v="BEAT STREET"/>
    <s v="HITAM"/>
    <s v="JG"/>
    <s v="DONE"/>
    <n v="6"/>
    <n v="24"/>
    <x v="0"/>
    <s v="COLL"/>
    <x v="0"/>
    <x v="0"/>
    <m/>
  </r>
  <r>
    <n v="763"/>
    <d v="2025-11-12T18:30:10"/>
    <s v="6d21de4b-42fc-49f2-86f3-40a2a9759695"/>
    <s v="LatLng(lat: 0.9168559, lng: 104.5085766)"/>
    <s v="TP-24-F0000546"/>
    <s v="NINGSIH"/>
    <s v="BP 3546 PC"/>
    <x v="7"/>
    <s v="SATRIA"/>
    <s v=" "/>
    <n v="18"/>
    <s v="MH1JM3138LK205362"/>
    <s v="JM31E3200648"/>
    <s v="HONDA"/>
    <s v="SCOOPY FI"/>
    <s v="MERAH HITAM"/>
    <s v="JG"/>
    <s v="GAGAL BAYAR"/>
    <n v="13"/>
    <n v="24"/>
    <x v="0"/>
    <s v="COLL"/>
    <x v="8"/>
    <x v="0"/>
    <m/>
  </r>
  <r>
    <n v="764"/>
    <d v="2025-11-12T18:54:35"/>
    <s v="5d155998-3b32-426c-9f80-9898af00922a"/>
    <s v="LatLng(lat: 1.0524357, lng: 103.9716926)"/>
    <s v="OD-25-F0001851"/>
    <s v="SYAIFUDDIANSYAH"/>
    <s v="BP 5319 HJ"/>
    <x v="0"/>
    <s v="14.CALL CENTER"/>
    <s v=" "/>
    <n v="9"/>
    <s v="MH1JM0313RK723463"/>
    <s v="JM03E1724478"/>
    <s v="HONDA"/>
    <s v="SCOOPY"/>
    <s v="BIRU-PUTIH"/>
    <s v="JG"/>
    <s v="BELUM JTO"/>
    <n v="1"/>
    <n v="24"/>
    <x v="4"/>
    <s v="COLL"/>
    <x v="0"/>
    <x v="0"/>
    <m/>
  </r>
  <r>
    <n v="765"/>
    <d v="2025-11-12T19:33:04"/>
    <s v="b5022170-5138-4d36-a599-749fef2d3ebb"/>
    <s v="LatLng(lat: 1.1024803, lng: 104.0596847)"/>
    <s v="SP-25-F0001029"/>
    <s v="DELLA SAFITRI"/>
    <s v="BP 3722 HJ"/>
    <x v="7"/>
    <s v="TALENTA S"/>
    <s v=" "/>
    <n v="8"/>
    <s v="MH1JFZ124JK584698"/>
    <s v="JFZ1E2590233"/>
    <s v="HONDA"/>
    <s v="BEAT"/>
    <s v="HITAM"/>
    <s v="JG"/>
    <s v="GAGAL BAYAR"/>
    <n v="5"/>
    <n v="12"/>
    <x v="38"/>
    <s v="COLL"/>
    <x v="4"/>
    <x v="1"/>
    <m/>
  </r>
  <r>
    <n v="766"/>
    <d v="2025-11-12T19:37:13"/>
    <s v="74bb1709-aa7b-4b41-a082-a2af867fd15e"/>
    <s v="LatLng(lat: 1.0263508, lng: 103.9589081)"/>
    <s v="OD-25-F0001214"/>
    <s v="TI TI"/>
    <s v="BP 5253 UO"/>
    <x v="0"/>
    <s v="14.CALL CENTER"/>
    <s v="A"/>
    <n v="9"/>
    <s v="MH1KCB112RK056584"/>
    <s v="KCB1E1056631"/>
    <s v="HONDA"/>
    <s v="CBR 150"/>
    <s v="MERAH PUTIH"/>
    <s v="JG"/>
    <s v="DONE"/>
    <n v="5"/>
    <n v="24"/>
    <x v="7"/>
    <s v="COLL"/>
    <x v="0"/>
    <x v="0"/>
    <m/>
  </r>
  <r>
    <n v="767"/>
    <d v="2025-11-12T20:10:04"/>
    <s v="e0d931cf-6e64-4a91-a81a-04cf02d33a39"/>
    <s v="LatLng(lat: 1.0474828, lng: 103.9630329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DONE"/>
    <n v="2"/>
    <n v="18"/>
    <x v="13"/>
    <s v="COLL"/>
    <x v="0"/>
    <x v="0"/>
    <m/>
  </r>
  <r>
    <n v="768"/>
    <d v="2025-11-12T20:11:22"/>
    <s v="e0d931cf-6e64-4a91-a81a-04cf02d33a39"/>
    <s v="LatLng(lat: 1.0475568, lng: 103.9644749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3"/>
    <s v="COLL"/>
    <x v="0"/>
    <x v="0"/>
    <m/>
  </r>
  <r>
    <n v="769"/>
    <d v="2025-11-12T20:12:52"/>
    <s v="e0d931cf-6e64-4a91-a81a-04cf02d33a39"/>
    <s v="LatLng(lat: 1.0476898, lng: 103.9633009)"/>
    <s v="SP-24-F0002402"/>
    <s v="BAMBANG IRAWAN"/>
    <s v="BP 4803 JE"/>
    <x v="0"/>
    <s v="10.MIDUK"/>
    <s v="A"/>
    <n v="9"/>
    <s v="MH354P00ADJ678248"/>
    <s v="54P678310"/>
    <s v="YAMAHA"/>
    <s v="MIO J"/>
    <s v="PUTIH HITAM"/>
    <s v="JG"/>
    <s v="BELUM JTO"/>
    <n v="12"/>
    <n v="12"/>
    <x v="13"/>
    <s v="COLL"/>
    <x v="0"/>
    <x v="0"/>
    <m/>
  </r>
  <r>
    <n v="770"/>
    <d v="2025-11-12T20:21:11"/>
    <s v="551fa799-4956-44f4-9122-ea915d0399f1"/>
    <s v="LatLng(lat: 1.0640651, lng: 103.9166456)"/>
    <s v="SP-24-F0001479"/>
    <s v="IRVAN HERIANTO HARAHAP"/>
    <s v="BP 3844 UU"/>
    <x v="0"/>
    <s v="12.JUBRAIDER S"/>
    <s v="A"/>
    <n v="19"/>
    <s v="MH1JM8215PK741542"/>
    <s v="JM82E1739452"/>
    <s v="HONDA"/>
    <s v="BEAT"/>
    <s v="HITAM"/>
    <s v="JG"/>
    <s v="BELUM JTO"/>
    <n v="16"/>
    <n v="24"/>
    <x v="12"/>
    <s v="COLL"/>
    <x v="0"/>
    <x v="0"/>
    <m/>
  </r>
  <r>
    <n v="771"/>
    <d v="2025-11-12T21:06:30"/>
    <s v="78c8aa58-d259-49a1-a96c-192417985ecf"/>
    <s v="LatLng(lat: 1.044063, lng: 103.9810719)"/>
    <s v="SP-24-F0001419"/>
    <s v="SRI WAHYUNI"/>
    <s v="BP 2616 J"/>
    <x v="0"/>
    <s v="10.MIDUK"/>
    <s v="A"/>
    <n v="15"/>
    <s v="MH1JM0217MK343245"/>
    <s v="JM02E1343278"/>
    <s v="HONDA"/>
    <s v="SCOOPY"/>
    <s v="COKLAT"/>
    <s v="JG"/>
    <s v="BELUM JTO"/>
    <n v="16"/>
    <n v="36"/>
    <x v="16"/>
    <s v="COLL"/>
    <x v="0"/>
    <x v="0"/>
    <m/>
  </r>
  <r>
    <n v="772"/>
    <d v="2025-11-13T08:00:46"/>
    <s v="97b899c7-a738-4c0c-a57d-47d1be720bd2"/>
    <s v="LatLng(lat: 1.0445874, lng: 104.0533592)"/>
    <s v="OD-25-F0001006"/>
    <s v="MULYANA"/>
    <s v="BP 2365 QR"/>
    <x v="0"/>
    <s v="03.DAULAT"/>
    <s v="A"/>
    <n v="1"/>
    <s v="MH1JFV118HK571737"/>
    <s v="JFV1E1575750"/>
    <s v="HONDA"/>
    <s v="VARIO"/>
    <s v="HITAM"/>
    <s v="JG"/>
    <s v="DONE"/>
    <n v="6"/>
    <n v="12"/>
    <x v="5"/>
    <s v="COLL"/>
    <x v="0"/>
    <x v="0"/>
    <m/>
  </r>
  <r>
    <n v="773"/>
    <d v="2025-11-13T09:04:30"/>
    <s v="6d21de4b-42fc-49f2-86f3-40a2a9759695"/>
    <s v="LatLng(lat: 0.913095, lng: 104.4888717)"/>
    <s v="TP-25-F0000318"/>
    <s v="EFRI SAPUTRA"/>
    <s v="BP 2532 PC"/>
    <x v="0"/>
    <s v="02.REY"/>
    <s v="A"/>
    <n v="1"/>
    <s v="MH1JM3133KK169952"/>
    <s v="JM31E3165277"/>
    <s v="HONDA"/>
    <s v="SCOOPY"/>
    <s v="HITAM SILVER"/>
    <s v="JG"/>
    <s v="DONE"/>
    <n v="6"/>
    <n v="24"/>
    <x v="0"/>
    <s v="COLL"/>
    <x v="0"/>
    <x v="0"/>
    <m/>
  </r>
  <r>
    <n v="774"/>
    <d v="2025-11-13T09:12:42"/>
    <s v="97b899c7-a738-4c0c-a57d-47d1be720bd2"/>
    <s v="LatLng(lat: 1.0433928, lng: 103.9794843)"/>
    <s v="SP-25-F0002206"/>
    <s v="LUIS ARIP PARWANTO"/>
    <s v="BP 2365 AF"/>
    <x v="0"/>
    <s v="13.WILFRIN"/>
    <s v=" "/>
    <n v="8"/>
    <s v="MH1JM212XKK331884"/>
    <s v="JM21E2308948"/>
    <s v="HONDA"/>
    <s v="BEAT DIGITAL"/>
    <s v="MERAH PUTIH"/>
    <s v="JG"/>
    <s v="BELUM JTO"/>
    <n v="2"/>
    <n v="12"/>
    <x v="5"/>
    <s v="COLL"/>
    <x v="0"/>
    <x v="0"/>
    <m/>
  </r>
  <r>
    <n v="775"/>
    <d v="2025-11-13T09:13:13"/>
    <s v="74bb1709-aa7b-4b41-a082-a2af867fd15e"/>
    <s v="LatLng(lat: 1.0365123, lng: 103.9742282)"/>
    <s v="SP-25-F0000493"/>
    <s v="RAHMAT HIDAYAT"/>
    <s v="BP 4431 CU"/>
    <x v="6"/>
    <s v="C"/>
    <s v=" "/>
    <n v="1"/>
    <s v="MH1JMC119PK289437"/>
    <s v="JMC1E1289345"/>
    <s v="HONDA"/>
    <s v="VARIO 125"/>
    <s v="MERAH"/>
    <s v="JG"/>
    <s v="BELUM JTO"/>
    <n v="9"/>
    <n v="12"/>
    <x v="7"/>
    <s v="COLL"/>
    <x v="0"/>
    <x v="0"/>
    <m/>
  </r>
  <r>
    <n v="776"/>
    <d v="2025-11-13T09:19:39"/>
    <s v="a4f24bfd-45be-407a-a9ce-5da8e226108b"/>
    <s v="LatLng(lat: 0.9291272, lng: 104.4422585)"/>
    <s v="SP-24-F0001377"/>
    <s v="GUSTI AMAPAL"/>
    <s v="BP 3127 AR"/>
    <x v="1"/>
    <s v="DOKA"/>
    <s v=" "/>
    <n v="9"/>
    <s v="MH1JFZ126HK205775"/>
    <s v="JFZ1E2213026"/>
    <s v="HONDA"/>
    <s v="BEAT"/>
    <s v="PUTIH"/>
    <s v="JG"/>
    <s v="GAGAL BAYAR"/>
    <n v="9"/>
    <n v="18"/>
    <x v="2"/>
    <s v="COLL"/>
    <x v="1"/>
    <x v="0"/>
    <m/>
  </r>
  <r>
    <n v="777"/>
    <d v="2025-11-13T09:33:41"/>
    <s v="97b899c7-a738-4c0c-a57d-47d1be720bd2"/>
    <s v="LatLng(lat: 1.0433854, lng: 103.9794679)"/>
    <s v="SP-24-F0000148"/>
    <s v="IAN MUSTAKIM"/>
    <s v="BP 5157 IR"/>
    <x v="0"/>
    <s v="04.RIZKI A"/>
    <s v="A"/>
    <n v="26"/>
    <s v="MH31PA004EK671695"/>
    <s v="1PA669364"/>
    <s v="YAMAHA"/>
    <s v="VIXION"/>
    <s v="HITAM"/>
    <s v="JG"/>
    <s v="BELUM JTO"/>
    <n v="22"/>
    <n v="24"/>
    <x v="5"/>
    <s v="COLL"/>
    <x v="0"/>
    <x v="0"/>
    <m/>
  </r>
  <r>
    <n v="778"/>
    <d v="2025-11-13T10:43:20"/>
    <s v="688868a7-408e-44ae-b238-348dfc1995b0"/>
    <s v="LatLng(lat: 1.0491674, lng: 103.954071)"/>
    <s v="OD-25-F0000505"/>
    <s v="WAHYUDI"/>
    <s v="BP 3235 QR"/>
    <x v="0"/>
    <s v="08.JOSRI"/>
    <s v=" "/>
    <n v="17"/>
    <s v="MH1JM1112HK221874"/>
    <s v="JM11E1203084"/>
    <s v="HONDA"/>
    <s v="BEAT"/>
    <s v="MAGENTA HITAM"/>
    <s v="JG"/>
    <s v="BELUM JTO"/>
    <n v="9"/>
    <n v="24"/>
    <x v="14"/>
    <s v="COLL"/>
    <x v="0"/>
    <x v="0"/>
    <m/>
  </r>
  <r>
    <n v="779"/>
    <d v="2025-11-13T10:44:22"/>
    <s v="688868a7-408e-44ae-b238-348dfc1995b0"/>
    <s v="LatLng(lat: 1.0480208, lng: 103.9545622)"/>
    <s v="OD-24-F0002860"/>
    <s v="RANGGA SAPUTRA"/>
    <s v="BP 3613 HM"/>
    <x v="0"/>
    <s v="05.BOSPA"/>
    <s v=" "/>
    <n v="10"/>
    <s v="MH1JM1113JK835144"/>
    <s v="JM11E1818196"/>
    <s v="HONDA"/>
    <s v="BEAT"/>
    <s v="BIRU PUTIH"/>
    <s v="JG"/>
    <s v="BELUM JTO"/>
    <n v="13"/>
    <n v="24"/>
    <x v="14"/>
    <s v="COLL"/>
    <x v="0"/>
    <x v="0"/>
    <m/>
  </r>
  <r>
    <n v="780"/>
    <d v="2025-11-13T10:46:30"/>
    <s v="dcc6f40b-a9a1-43d4-bd37-f0019f505bcd"/>
    <s v="LatLng(lat: 1.0471153, lng: 103.9566399)"/>
    <s v="OD-25-F0000505"/>
    <s v="WAHYUDI"/>
    <s v="BP 3235 QR"/>
    <x v="0"/>
    <s v="08.JOSRI"/>
    <s v=" "/>
    <n v="17"/>
    <s v="MH1JM1112HK221874"/>
    <s v="JM11E1203084"/>
    <s v="HONDA"/>
    <s v="BEAT"/>
    <s v="MAGENTA HITAM"/>
    <s v="JG"/>
    <s v="BELUM JTO"/>
    <n v="9"/>
    <n v="24"/>
    <x v="9"/>
    <s v="COLL"/>
    <x v="0"/>
    <x v="0"/>
    <m/>
  </r>
  <r>
    <n v="781"/>
    <d v="2025-11-13T10:47:47"/>
    <s v="551fa799-4956-44f4-9122-ea915d0399f1"/>
    <s v="LatLng(lat: 1.0524223, lng: 103.970659)"/>
    <s v="SP-25-F0001709"/>
    <s v="KURNIAWAN"/>
    <s v="BP 4497 AF"/>
    <x v="0"/>
    <s v="14.CALL CENTER"/>
    <s v="A"/>
    <n v="15"/>
    <s v="MH3SG5620LK029479"/>
    <s v="G3L8E0029731"/>
    <s v="YAMAHA"/>
    <s v="NMAX NON CONNECTED"/>
    <s v="HITAM"/>
    <s v="JG"/>
    <s v="BELUM JTO"/>
    <n v="4"/>
    <n v="18"/>
    <x v="12"/>
    <s v="COLL"/>
    <x v="0"/>
    <x v="0"/>
    <m/>
  </r>
  <r>
    <n v="782"/>
    <d v="2025-11-13T10:48:23"/>
    <s v="51f658db-9885-4d52-99bd-8e1bf0356977"/>
    <s v="LatLng(lat: 1.0473871, lng: 103.9567784)"/>
    <s v="SP-25-F0002438"/>
    <s v="BENI ANDIKA"/>
    <s v="BP 6724 CU"/>
    <x v="0"/>
    <s v="05.BOSPA"/>
    <s v=" "/>
    <n v="1"/>
    <s v="MH1JMB110RK124793"/>
    <s v="JMB1E1124543"/>
    <s v="HONDA"/>
    <s v="GENIO"/>
    <s v="HITAM"/>
    <s v="JG"/>
    <s v="GAGAL BAYAR"/>
    <n v="1"/>
    <n v="18"/>
    <x v="19"/>
    <s v="COLL"/>
    <x v="0"/>
    <x v="0"/>
    <m/>
  </r>
  <r>
    <n v="783"/>
    <d v="2025-11-13T10:48:35"/>
    <s v="74bb1709-aa7b-4b41-a082-a2af867fd15e"/>
    <s v="LatLng(lat: 1.0527848, lng: 103.9688947)"/>
    <s v="SP-24-F0001423"/>
    <s v="PARDI PANGGABEAN"/>
    <s v="BP 2977 RH"/>
    <x v="0"/>
    <s v="14.CALL CENTER"/>
    <s v="A"/>
    <n v="13"/>
    <s v="MH1JM0116NK525926"/>
    <s v="JM01E1524697"/>
    <s v="HONDA"/>
    <s v="SCOOPY"/>
    <s v="BIRU KREM"/>
    <s v="JG"/>
    <s v="BELUM JTO"/>
    <n v="16"/>
    <n v="24"/>
    <x v="7"/>
    <s v="COLL"/>
    <x v="0"/>
    <x v="0"/>
    <m/>
  </r>
  <r>
    <n v="784"/>
    <d v="2025-11-13T10:52:24"/>
    <s v="551fa799-4956-44f4-9122-ea915d0399f1"/>
    <s v="LatLng(lat: 1.0518837, lng: 103.9518999)"/>
    <s v="OD-24-F0002814"/>
    <s v="RICO RICARDO"/>
    <s v="BP 3886 MU"/>
    <x v="0"/>
    <s v="05.BOSPA"/>
    <s v="A"/>
    <n v="7"/>
    <s v="MH1KF4122MK176745"/>
    <s v="KF41E2180440"/>
    <s v="HONDA"/>
    <s v="VARIO 150"/>
    <s v="HITAM"/>
    <s v="JG"/>
    <s v="BELUM JTO"/>
    <n v="13"/>
    <n v="24"/>
    <x v="12"/>
    <s v="COLL"/>
    <x v="0"/>
    <x v="0"/>
    <m/>
  </r>
  <r>
    <n v="785"/>
    <d v="2025-11-13T10:52:31"/>
    <s v="51f658db-9885-4d52-99bd-8e1bf0356977"/>
    <s v="LatLng(lat: 1.047513, lng: 103.9547368)"/>
    <s v="OD-24-F0002860"/>
    <s v="RANGGA SAPUTRA"/>
    <s v="BP 3613 HM"/>
    <x v="0"/>
    <s v="05.BOSPA"/>
    <s v=" "/>
    <n v="10"/>
    <s v="MH1JM1113JK835144"/>
    <s v="JM11E1818196"/>
    <s v="HONDA"/>
    <s v="BEAT"/>
    <s v="BIRU PUTIH"/>
    <s v="JG"/>
    <s v="BELUM JTO"/>
    <n v="13"/>
    <n v="24"/>
    <x v="19"/>
    <s v="COLL"/>
    <x v="0"/>
    <x v="0"/>
    <m/>
  </r>
  <r>
    <n v="786"/>
    <d v="2025-11-13T11:05:56"/>
    <s v="e4173dd7-6d58-43a6-8f0e-8ad94c7a888a"/>
    <s v="LatLng(lat: 1.0440099, lng: 103.9812303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29"/>
    <s v="COLL"/>
    <x v="0"/>
    <x v="0"/>
    <m/>
  </r>
  <r>
    <n v="787"/>
    <d v="2025-11-13T11:08:05"/>
    <s v="b5e5eb90-c13c-42f2-8aa6-fb5964b939de"/>
    <s v="LatLng(lat: 1.0451733, lng: 103.968945)"/>
    <s v="SP-25-F0001019"/>
    <s v="SARAWEDYI SIMANJUNTAK"/>
    <s v="BP 3086 CC"/>
    <x v="0"/>
    <s v="14.CALL CENTER"/>
    <s v="A"/>
    <n v="7"/>
    <s v="MH1JM8120PK351247"/>
    <s v="JM81E2352638"/>
    <s v="HONDA"/>
    <s v="BEAT"/>
    <s v="MERAH-HITAM"/>
    <s v="JG"/>
    <s v="DONE"/>
    <n v="6"/>
    <n v="12"/>
    <x v="25"/>
    <s v="COLL"/>
    <x v="0"/>
    <x v="0"/>
    <m/>
  </r>
  <r>
    <n v="788"/>
    <d v="2025-11-13T11:09:51"/>
    <s v="551fa799-4956-44f4-9122-ea915d0399f1"/>
    <s v="LatLng(lat: 1.0479098, lng: 103.9380712)"/>
    <s v="SP-24-F0002802"/>
    <s v="JOVAN FRIANDI SIREGAR"/>
    <s v="BP 3236 RF"/>
    <x v="6"/>
    <s v="C"/>
    <s v=" "/>
    <n v="1"/>
    <s v="MH1KCD219MK011497"/>
    <s v="KCD2E1011454"/>
    <s v="HONDA"/>
    <s v="CB 150 R"/>
    <s v="SILVER"/>
    <s v="JG"/>
    <s v="BELUM JTO"/>
    <n v="11"/>
    <n v="18"/>
    <x v="12"/>
    <s v="COLL"/>
    <x v="0"/>
    <x v="0"/>
    <m/>
  </r>
  <r>
    <n v="789"/>
    <d v="2025-11-13T11:09:57"/>
    <s v="688868a7-408e-44ae-b238-348dfc1995b0"/>
    <s v="LatLng(lat: 1.0490643, lng: 103.9607748)"/>
    <s v="OD-25-F0001937"/>
    <s v="HARDIANSYAH LUBIS"/>
    <s v="BP 3811 CM"/>
    <x v="6"/>
    <s v="C"/>
    <s v=" "/>
    <n v="1"/>
    <s v="MH1KB1113JK153620"/>
    <s v="KB11E1153288"/>
    <s v="HONDA"/>
    <s v="SONIC"/>
    <s v="HITAM"/>
    <s v="JG"/>
    <s v="BELUM JTO"/>
    <n v="1"/>
    <n v="12"/>
    <x v="14"/>
    <s v="COLL"/>
    <x v="0"/>
    <x v="0"/>
    <m/>
  </r>
  <r>
    <n v="790"/>
    <d v="2025-11-13T11:14:02"/>
    <s v="551fa799-4956-44f4-9122-ea915d0399f1"/>
    <s v="LatLng(lat: 1.0482584, lng: 103.9383856)"/>
    <s v="OD-25-F0000009"/>
    <s v="BIMAYU ARIEN PRATAMA"/>
    <s v="BP 4340 QI"/>
    <x v="0"/>
    <s v="05.BOSPA"/>
    <s v="A"/>
    <n v="3"/>
    <s v="MH3SG3190JJ079019"/>
    <s v="G3E4E0781134"/>
    <s v="YAMAHA"/>
    <s v="NMAX"/>
    <s v="BIRU"/>
    <s v="JG"/>
    <s v="GAGAL BAYAR"/>
    <n v="10"/>
    <n v="24"/>
    <x v="12"/>
    <s v="COLL"/>
    <x v="0"/>
    <x v="0"/>
    <m/>
  </r>
  <r>
    <n v="791"/>
    <d v="2025-11-13T11:14:39"/>
    <s v="688868a7-408e-44ae-b238-348dfc1995b0"/>
    <s v="LatLng(lat: 1.0463897, lng: 103.9584519)"/>
    <s v="SP-25-F0001690"/>
    <s v="DARWIS"/>
    <s v="BP 5219 QA"/>
    <x v="0"/>
    <s v="12.JUBRAIDER S"/>
    <s v="A"/>
    <n v="14"/>
    <s v="MH3SE8890GJ147276"/>
    <s v="E3R2E1150142"/>
    <s v="YAMAHA"/>
    <s v="MIO Z"/>
    <s v="MERAH"/>
    <s v="JG"/>
    <s v="BELUM JTO"/>
    <n v="4"/>
    <n v="12"/>
    <x v="14"/>
    <s v="COLL"/>
    <x v="0"/>
    <x v="0"/>
    <m/>
  </r>
  <r>
    <n v="792"/>
    <d v="2025-11-13T11:14:45"/>
    <s v="b5e5eb90-c13c-42f2-8aa6-fb5964b939de"/>
    <s v="LatLng(lat: 1.0490567, lng: 103.953925)"/>
    <s v="SP-24-F0000896"/>
    <s v="KANISIUS DAMAN"/>
    <s v="BP 2874 QG"/>
    <x v="0"/>
    <s v="10.MIDUK"/>
    <s v="A"/>
    <n v="6"/>
    <s v="MH1JFP214GK295243"/>
    <s v="JFP2E1294936"/>
    <s v="HONDA"/>
    <s v="BEAT"/>
    <s v="MERAH"/>
    <s v="JG"/>
    <s v="BELUM JTO"/>
    <n v="18"/>
    <n v="24"/>
    <x v="25"/>
    <s v="COLL"/>
    <x v="0"/>
    <x v="0"/>
    <m/>
  </r>
  <r>
    <n v="793"/>
    <d v="2025-11-13T11:22:53"/>
    <s v="551fa799-4956-44f4-9122-ea915d0399f1"/>
    <s v="LatLng(lat: 1.0480988, lng: 103.9392455)"/>
    <s v="OD-24-F0002397"/>
    <s v="AGUS"/>
    <s v="BP 3704 UE"/>
    <x v="0"/>
    <s v="11.RIMPUN "/>
    <s v="A"/>
    <n v="23"/>
    <s v="MH1KCA215MK100952"/>
    <s v="KCA2E1096518"/>
    <s v="HONDA"/>
    <s v="CB 150 R"/>
    <s v="MERAH"/>
    <s v="JG"/>
    <s v="BELUM JTO"/>
    <n v="15"/>
    <n v="18"/>
    <x v="12"/>
    <s v="COLL"/>
    <x v="0"/>
    <x v="0"/>
    <m/>
  </r>
  <r>
    <n v="794"/>
    <d v="2025-11-13T11:26:57"/>
    <s v="74bb1709-aa7b-4b41-a082-a2af867fd15e"/>
    <s v="LatLng(lat: 1.0467783, lng: 103.9602633)"/>
    <s v="SP-25-F0002624"/>
    <s v="SHOLIHIN BURHANUDIN"/>
    <s v="BP 6369 GR"/>
    <x v="0"/>
    <s v="14.CALL CENTER"/>
    <s v=" "/>
    <n v="20"/>
    <s v="MH1JFZ211KK741787"/>
    <s v="JFZ2E1740636"/>
    <s v="HONDA"/>
    <s v="BEAT STREET"/>
    <s v="HITAM"/>
    <s v="JG"/>
    <s v="BELUM JTO"/>
    <n v="1"/>
    <n v="18"/>
    <x v="7"/>
    <s v="COLL"/>
    <x v="0"/>
    <x v="0"/>
    <m/>
  </r>
  <r>
    <n v="795"/>
    <d v="2025-11-13T11:28:20"/>
    <s v="1770dac3-81ca-4fab-8a6a-e60c63470def"/>
    <s v="LatLng(lat: 1.0533926, lng: 103.9666829)"/>
    <s v="SP-25-F0001487"/>
    <s v="AKBAR"/>
    <s v="BP 3739 OJ"/>
    <x v="0"/>
    <s v="11.RIMPUN "/>
    <s v="A"/>
    <n v="1"/>
    <s v="MH1JFP110FK980985"/>
    <s v="JFP1E1988075"/>
    <s v="HONDA"/>
    <s v="BEAT"/>
    <s v="PUTIH BIRU"/>
    <s v="JG"/>
    <s v="GAGAL BAYAR"/>
    <n v="4"/>
    <n v="12"/>
    <x v="21"/>
    <s v="COLL"/>
    <x v="0"/>
    <x v="0"/>
    <m/>
  </r>
  <r>
    <n v="796"/>
    <d v="2025-11-13T11:29:55"/>
    <s v="b5e5eb90-c13c-42f2-8aa6-fb5964b939de"/>
    <s v="LatLng(lat: 1.0536125, lng: 103.967127)"/>
    <s v="OD-25-F0000832"/>
    <s v="HAMZAH SUHAR ZINO HSB"/>
    <s v="BP 5273 OA"/>
    <x v="0"/>
    <s v="11.RIMPUN "/>
    <s v="A"/>
    <n v="1"/>
    <s v="MH1JMG117RK156203"/>
    <s v="JMG1E1156310"/>
    <s v="HONDA"/>
    <s v="BEAT STREET"/>
    <s v="HITAM"/>
    <s v="JG"/>
    <s v="DONE"/>
    <n v="7"/>
    <n v="18"/>
    <x v="25"/>
    <s v="COLL"/>
    <x v="0"/>
    <x v="0"/>
    <m/>
  </r>
  <r>
    <n v="797"/>
    <d v="2025-11-13T11:35:25"/>
    <s v="5d155998-3b32-426c-9f80-9898af00922a"/>
    <s v="LatLng(lat: 1.0493231, lng: 103.9572018)"/>
    <s v="OD-25-F0000505"/>
    <s v="WAHYUDI"/>
    <s v="BP 3235 QR"/>
    <x v="0"/>
    <s v="08.JOSRI"/>
    <s v=" "/>
    <n v="17"/>
    <s v="MH1JM1112HK221874"/>
    <s v="JM11E1203084"/>
    <s v="HONDA"/>
    <s v="BEAT"/>
    <s v="MAGENTA HITAM"/>
    <s v="JG"/>
    <s v="BELUM JTO"/>
    <n v="9"/>
    <n v="24"/>
    <x v="4"/>
    <s v="COLL"/>
    <x v="0"/>
    <x v="0"/>
    <m/>
  </r>
  <r>
    <n v="798"/>
    <d v="2025-11-13T11:36:12"/>
    <s v="5d155998-3b32-426c-9f80-9898af00922a"/>
    <s v="LatLng(lat: 1.0493231, lng: 103.9572018)"/>
    <s v="OD-24-F0002860"/>
    <s v="RANGGA SAPUTRA"/>
    <s v="BP 3613 HM"/>
    <x v="0"/>
    <s v="05.BOSPA"/>
    <s v=" "/>
    <n v="10"/>
    <s v="MH1JM1113JK835144"/>
    <s v="JM11E1818196"/>
    <s v="HONDA"/>
    <s v="BEAT"/>
    <s v="BIRU PUTIH"/>
    <s v="JG"/>
    <s v="BELUM JTO"/>
    <n v="13"/>
    <n v="24"/>
    <x v="4"/>
    <s v="COLL"/>
    <x v="0"/>
    <x v="0"/>
    <m/>
  </r>
  <r>
    <n v="799"/>
    <d v="2025-11-13T11:37:24"/>
    <s v="b5e5eb90-c13c-42f2-8aa6-fb5964b939de"/>
    <s v="LatLng(lat: 1.0538367, lng: 103.96735)"/>
    <s v="SP-25-F0000925"/>
    <s v="JEPRY HARIANJA"/>
    <s v="BP 2987 CU"/>
    <x v="0"/>
    <s v="05.BOSPA"/>
    <s v="A"/>
    <n v="1"/>
    <s v="MH1JM9116LK282278"/>
    <s v="JM91E1283112"/>
    <s v="HONDA"/>
    <s v="BEAT FI"/>
    <s v="MAGENTA HITAM"/>
    <s v="JG"/>
    <s v="GAGAL BAYAR"/>
    <n v="6"/>
    <n v="18"/>
    <x v="25"/>
    <s v="COLL"/>
    <x v="0"/>
    <x v="0"/>
    <m/>
  </r>
  <r>
    <n v="800"/>
    <d v="2025-11-13T13:14:47"/>
    <s v="86afd147-8c0b-48e4-aaf8-44ad72c52985"/>
    <s v="LatLng(lat: 1.0487459, lng: 103.9515621)"/>
    <s v="SP-25-F0001534"/>
    <s v="HENDRA SETIAWAN"/>
    <s v="BP 3913 RA"/>
    <x v="0"/>
    <s v="13.WILFRIN"/>
    <s v="A"/>
    <n v="8"/>
    <s v="MH1KF0119NK179496"/>
    <s v="KF01E1179276"/>
    <s v="HONDA"/>
    <s v="VARIO 160"/>
    <s v="HITAM"/>
    <s v="JG"/>
    <s v="BELUM JTO"/>
    <n v="4"/>
    <n v="12"/>
    <x v="15"/>
    <s v="COLL"/>
    <x v="0"/>
    <x v="0"/>
    <m/>
  </r>
  <r>
    <n v="801"/>
    <d v="2025-11-13T13:14:48"/>
    <s v="1770dac3-81ca-4fab-8a6a-e60c63470def"/>
    <s v="LatLng(lat: 1.0498706, lng: 103.9509448)"/>
    <s v="SP-25-F0001534"/>
    <s v="HENDRA SETIAWAN"/>
    <s v="BP 3913 RA"/>
    <x v="0"/>
    <s v="13.WILFRIN"/>
    <s v="A"/>
    <n v="8"/>
    <s v="MH1KF0119NK179496"/>
    <s v="KF01E1179276"/>
    <s v="HONDA"/>
    <s v="VARIO 160"/>
    <s v="HITAM"/>
    <s v="JG"/>
    <s v="BELUM JTO"/>
    <n v="4"/>
    <n v="12"/>
    <x v="21"/>
    <s v="COLL"/>
    <x v="0"/>
    <x v="0"/>
    <m/>
  </r>
  <r>
    <n v="802"/>
    <d v="2025-11-13T13:15:04"/>
    <s v="86afd147-8c0b-48e4-aaf8-44ad72c52985"/>
    <s v="LatLng(lat: 1.0487459, lng: 103.9515621)"/>
    <s v="OD-25-F0000671"/>
    <s v="FAUZAN AKBAR"/>
    <s v="BP 3952 AM"/>
    <x v="0"/>
    <s v="12.JUBRAIDER S"/>
    <s v="A"/>
    <n v="8"/>
    <s v="MH1JM3120KK767567"/>
    <s v="JM31E2762824"/>
    <s v="HONDA"/>
    <s v="SCOOPY"/>
    <s v="HITAM-SILVER"/>
    <s v="JG"/>
    <s v="BELUM JTO"/>
    <n v="8"/>
    <n v="24"/>
    <x v="15"/>
    <s v="COLL"/>
    <x v="0"/>
    <x v="0"/>
    <m/>
  </r>
  <r>
    <n v="803"/>
    <d v="2025-11-13T13:22:45"/>
    <s v="1770dac3-81ca-4fab-8a6a-e60c63470def"/>
    <s v="LatLng(lat: 1.0486139, lng: 103.9482667)"/>
    <s v="SP-25-F0001574"/>
    <s v="YUDI KARIYONO"/>
    <s v="BP 3997 RD"/>
    <x v="0"/>
    <s v="05.BOSPA"/>
    <s v="A"/>
    <n v="4"/>
    <s v="MH1JM8113MK816686"/>
    <s v="JM81E1818845"/>
    <s v="HONDA"/>
    <s v="BEAT"/>
    <s v="HITAM"/>
    <s v="JG"/>
    <s v="GAGAL BAYAR"/>
    <n v="4"/>
    <n v="12"/>
    <x v="21"/>
    <s v="COLL"/>
    <x v="0"/>
    <x v="0"/>
    <m/>
  </r>
  <r>
    <n v="804"/>
    <d v="2025-11-13T13:23:50"/>
    <s v="51f658db-9885-4d52-99bd-8e1bf0356977"/>
    <s v="LatLng(lat: 1.0448312, lng: 103.9501345)"/>
    <s v="SP-25-F0001715"/>
    <s v="HERI SUSANTO"/>
    <s v="BP 3012 RG"/>
    <x v="0"/>
    <s v="14.CALL CENTER"/>
    <s v="A"/>
    <n v="16"/>
    <s v="MH1JM8118NK856084"/>
    <s v="JM81E1858065"/>
    <s v="HONDA"/>
    <s v="BEAT FI"/>
    <s v="MERAH-HITAM"/>
    <s v="JG"/>
    <s v="BELUM JTO"/>
    <n v="4"/>
    <n v="24"/>
    <x v="19"/>
    <s v="COLL"/>
    <x v="0"/>
    <x v="0"/>
    <m/>
  </r>
  <r>
    <n v="805"/>
    <d v="2025-11-13T13:25:19"/>
    <s v="1770dac3-81ca-4fab-8a6a-e60c63470def"/>
    <s v="LatLng(lat: 1.0480497, lng: 103.9417199)"/>
    <s v="OD-25-F0000894"/>
    <s v="ABD. RAHMAN"/>
    <s v="BP 4810 QJ"/>
    <x v="0"/>
    <s v="12.JUBRAIDER S"/>
    <s v="A"/>
    <n v="7"/>
    <s v="MH3SEE410JJ046627"/>
    <s v="E3R2E1868361"/>
    <s v="YAMAHA"/>
    <s v="MIO S"/>
    <s v="HIJAU PUTIH"/>
    <s v="JG"/>
    <s v="DONE"/>
    <n v="7"/>
    <n v="24"/>
    <x v="21"/>
    <s v="COLL"/>
    <x v="0"/>
    <x v="0"/>
    <m/>
  </r>
  <r>
    <n v="806"/>
    <d v="2025-11-13T13:30:33"/>
    <s v="f0b79403-18b0-47dd-bacc-d76d9d60a28e"/>
    <s v="LatLng(lat: 1.0432884, lng: 103.9374208)"/>
    <s v="SP-25-F0001752"/>
    <s v="YOHANES NIPA"/>
    <s v="BP 2185 J"/>
    <x v="6"/>
    <s v="C"/>
    <s v=" "/>
    <n v="19"/>
    <s v="MH1JM8112MK637958"/>
    <s v="JM81E1639817"/>
    <s v="HONDA"/>
    <s v="BEAT"/>
    <s v="MERAH HITAM"/>
    <s v="JG"/>
    <s v="BELUM JTO"/>
    <n v="5"/>
    <n v="24"/>
    <x v="24"/>
    <s v="COLL"/>
    <x v="0"/>
    <x v="0"/>
    <m/>
  </r>
  <r>
    <n v="807"/>
    <d v="2025-11-13T13:32:35"/>
    <s v="b5e5eb90-c13c-42f2-8aa6-fb5964b939de"/>
    <s v="LatLng(lat: 1.0454883, lng: 103.937205)"/>
    <s v="SP-25-F0000846"/>
    <s v="MEGA MUSTIKA"/>
    <s v="BP 2694 AA"/>
    <x v="0"/>
    <s v="13.WILFRIN"/>
    <s v="A"/>
    <n v="15"/>
    <s v="MH1JM8120PK302288"/>
    <s v="JM81E2303380"/>
    <s v="HONDA"/>
    <s v="BEAT FI"/>
    <s v="HITAM"/>
    <s v="JG"/>
    <s v="BELUM JTO"/>
    <n v="7"/>
    <n v="12"/>
    <x v="25"/>
    <s v="COLL"/>
    <x v="0"/>
    <x v="0"/>
    <m/>
  </r>
  <r>
    <n v="808"/>
    <d v="2025-11-13T13:32:37"/>
    <s v="1770dac3-81ca-4fab-8a6a-e60c63470def"/>
    <s v="LatLng(lat: 1.0453752, lng: 103.9375356)"/>
    <s v="SP-25-F0000846"/>
    <s v="MEGA MUSTIKA"/>
    <s v="BP 2694 AA"/>
    <x v="0"/>
    <s v="13.WILFRIN"/>
    <s v="A"/>
    <n v="15"/>
    <s v="MH1JM8120PK302288"/>
    <s v="JM81E2303380"/>
    <s v="HONDA"/>
    <s v="BEAT FI"/>
    <s v="HITAM"/>
    <s v="JG"/>
    <s v="BELUM JTO"/>
    <n v="7"/>
    <n v="12"/>
    <x v="21"/>
    <s v="COLL"/>
    <x v="0"/>
    <x v="0"/>
    <m/>
  </r>
  <r>
    <n v="809"/>
    <d v="2025-11-13T13:38:27"/>
    <s v="1770dac3-81ca-4fab-8a6a-e60c63470def"/>
    <s v="LatLng(lat: 1.0470365, lng: 103.9364299)"/>
    <s v="SP-25-F0000344"/>
    <s v="JEFRINALDI"/>
    <s v="BP 4934 IU"/>
    <x v="0"/>
    <s v="12.JUBRAIDER S"/>
    <s v="A"/>
    <n v="12"/>
    <s v="MH1JM041XRK842738"/>
    <s v="JM04E1842749"/>
    <s v="HONDA"/>
    <s v="SCOOPY KEYLESS"/>
    <s v="HIJAU"/>
    <s v="JG"/>
    <s v="BELUM JTO"/>
    <n v="9"/>
    <n v="24"/>
    <x v="21"/>
    <s v="COLL"/>
    <x v="0"/>
    <x v="0"/>
    <m/>
  </r>
  <r>
    <n v="810"/>
    <d v="2025-11-13T13:42:01"/>
    <s v="1770dac3-81ca-4fab-8a6a-e60c63470def"/>
    <s v="LatLng(lat: 1.0476973, lng: 103.935443)"/>
    <s v="SP-25-F0002224"/>
    <s v="SAURIDO MENDROFA"/>
    <s v="BP 3926 UR"/>
    <x v="6"/>
    <s v="C"/>
    <s v=" "/>
    <n v="3"/>
    <s v="MH1JM3137LK524073"/>
    <s v="JM31E3521638"/>
    <s v="HONDA"/>
    <s v="SCOOPY"/>
    <s v="COKLAT HITAM"/>
    <s v="JG"/>
    <s v="BELUM JTO"/>
    <n v="3"/>
    <n v="12"/>
    <x v="21"/>
    <s v="COLL"/>
    <x v="0"/>
    <x v="0"/>
    <m/>
  </r>
  <r>
    <n v="811"/>
    <d v="2025-11-13T13:42:02"/>
    <s v="b5e5eb90-c13c-42f2-8aa6-fb5964b939de"/>
    <s v="LatLng(lat: 1.04771, lng: 103.9356317)"/>
    <s v="SP-25-F0002224"/>
    <s v="SAURIDO MENDROFA"/>
    <s v="BP 3926 UR"/>
    <x v="6"/>
    <s v="C"/>
    <s v=" "/>
    <n v="3"/>
    <s v="MH1JM3137LK524073"/>
    <s v="JM31E3521638"/>
    <s v="HONDA"/>
    <s v="SCOOPY"/>
    <s v="COKLAT HITAM"/>
    <s v="JG"/>
    <s v="BELUM JTO"/>
    <n v="3"/>
    <n v="12"/>
    <x v="25"/>
    <s v="COLL"/>
    <x v="0"/>
    <x v="0"/>
    <m/>
  </r>
  <r>
    <n v="812"/>
    <d v="2025-11-13T13:43:12"/>
    <s v="e0d931cf-6e64-4a91-a81a-04cf02d33a39"/>
    <s v="LatLng(lat: 1.047385, lng: 103.9660217)"/>
    <s v="OD-25-F0001697"/>
    <s v="AFIQ HIDAYATULLAH SUHADI"/>
    <s v="BP 3027 RJ"/>
    <x v="0"/>
    <s v="14.CALL CENTER"/>
    <s v=" "/>
    <n v="12"/>
    <s v="MH1JM512XNK110775"/>
    <s v="JM51E2109792"/>
    <s v="HONDA"/>
    <s v="VARIO 125"/>
    <s v="BIRU"/>
    <s v="JG"/>
    <s v="BELUM JTO"/>
    <n v="2"/>
    <n v="18"/>
    <x v="13"/>
    <s v="COLL"/>
    <x v="0"/>
    <x v="0"/>
    <m/>
  </r>
  <r>
    <n v="813"/>
    <d v="2025-11-13T13:47:15"/>
    <s v="551fa799-4956-44f4-9122-ea915d0399f1"/>
    <s v="LatLng(lat: 1.0349, lng: 103.92683)"/>
    <s v="SP-25-F0002264"/>
    <s v="SEPRINO"/>
    <s v="BP 3353 UF"/>
    <x v="0"/>
    <s v="14.CALL CENTER"/>
    <s v=" "/>
    <n v="9"/>
    <s v="MH1KF4119KK822335"/>
    <s v="KF41E1824822"/>
    <s v="HONDA"/>
    <s v="VARIO 150 CC KEYLESH"/>
    <s v="BIRU"/>
    <s v="JG"/>
    <s v="BELUM JTO"/>
    <n v="2"/>
    <n v="24"/>
    <x v="12"/>
    <s v="COLL"/>
    <x v="0"/>
    <x v="0"/>
    <m/>
  </r>
  <r>
    <n v="814"/>
    <d v="2025-11-13T13:47:21"/>
    <s v="5d155998-3b32-426c-9f80-9898af00922a"/>
    <s v="LatLng(lat: 1.0346593, lng: 103.9269007)"/>
    <s v="SP-25-F0002264"/>
    <s v="SEPRINO"/>
    <s v="BP 3353 UF"/>
    <x v="0"/>
    <s v="14.CALL CENTER"/>
    <s v=" "/>
    <n v="9"/>
    <s v="MH1KF4119KK822335"/>
    <s v="KF41E1824822"/>
    <s v="HONDA"/>
    <s v="VARIO 150 CC KEYLESH"/>
    <s v="BIRU"/>
    <s v="JG"/>
    <s v="BELUM JTO"/>
    <n v="2"/>
    <n v="24"/>
    <x v="4"/>
    <s v="COLL"/>
    <x v="0"/>
    <x v="0"/>
    <m/>
  </r>
  <r>
    <n v="815"/>
    <d v="2025-11-13T13:50:00"/>
    <s v="1770dac3-81ca-4fab-8a6a-e60c63470def"/>
    <s v="LatLng(lat: 1.0482284, lng: 103.9333652)"/>
    <s v="OD-25-F0001354"/>
    <s v="ALBERTUS BAI"/>
    <s v="BP 4542 QF"/>
    <x v="0"/>
    <s v="14.CALL CENTER"/>
    <s v="A"/>
    <n v="12"/>
    <s v="MH3SG3120HK316891"/>
    <s v="G3E4E0446932"/>
    <s v="YAMAHA"/>
    <s v="NMAX ABS"/>
    <s v="MERAH"/>
    <s v="JG"/>
    <s v="BELUM JTO"/>
    <n v="4"/>
    <n v="18"/>
    <x v="21"/>
    <s v="COLL"/>
    <x v="0"/>
    <x v="0"/>
    <m/>
  </r>
  <r>
    <n v="816"/>
    <d v="2025-11-13T13:50:14"/>
    <s v="e3a70ada-a915-4680-aaa7-28e4b7d6722b"/>
    <s v="LatLng(lat: 1.1687893, lng: 104.0099483)"/>
    <s v="SP-25-F0002046"/>
    <s v="SULAIMAN GUNTUR"/>
    <s v="BP 4267 AO"/>
    <x v="0"/>
    <s v="13.WILFRIN"/>
    <s v="A"/>
    <n v="14"/>
    <s v="MH3SE88H0NJ422815"/>
    <s v="E3R2E3264413"/>
    <s v="YAMAHA"/>
    <s v="MIO M3"/>
    <s v="HITAM"/>
    <s v="JG"/>
    <s v="BELUM JTO"/>
    <n v="3"/>
    <n v="12"/>
    <x v="37"/>
    <s v="COLL"/>
    <x v="0"/>
    <x v="0"/>
    <m/>
  </r>
  <r>
    <n v="817"/>
    <d v="2025-11-13T13:53:17"/>
    <s v="1770dac3-81ca-4fab-8a6a-e60c63470def"/>
    <s v="LatLng(lat: 1.0472773, lng: 103.9314444)"/>
    <s v="OD-24-F0002614"/>
    <s v="AHMAD BACOK"/>
    <s v="BP 4468 QQ"/>
    <x v="0"/>
    <s v="12.JUBRAIDER S"/>
    <s v="D"/>
    <n v="12"/>
    <s v="MH3SE88H0KJ058831"/>
    <s v="E3R2E2327427"/>
    <s v="YAMAHA"/>
    <s v="MIO"/>
    <s v="BIRU"/>
    <s v="JG"/>
    <s v="BELUM JTO"/>
    <n v="14"/>
    <n v="18"/>
    <x v="21"/>
    <s v="COLL"/>
    <x v="0"/>
    <x v="0"/>
    <m/>
  </r>
  <r>
    <n v="818"/>
    <d v="2025-11-13T13:53:57"/>
    <s v="5d155998-3b32-426c-9f80-9898af00922a"/>
    <s v="LatLng(lat: 1.0261067, lng: 103.9257725)"/>
    <s v="OD-25-F0001206"/>
    <s v="MUHAMMAD MUSABILILAH"/>
    <s v="BP 5114 CU"/>
    <x v="7"/>
    <s v="EVENDI"/>
    <s v=" "/>
    <n v="7"/>
    <s v="MH1JM8228RK130402"/>
    <s v="JM82E2131175"/>
    <s v="HONDA"/>
    <s v="BEAT STREET"/>
    <s v="SILVER"/>
    <s v="JG"/>
    <s v="GAGAL BAYAR"/>
    <n v="4"/>
    <n v="18"/>
    <x v="4"/>
    <s v="COLL"/>
    <x v="4"/>
    <x v="1"/>
    <m/>
  </r>
  <r>
    <n v="819"/>
    <d v="2025-11-13T13:57:16"/>
    <s v="74bb1709-aa7b-4b41-a082-a2af867fd15e"/>
    <s v="LatLng(lat: 1.0377264, lng: 103.9266283)"/>
    <s v="SP-25-F0002264"/>
    <s v="SEPRINO"/>
    <s v="BP 3353 UF"/>
    <x v="0"/>
    <s v="14.CALL CENTER"/>
    <s v=" "/>
    <n v="9"/>
    <s v="MH1KF4119KK822335"/>
    <s v="KF41E1824822"/>
    <s v="HONDA"/>
    <s v="VARIO 150 CC KEYLESH"/>
    <s v="BIRU"/>
    <s v="JG"/>
    <s v="BELUM JTO"/>
    <n v="2"/>
    <n v="24"/>
    <x v="7"/>
    <s v="COLL"/>
    <x v="0"/>
    <x v="0"/>
    <m/>
  </r>
  <r>
    <n v="820"/>
    <d v="2025-11-13T13:58:23"/>
    <s v="1770dac3-81ca-4fab-8a6a-e60c63470def"/>
    <s v="LatLng(lat: 1.0462782, lng: 103.93008)"/>
    <s v="OD-24-F0003585"/>
    <s v="MARIO VIKTORIUS NEHE"/>
    <s v="BP 5739 JR"/>
    <x v="0"/>
    <s v="14.CALL CENTER"/>
    <s v="A"/>
    <n v="1"/>
    <s v="MH31PA004EK767322"/>
    <s v="1PA766852"/>
    <s v="YAMAHA"/>
    <s v="VIXION"/>
    <s v="PUTIH"/>
    <s v="JG"/>
    <s v="DONE"/>
    <n v="10"/>
    <n v="12"/>
    <x v="21"/>
    <s v="COLL"/>
    <x v="0"/>
    <x v="0"/>
    <m/>
  </r>
  <r>
    <n v="821"/>
    <d v="2025-11-13T14:04:09"/>
    <s v="78c8aa58-d259-49a1-a96c-192417985ecf"/>
    <s v="LatLng(lat: 1.0492077, lng: 103.9437325)"/>
    <s v="OD-25-F0000894"/>
    <s v="ABD. RAHMAN"/>
    <s v="BP 4810 QJ"/>
    <x v="0"/>
    <s v="12.JUBRAIDER S"/>
    <s v="A"/>
    <n v="7"/>
    <s v="MH3SEE410JJ046627"/>
    <s v="E3R2E1868361"/>
    <s v="YAMAHA"/>
    <s v="MIO S"/>
    <s v="HIJAU PUTIH"/>
    <s v="JG"/>
    <s v="DONE"/>
    <n v="7"/>
    <n v="24"/>
    <x v="16"/>
    <s v="COLL"/>
    <x v="0"/>
    <x v="0"/>
    <m/>
  </r>
  <r>
    <n v="822"/>
    <d v="2025-11-13T14:14:53"/>
    <s v="1770dac3-81ca-4fab-8a6a-e60c63470def"/>
    <s v="LatLng(lat: 1.036643, lng: 103.9563599)"/>
    <s v="SP-25-F0002335"/>
    <s v="REYN ANDREW JONATHAN"/>
    <s v="BP 2274 AA"/>
    <x v="0"/>
    <s v="13.WILFRIN"/>
    <s v=" "/>
    <n v="16"/>
    <s v="MH1JM8215PK749317"/>
    <s v="JM82E174212"/>
    <s v="HONDA"/>
    <s v="BEAT STREET"/>
    <s v="HITAM"/>
    <s v="JG"/>
    <s v="BELUM JTO"/>
    <n v="2"/>
    <n v="12"/>
    <x v="21"/>
    <s v="COLL"/>
    <x v="0"/>
    <x v="0"/>
    <m/>
  </r>
  <r>
    <n v="823"/>
    <d v="2025-11-13T14:24:48"/>
    <s v="688868a7-408e-44ae-b238-348dfc1995b0"/>
    <s v="LatLng(lat: 1.0361013, lng: 103.956056)"/>
    <s v="SP-24-F0001740"/>
    <s v="SUNANTO SE"/>
    <s v="BP 2705 UJ"/>
    <x v="0"/>
    <s v="09.OLOAN"/>
    <s v="A"/>
    <n v="22"/>
    <s v="MH1JBN114MK201987"/>
    <s v="JBN1E1202017"/>
    <s v="HONDA"/>
    <s v="SUPRA X"/>
    <s v="MERAH-HITAM"/>
    <s v="JG"/>
    <s v="BELUM JTO"/>
    <n v="15"/>
    <n v="18"/>
    <x v="14"/>
    <s v="COLL"/>
    <x v="0"/>
    <x v="0"/>
    <m/>
  </r>
  <r>
    <n v="824"/>
    <d v="2025-11-13T14:36:22"/>
    <s v="78c8aa58-d259-49a1-a96c-192417985ecf"/>
    <s v="LatLng(lat: 1.0261177, lng: 103.9257477)"/>
    <s v="SP-24-F0002630"/>
    <s v="HAMZAH"/>
    <s v="BP 2661 IG"/>
    <x v="3"/>
    <s v="PAUL"/>
    <s v=" "/>
    <n v="6"/>
    <s v="MH1JFD219DK282112"/>
    <s v="JFD2E1281075"/>
    <s v="HONDA"/>
    <s v="BEAT"/>
    <s v="BIRU PUTIH"/>
    <s v="JG"/>
    <s v="GAGAL BAYAR"/>
    <n v="9"/>
    <n v="18"/>
    <x v="16"/>
    <s v="COLL"/>
    <x v="6"/>
    <x v="0"/>
    <m/>
  </r>
  <r>
    <n v="825"/>
    <d v="2025-11-13T15:08:22"/>
    <s v="65c1341a-686d-45fb-810f-7b8814abe13f"/>
    <s v="LatLng(lat: 1.1433601, lng: 104.0201887)"/>
    <s v="OD-25-F0001280"/>
    <s v="ADI PUTRA"/>
    <s v="BP 4161 QF"/>
    <x v="0"/>
    <s v="06.ROBEN"/>
    <s v="A"/>
    <n v="26"/>
    <s v="MH3RG4110HK039037"/>
    <s v="G3H2E0039017"/>
    <s v="YAMAHA"/>
    <s v="R15 V2"/>
    <s v="BIRU"/>
    <s v="JG"/>
    <s v="BELUM JTO"/>
    <n v="5"/>
    <n v="24"/>
    <x v="23"/>
    <s v="COLL"/>
    <x v="0"/>
    <x v="0"/>
    <m/>
  </r>
  <r>
    <n v="826"/>
    <d v="2025-11-13T15:26:55"/>
    <s v="5d155998-3b32-426c-9f80-9898af00922a"/>
    <s v="LatLng(lat: 1.0261402, lng: 103.9256804)"/>
    <s v="OD-25-F0000551"/>
    <s v="RONALD HUTASOIT"/>
    <s v="BP 5296 AI"/>
    <x v="0"/>
    <s v="12.JUBRAIDER S"/>
    <s v="A"/>
    <n v="24"/>
    <s v="MH3RG4710MK157571"/>
    <s v="G3J6E0327365"/>
    <s v="YAMAHA"/>
    <s v="R15 V3"/>
    <s v="HITAM"/>
    <s v="JG"/>
    <s v="BELUM JTO"/>
    <n v="9"/>
    <n v="12"/>
    <x v="4"/>
    <s v="COLL"/>
    <x v="0"/>
    <x v="0"/>
    <m/>
  </r>
  <r>
    <n v="827"/>
    <d v="2025-11-13T15:27:56"/>
    <s v="74bb1709-aa7b-4b41-a082-a2af867fd15e"/>
    <s v="LatLng(lat: 1.026485, lng: 103.9255386)"/>
    <s v="SP-25-F0002338"/>
    <s v="ALDI PHIRAWANDI"/>
    <s v="BP 2391 RH"/>
    <x v="0"/>
    <s v="14.CALL CENTER"/>
    <s v=" "/>
    <n v="19"/>
    <s v="MH1JM0117NK507421"/>
    <s v="JM01E1504246"/>
    <s v="HONDA"/>
    <s v="SCOOPY NON KEYLESS"/>
    <s v="HITAM-ORANGE"/>
    <s v="JG"/>
    <s v="BELUM JTO"/>
    <n v="2"/>
    <n v="24"/>
    <x v="7"/>
    <s v="COLL"/>
    <x v="0"/>
    <x v="0"/>
    <m/>
  </r>
  <r>
    <n v="828"/>
    <d v="2025-11-13T15:35:52"/>
    <s v="74bb1709-aa7b-4b41-a082-a2af867fd15e"/>
    <s v="LatLng(lat: 1.026215, lng: 103.9256935)"/>
    <s v="OD-25-F0000551"/>
    <s v="RONALD HUTASOIT"/>
    <s v="BP 5296 AI"/>
    <x v="0"/>
    <s v="12.JUBRAIDER S"/>
    <s v="A"/>
    <n v="24"/>
    <s v="MH3RG4710MK157571"/>
    <s v="G3J6E0327365"/>
    <s v="YAMAHA"/>
    <s v="R15 V3"/>
    <s v="HITAM"/>
    <s v="JG"/>
    <s v="BELUM JTO"/>
    <n v="9"/>
    <n v="12"/>
    <x v="7"/>
    <s v="COLL"/>
    <x v="0"/>
    <x v="0"/>
    <m/>
  </r>
  <r>
    <n v="829"/>
    <d v="2025-11-13T16:30:46"/>
    <s v="f0b79403-18b0-47dd-bacc-d76d9d60a28e"/>
    <s v="LatLng(lat: 1.0269294, lng: 103.9588632)"/>
    <s v="SP-24-F0002743"/>
    <s v="CHRESTINA JUNI PRASETYA AGUSTIN"/>
    <s v="BP 3066 UO"/>
    <x v="0"/>
    <s v="12.JUBRAIDER S"/>
    <s v="A"/>
    <n v="21"/>
    <s v="MH1JM0116MK254896"/>
    <s v="JM01E1252844"/>
    <s v="HONDA"/>
    <s v="SCOOPY NON KEYLESS"/>
    <s v="HITAM"/>
    <s v="JG"/>
    <s v="BELUM JTO"/>
    <n v="11"/>
    <n v="12"/>
    <x v="24"/>
    <s v="COLL"/>
    <x v="0"/>
    <x v="0"/>
    <m/>
  </r>
  <r>
    <n v="830"/>
    <d v="2025-11-13T16:40:05"/>
    <s v="a4f24bfd-45be-407a-a9ce-5da8e226108b"/>
    <s v="LatLng(lat: 0.9108777, lng: 104.4930538)"/>
    <s v="TP-25-F0000651"/>
    <s v="ANDI KURNIAWAN"/>
    <s v="BP 2913 WR"/>
    <x v="0"/>
    <s v="14.CALL CENTER"/>
    <s v=" "/>
    <n v="18"/>
    <s v="MH1JFD114DK056772"/>
    <s v="JFD1E1056800"/>
    <s v="HONDA"/>
    <s v="BEAT CW"/>
    <s v="HITAM"/>
    <s v="JG"/>
    <s v="BELUM JTO"/>
    <n v="2"/>
    <n v="12"/>
    <x v="2"/>
    <s v="COLL"/>
    <x v="1"/>
    <x v="0"/>
    <m/>
  </r>
  <r>
    <n v="831"/>
    <d v="2025-11-13T16:41:09"/>
    <s v="a4f24bfd-45be-407a-a9ce-5da8e226108b"/>
    <s v="LatLng(lat: 0.9108496, lng: 104.493054)"/>
    <s v="TP-25-F0000719"/>
    <s v="RIKY SAPUTRA"/>
    <s v="BP 5724 TD"/>
    <x v="0"/>
    <s v="14.CALL CENTER"/>
    <s v=" "/>
    <n v="15"/>
    <s v="MH1KF7116RK847706"/>
    <s v="KF71E1847803"/>
    <s v="HONDA"/>
    <s v="PCX"/>
    <s v="HITAM"/>
    <s v="JG"/>
    <s v="BELUM JTO"/>
    <n v="1"/>
    <n v="24"/>
    <x v="2"/>
    <s v="COLL"/>
    <x v="1"/>
    <x v="0"/>
    <m/>
  </r>
  <r>
    <n v="832"/>
    <d v="2025-11-13T17:19:58"/>
    <s v="702dc462-24c0-4894-b1c2-8bb9fe7a2806"/>
    <s v="LatLng(lat: 1.0455017, lng: 103.9373283)"/>
    <s v="SP-25-F0000846"/>
    <s v="MEGA MUSTIKA"/>
    <s v="BP 2694 AA"/>
    <x v="0"/>
    <s v="13.WILFRIN"/>
    <s v="A"/>
    <n v="15"/>
    <s v="MH1JM8120PK302288"/>
    <s v="JM81E2303380"/>
    <s v="HONDA"/>
    <s v="BEAT FI"/>
    <s v="HITAM"/>
    <s v="JG"/>
    <s v="BELUM JTO"/>
    <n v="7"/>
    <n v="12"/>
    <x v="36"/>
    <s v="COLL"/>
    <x v="0"/>
    <x v="0"/>
    <m/>
  </r>
  <r>
    <n v="833"/>
    <d v="2025-11-13T17:22:38"/>
    <s v="702dc462-24c0-4894-b1c2-8bb9fe7a2806"/>
    <s v="LatLng(lat: 1.0454717, lng: 103.9370367)"/>
    <s v="OD-25-F0000043"/>
    <s v="ROSMADI"/>
    <s v="BP 5490 JI"/>
    <x v="0"/>
    <s v="14.CALL CENTER"/>
    <s v="A"/>
    <n v="7"/>
    <s v="MH32BJ001DJ119694"/>
    <s v="2BJ119711"/>
    <s v="YAMAHA"/>
    <s v="MIO GT"/>
    <s v="PUTIH"/>
    <s v="JG"/>
    <s v="BELUM JTO"/>
    <n v="10"/>
    <n v="12"/>
    <x v="36"/>
    <s v="COLL"/>
    <x v="0"/>
    <x v="0"/>
    <m/>
  </r>
  <r>
    <n v="834"/>
    <d v="2025-11-13T17:27:54"/>
    <s v="702dc462-24c0-4894-b1c2-8bb9fe7a2806"/>
    <s v="LatLng(lat: 1.046135, lng: 103.929605)"/>
    <s v="OD-25-F0000770"/>
    <s v="SAODAH"/>
    <s v="BP 3398 AJ"/>
    <x v="0"/>
    <s v="14.CALL CENTER"/>
    <s v="A"/>
    <n v="17"/>
    <s v="MH1JFZ139KK372986"/>
    <s v="JFZ1E3373066"/>
    <s v="HONDA"/>
    <s v="BEAT"/>
    <s v="HITAM"/>
    <s v="JG"/>
    <s v="BELUM JTO"/>
    <n v="8"/>
    <n v="12"/>
    <x v="36"/>
    <s v="COLL"/>
    <x v="0"/>
    <x v="0"/>
    <m/>
  </r>
  <r>
    <n v="835"/>
    <d v="2025-11-13T17:46:06"/>
    <s v="688868a7-408e-44ae-b238-348dfc1995b0"/>
    <s v="LatLng(lat: 1.0390128, lng: 103.9376007)"/>
    <s v="OD-24-F0003055"/>
    <s v="SUYETNO"/>
    <s v="BP 4528 AU"/>
    <x v="0"/>
    <s v="10.MIDUK"/>
    <s v="A"/>
    <n v="1"/>
    <s v="MH1JME115RK040325"/>
    <s v="JME1E040059"/>
    <s v="HONDA"/>
    <s v="BEAT"/>
    <s v="HITAM"/>
    <s v="JG"/>
    <s v="LUNAS"/>
    <n v="12"/>
    <n v="12"/>
    <x v="14"/>
    <s v="COLL"/>
    <x v="0"/>
    <x v="0"/>
    <m/>
  </r>
  <r>
    <n v="836"/>
    <d v="2025-11-13T18:27:22"/>
    <s v="6d21de4b-42fc-49f2-86f3-40a2a9759695"/>
    <s v="LatLng(lat: 0.849807, lng: 104.6096899)"/>
    <s v="TP-25-F0000641"/>
    <s v="YUSNEDI"/>
    <s v="BP 5438 CT"/>
    <x v="0"/>
    <s v="14.CALL CENTER"/>
    <s v=""/>
    <n v="15"/>
    <s v="MH3SE88D0JJ127805"/>
    <s v="E3R2E2250760"/>
    <s v="YAMAHA"/>
    <s v="FINO"/>
    <s v="HIJAU"/>
    <s v="JG"/>
    <s v="BELUM JTO"/>
    <n v="2"/>
    <n v="24"/>
    <x v="0"/>
    <s v="COLL"/>
    <x v="0"/>
    <x v="0"/>
    <m/>
  </r>
  <r>
    <n v="837"/>
    <d v="2025-11-13T20:04:30"/>
    <s v="6d21de4b-42fc-49f2-86f3-40a2a9759695"/>
    <s v="LatLng(lat: 0.9116257, lng: 104.493402)"/>
    <s v="TP-25-F0000714"/>
    <s v="ELITA SETIAWATI"/>
    <s v="BP 2868 UB"/>
    <x v="0"/>
    <s v="14.CALL CENTER"/>
    <s v=""/>
    <n v="15"/>
    <s v="MH1KF411XKK742509"/>
    <s v="KF41E1745199"/>
    <s v="HONDA"/>
    <s v="VARIO 150 KEYLESS"/>
    <s v="MERAH"/>
    <s v="JG"/>
    <s v="BELUM JTO"/>
    <n v="1"/>
    <n v="24"/>
    <x v="0"/>
    <s v="COLL"/>
    <x v="0"/>
    <x v="0"/>
    <m/>
  </r>
  <r>
    <n v="838"/>
    <d v="2025-11-14T07:59:46"/>
    <s v="97b899c7-a738-4c0c-a57d-47d1be720bd2"/>
    <s v="LatLng(lat: 1.070599, lng: 104.0252581)"/>
    <s v="OD-25-F0001082"/>
    <s v="NORDIN"/>
    <s v="BP 3104 AI"/>
    <x v="0"/>
    <s v="07.RINTO"/>
    <s v="A"/>
    <n v="13"/>
    <s v="MH1JM1120KK202658"/>
    <s v="JM11E2184889"/>
    <s v="HONDA"/>
    <s v="BEAT"/>
    <s v="BIRU HITAM"/>
    <s v="JG"/>
    <s v="BELUM JTO"/>
    <n v="6"/>
    <n v="24"/>
    <x v="5"/>
    <s v="COLL"/>
    <x v="0"/>
    <x v="0"/>
    <m/>
  </r>
  <r>
    <n v="839"/>
    <d v="2025-11-14T08:33:39"/>
    <s v="dcc6f40b-a9a1-43d4-bd37-f0019f505bcd"/>
    <s v="LatLng(lat: 1.0407147, lng: 103.9875069)"/>
    <s v="SP-25-F0002635"/>
    <s v="MIRAJIAH"/>
    <s v="BP 2752 AF"/>
    <x v="0"/>
    <s v="14.CALL CENTER"/>
    <s v=""/>
    <n v="22"/>
    <s v="MH1JFZ132KK158227"/>
    <s v="JFZ1E3157429"/>
    <s v="HONDA"/>
    <s v="BEAT DIGITAL"/>
    <s v="HITAM"/>
    <s v="JG"/>
    <s v="BELUM JTO"/>
    <n v="1"/>
    <n v="12"/>
    <x v="9"/>
    <s v="COLL"/>
    <x v="0"/>
    <x v="0"/>
    <m/>
  </r>
  <r>
    <n v="840"/>
    <d v="2025-11-14T08:34:42"/>
    <s v="a4f24bfd-45be-407a-a9ce-5da8e226108b"/>
    <s v="LatLng(lat: 0.9289584, lng: 104.4423725)"/>
    <s v="SP-25-F0000667"/>
    <s v="RISKA JOHARA"/>
    <s v="BP 3387 UP"/>
    <x v="15"/>
    <s v="PAUL"/>
    <s v=""/>
    <n v="21"/>
    <s v="MH1JM8213PK904706"/>
    <s v="JM82E1904212"/>
    <s v="HONDA"/>
    <s v="BEAT STREET"/>
    <s v="HITAM"/>
    <s v="JG"/>
    <s v="GAGAL BAYAR"/>
    <n v="6"/>
    <n v="18"/>
    <x v="2"/>
    <s v="COLL"/>
    <x v="1"/>
    <x v="0"/>
    <m/>
  </r>
  <r>
    <n v="841"/>
    <d v="2025-11-14T10:39:10"/>
    <s v="e4173dd7-6d58-43a6-8f0e-8ad94c7a888a"/>
    <s v="LatLng(lat: 1.0464765, lng: 103.9407234)"/>
    <s v="OD-24-F0001483"/>
    <s v="HENAR SETIYANINGSIH"/>
    <s v="BP 5080 QD"/>
    <x v="0"/>
    <s v="05.BOSPA"/>
    <s v="A"/>
    <n v="4"/>
    <s v="MH3UG0710GK166296"/>
    <s v="G3E6E0231261"/>
    <s v="YAMAHA"/>
    <s v="MX KING"/>
    <s v="BIRU"/>
    <s v="JG"/>
    <s v="GAGAL BAYAR"/>
    <n v="17"/>
    <n v="18"/>
    <x v="29"/>
    <s v="COLL"/>
    <x v="0"/>
    <x v="0"/>
    <m/>
  </r>
  <r>
    <n v="842"/>
    <d v="2025-11-14T11:29:40"/>
    <s v="6d21de4b-42fc-49f2-86f3-40a2a9759695"/>
    <s v="LatLng(lat: 0.9135052, lng: 104.4916908)"/>
    <s v="TP-25-F0000443"/>
    <s v="HENDRIK PRIYONO"/>
    <s v="BP 4928 WR"/>
    <x v="0"/>
    <s v="14.CALL CENTER"/>
    <s v="A"/>
    <n v="17"/>
    <s v="MH3SE8860GJ049753"/>
    <s v="E3R2E1210521"/>
    <s v="YAMAHA"/>
    <s v="MIO M3"/>
    <s v="HIJAU"/>
    <s v="JG"/>
    <s v="BELUM JTO"/>
    <n v="5"/>
    <n v="24"/>
    <x v="0"/>
    <s v="COLL"/>
    <x v="0"/>
    <x v="0"/>
    <m/>
  </r>
  <r>
    <n v="843"/>
    <d v="2025-11-14T12:09:22"/>
    <s v="74bb1709-aa7b-4b41-a082-a2af867fd15e"/>
    <s v="LatLng(lat: 1.0460765, lng: 103.9600223)"/>
    <s v="SP-25-F0002357"/>
    <s v="KARTINA DARMA PUTRI"/>
    <s v="BP 2446 M"/>
    <x v="0"/>
    <s v="14.CALL CENTER"/>
    <s v=""/>
    <n v="20"/>
    <s v="MH1JM0110MK140487"/>
    <s v="JM01E1143036"/>
    <s v="HONDA"/>
    <s v="SCOOPY NON KEYLESS"/>
    <s v="BIRU"/>
    <s v="JG"/>
    <s v="BELUM JTO"/>
    <n v="2"/>
    <n v="24"/>
    <x v="7"/>
    <s v="COLL"/>
    <x v="0"/>
    <x v="0"/>
    <m/>
  </r>
  <r>
    <n v="844"/>
    <d v="2025-11-14T12:11:24"/>
    <s v="74bb1709-aa7b-4b41-a082-a2af867fd15e"/>
    <s v="LatLng(lat: 1.0499565, lng: 103.9474783)"/>
    <s v="SP-25-F0001806"/>
    <s v="ANDI CAHYONO"/>
    <s v="BP 2956 P"/>
    <x v="0"/>
    <s v="08.JOSRI"/>
    <s v="A"/>
    <n v="25"/>
    <s v="MH1JM9138PK421639"/>
    <s v="JM91E3416735"/>
    <s v="HONDA"/>
    <s v="BEAT FI"/>
    <s v="BIRU"/>
    <s v="JG"/>
    <s v="BELUM JTO"/>
    <n v="4"/>
    <n v="24"/>
    <x v="7"/>
    <s v="COLL"/>
    <x v="0"/>
    <x v="0"/>
    <m/>
  </r>
  <r>
    <n v="845"/>
    <d v="2025-11-14T12:17:59"/>
    <s v="551fa799-4956-44f4-9122-ea915d0399f1"/>
    <s v="LatLng(lat: 1.040066, lng: 103.9265684)"/>
    <s v="OD-24-F0003484"/>
    <s v="SYAMSUN YUSUF"/>
    <s v="BP 4684 AC"/>
    <x v="0"/>
    <s v="14.CALL CENTER"/>
    <s v="A"/>
    <n v="19"/>
    <s v="MH3SE88H0KJ080283"/>
    <s v="E3R2E2381977"/>
    <s v="YAMAHA"/>
    <s v="MIO 125"/>
    <s v="KUNING"/>
    <s v="JG"/>
    <s v="BELUM JTO"/>
    <n v="11"/>
    <n v="18"/>
    <x v="12"/>
    <s v="COLL"/>
    <x v="0"/>
    <x v="0"/>
    <m/>
  </r>
  <r>
    <n v="846"/>
    <d v="2025-11-14T12:21:56"/>
    <s v="551fa799-4956-44f4-9122-ea915d0399f1"/>
    <s v="LatLng(lat: 1.0261343, lng: 103.9258291)"/>
    <s v="SP-25-F0002408"/>
    <s v="INDRA HANA PRATAMA"/>
    <s v="BP 2403 QU"/>
    <x v="6"/>
    <s v="C"/>
    <s v=""/>
    <n v="1"/>
    <s v="MH1JM9116LK098412"/>
    <s v="JM91E1100464"/>
    <s v="HONDA"/>
    <s v="BEAT"/>
    <s v="BIRU HITAM"/>
    <s v="JG"/>
    <s v="BELUM JTO"/>
    <n v="2"/>
    <n v="24"/>
    <x v="12"/>
    <s v="COLL"/>
    <x v="0"/>
    <x v="0"/>
    <m/>
  </r>
  <r>
    <n v="847"/>
    <d v="2025-11-14T13:13:11"/>
    <s v="b5e5eb90-c13c-42f2-8aa6-fb5964b939de"/>
    <s v="LatLng(lat: 1.0440426, lng: 103.9805593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25"/>
    <s v="COLL"/>
    <x v="0"/>
    <x v="0"/>
    <m/>
  </r>
  <r>
    <n v="848"/>
    <d v="2025-11-14T13:17:04"/>
    <s v="b5e5eb90-c13c-42f2-8aa6-fb5964b939de"/>
    <s v="LatLng(lat: 1.043415, lng: 104.004545)"/>
    <s v="OD-24-F0002152"/>
    <s v="BAGUS SOFAN BARORI"/>
    <s v="BP 6765 CA"/>
    <x v="6"/>
    <s v="C"/>
    <s v=""/>
    <n v="1"/>
    <s v="MH1JM8127RK883999"/>
    <s v="JM81E2885597"/>
    <s v="HONDA"/>
    <s v="BEAT"/>
    <s v="SILVER-HITAM"/>
    <s v="JG"/>
    <s v="BELUM JTO"/>
    <n v="16"/>
    <n v="18"/>
    <x v="25"/>
    <s v="COLL"/>
    <x v="0"/>
    <x v="0"/>
    <m/>
  </r>
  <r>
    <n v="849"/>
    <d v="2025-11-14T13:27:31"/>
    <s v="51f658db-9885-4d52-99bd-8e1bf0356977"/>
    <s v="LatLng(lat: 1.0421809, lng: 103.9909121)"/>
    <s v="OD-25-F0000923"/>
    <s v="DIKI ZULKIFLI"/>
    <s v="BP 6722 GO"/>
    <x v="0"/>
    <s v="14.CALL CENTER"/>
    <s v="A"/>
    <n v="14"/>
    <s v="MH8DL11AZGJ102554"/>
    <s v="CGA1ID101920"/>
    <s v="SUZUKI"/>
    <s v="SATRIA FU"/>
    <s v="PUTIH HITAM"/>
    <s v="JG"/>
    <s v="BELUM JTO"/>
    <n v="7"/>
    <n v="18"/>
    <x v="19"/>
    <s v="COLL"/>
    <x v="0"/>
    <x v="0"/>
    <m/>
  </r>
  <r>
    <n v="850"/>
    <d v="2025-11-14T13:42:48"/>
    <s v="e0d931cf-6e64-4a91-a81a-04cf02d33a39"/>
    <s v="LatLng(lat: 1.043518, lng: 103.9790192)"/>
    <s v="SP-24-F0001061"/>
    <s v="ICANG DHANY FANDELA"/>
    <s v="BP 3881 UD"/>
    <x v="6"/>
    <s v="C"/>
    <s v=""/>
    <n v="1"/>
    <s v="MH1KF411XKK830685"/>
    <s v="KF41E1833675"/>
    <s v="HONDA"/>
    <s v="VARIO KEYLESS"/>
    <s v="MERAH"/>
    <s v="JG"/>
    <s v="BELUM JTO"/>
    <n v="18"/>
    <n v="18"/>
    <x v="13"/>
    <s v="COLL"/>
    <x v="0"/>
    <x v="0"/>
    <m/>
  </r>
  <r>
    <n v="851"/>
    <d v="2025-11-14T14:37:29"/>
    <s v="eea94692-e3ef-470d-a986-47d8940e37c5"/>
    <s v="LatLng(lat: 1.0560178, lng: 103.9403577)"/>
    <s v="OD-24-F0003204"/>
    <s v="SURATNO"/>
    <s v="BP 2852 IC"/>
    <x v="0"/>
    <s v="14.CALL CENTER"/>
    <s v="A"/>
    <n v="18"/>
    <s v="MH1JFZ114HK710527"/>
    <s v="JFZ1E1728303"/>
    <s v="HONDA"/>
    <s v="BEAT"/>
    <s v="PUTIH"/>
    <s v="JG"/>
    <s v="BELUM JTO"/>
    <n v="12"/>
    <n v="12"/>
    <x v="8"/>
    <s v="COLL"/>
    <x v="0"/>
    <x v="0"/>
    <m/>
  </r>
  <r>
    <n v="852"/>
    <d v="2025-11-14T14:38:12"/>
    <s v="551fa799-4956-44f4-9122-ea915d0399f1"/>
    <s v="LatLng(lat: 1.04872, lng: 103.9533186)"/>
    <s v="SP-23-F0002203"/>
    <s v="SERNITA SILALAHI"/>
    <s v="BP 2218 MJ"/>
    <x v="6"/>
    <s v="C"/>
    <s v=""/>
    <n v="1"/>
    <s v="MH1JFK110EK226230"/>
    <s v="JFK1E1226100"/>
    <s v="HONDA"/>
    <s v="VARIO"/>
    <s v="MERAH"/>
    <s v="JG"/>
    <s v="BELUM JTO"/>
    <n v="23"/>
    <n v="24"/>
    <x v="12"/>
    <s v="COLL"/>
    <x v="0"/>
    <x v="0"/>
    <m/>
  </r>
  <r>
    <n v="853"/>
    <d v="2025-11-14T14:38:26"/>
    <s v="1770dac3-81ca-4fab-8a6a-e60c63470def"/>
    <s v="LatLng(lat: 1.0278029, lng: 104.0573482)"/>
    <s v="OD-24-F0003122"/>
    <s v="BUDIONO"/>
    <s v="BP 2865 CH"/>
    <x v="0"/>
    <s v="07.RINTO"/>
    <s v="A"/>
    <n v="11"/>
    <s v="MH1JM8126NK164608"/>
    <s v="JM81E2164452"/>
    <s v="HONDA"/>
    <s v="BEAT"/>
    <s v="PUTIH HITAM"/>
    <s v="JG"/>
    <s v="BELUM JTO"/>
    <n v="12"/>
    <n v="24"/>
    <x v="21"/>
    <s v="COLL"/>
    <x v="0"/>
    <x v="0"/>
    <m/>
  </r>
  <r>
    <n v="854"/>
    <d v="2025-11-14T14:40:44"/>
    <s v="51f658db-9885-4d52-99bd-8e1bf0356977"/>
    <s v="LatLng(lat: 1.0379769, lng: 104.0839066)"/>
    <s v="SP-25-F0001302"/>
    <s v="HETA VIPINASA"/>
    <s v="BP 2580 UM"/>
    <x v="0"/>
    <s v="14.CALL CENTER"/>
    <s v="A"/>
    <n v="9"/>
    <s v="MH1JM8111LK164763"/>
    <s v="JM81E1165672"/>
    <s v="HONDA"/>
    <s v="BEAT DIGITAL"/>
    <s v="PUTIH"/>
    <s v="JG"/>
    <s v="BELUM JTO"/>
    <n v="5"/>
    <n v="18"/>
    <x v="19"/>
    <s v="COLL"/>
    <x v="0"/>
    <x v="0"/>
    <m/>
  </r>
  <r>
    <n v="855"/>
    <d v="2025-11-14T14:43:21"/>
    <s v="1770dac3-81ca-4fab-8a6a-e60c63470def"/>
    <s v="LatLng(lat: 1.0272002, lng: 104.0588307)"/>
    <s v="SP-24-F0000352"/>
    <s v="MAKHDUM ILMI DIANDRI"/>
    <s v="BP 2490 UD"/>
    <x v="10"/>
    <s v="EKSTERNAL"/>
    <s v=""/>
    <n v="19"/>
    <s v="MH1JFZ136KK558369"/>
    <s v="JFZ1E3558294"/>
    <s v="HONDA"/>
    <s v="BEAT"/>
    <s v="PUTIH"/>
    <s v="JG"/>
    <s v="GAGAL BAYAR"/>
    <n v="2"/>
    <n v="18"/>
    <x v="21"/>
    <s v="COLL"/>
    <x v="6"/>
    <x v="0"/>
    <m/>
  </r>
  <r>
    <n v="856"/>
    <d v="2025-11-14T14:43:32"/>
    <s v="e0d931cf-6e64-4a91-a81a-04cf02d33a39"/>
    <s v="LatLng(lat: 1.048485, lng: 103.9534283)"/>
    <s v="SP-25-F0002171"/>
    <s v="LIA YOLANDA"/>
    <s v="BP 3328 HR"/>
    <x v="6"/>
    <s v="C"/>
    <s v=""/>
    <n v="1"/>
    <s v="MH1JFZ124JK746278"/>
    <s v="JFZ1E2748495"/>
    <s v="HONDA"/>
    <s v="BEAT"/>
    <s v="HTAM"/>
    <s v="JG"/>
    <s v="BELUM JTO"/>
    <n v="3"/>
    <n v="12"/>
    <x v="13"/>
    <s v="COLL"/>
    <x v="0"/>
    <x v="0"/>
    <m/>
  </r>
  <r>
    <n v="857"/>
    <d v="2025-11-14T14:43:46"/>
    <s v="74bb1709-aa7b-4b41-a082-a2af867fd15e"/>
    <s v="LatLng(lat: 1.0485434, lng: 103.9533944)"/>
    <s v="SP-25-F0002171"/>
    <s v="LIA YOLANDA"/>
    <s v="BP 3328 HR"/>
    <x v="6"/>
    <s v="C"/>
    <s v=""/>
    <n v="1"/>
    <s v="MH1JFZ124JK746278"/>
    <s v="JFZ1E2748495"/>
    <s v="HONDA"/>
    <s v="BEAT"/>
    <s v="HTAM"/>
    <s v="JG"/>
    <s v="BELUM JTO"/>
    <n v="3"/>
    <n v="12"/>
    <x v="7"/>
    <s v="COLL"/>
    <x v="0"/>
    <x v="0"/>
    <m/>
  </r>
  <r>
    <n v="858"/>
    <d v="2025-11-14T14:45:50"/>
    <s v="51f658db-9885-4d52-99bd-8e1bf0356977"/>
    <s v="LatLng(lat: 1.038141, lng: 104.0845175)"/>
    <s v="SP-24-F0002385"/>
    <s v="DANIEL SIMANJUNTAK"/>
    <s v="BP 5779 AM"/>
    <x v="0"/>
    <s v="03.DAULAT"/>
    <s v="A"/>
    <n v="8"/>
    <s v="MH3SEG710NJ171221"/>
    <s v="E32WE0219426"/>
    <s v="YAMAHA"/>
    <s v="GEAR"/>
    <s v="HIJAU"/>
    <s v="JG"/>
    <s v="BELUM JTO"/>
    <n v="12"/>
    <n v="12"/>
    <x v="19"/>
    <s v="COLL"/>
    <x v="0"/>
    <x v="0"/>
    <m/>
  </r>
  <r>
    <n v="859"/>
    <d v="2025-11-14T14:52:32"/>
    <s v="51f658db-9885-4d52-99bd-8e1bf0356977"/>
    <s v="LatLng(lat: 1.0395143, lng: 104.0806014)"/>
    <s v="SP-25-F0001974"/>
    <s v="HERMAN PANJAITAN"/>
    <s v="BP 5505 AO"/>
    <x v="6"/>
    <s v="C"/>
    <s v=""/>
    <n v="8"/>
    <s v="MH3RG4760PK051474"/>
    <s v="G3S7E0049658"/>
    <s v="YAMAHA"/>
    <s v="XSR"/>
    <s v="HITAM"/>
    <s v="JG"/>
    <s v="BELUM JTO"/>
    <n v="4"/>
    <n v="18"/>
    <x v="19"/>
    <s v="COLL"/>
    <x v="0"/>
    <x v="0"/>
    <m/>
  </r>
  <r>
    <n v="860"/>
    <d v="2025-11-14T14:52:46"/>
    <s v="551fa799-4956-44f4-9122-ea915d0399f1"/>
    <s v="LatLng(lat: 1.0487265, lng: 103.9532851)"/>
    <s v="SP-25-F0001446"/>
    <s v="SUDARMAN"/>
    <s v="BP 4014 CD"/>
    <x v="0"/>
    <s v="14.CALL CENTER"/>
    <s v="A"/>
    <n v="21"/>
    <s v="MH1JFD223EK931266"/>
    <s v="JFD2E2927390"/>
    <s v="HONDA"/>
    <s v="BEAT"/>
    <s v="BIRU PUTIH"/>
    <s v="JG"/>
    <s v="BELUM JTO"/>
    <n v="5"/>
    <n v="18"/>
    <x v="12"/>
    <s v="COLL"/>
    <x v="0"/>
    <x v="0"/>
    <m/>
  </r>
  <r>
    <n v="861"/>
    <d v="2025-11-14T15:02:01"/>
    <s v="551fa799-4956-44f4-9122-ea915d0399f1"/>
    <s v="LatLng(lat: 1.0480487, lng: 103.9537631)"/>
    <s v="SP-25-F0001695"/>
    <s v="NADAB ABIHU ALOUKOLI"/>
    <s v="BP 4946 AC"/>
    <x v="0"/>
    <s v="14.CALL CENTER"/>
    <s v="A"/>
    <n v="15"/>
    <s v="MH3RG4610JK105469"/>
    <s v="G3E7E0483164"/>
    <s v="YAMAHA"/>
    <s v="VIXION VVA"/>
    <s v="HITAM"/>
    <s v="JG"/>
    <s v="BELUM JTO"/>
    <n v="4"/>
    <n v="12"/>
    <x v="12"/>
    <s v="COLL"/>
    <x v="0"/>
    <x v="0"/>
    <m/>
  </r>
  <r>
    <n v="862"/>
    <d v="2025-11-14T15:02:39"/>
    <s v="551fa799-4956-44f4-9122-ea915d0399f1"/>
    <s v="LatLng(lat: 1.0480412, lng: 103.9540495)"/>
    <s v="SP-25-F0002528"/>
    <s v="SUGIONO"/>
    <s v="BP 5479 UO"/>
    <x v="0"/>
    <s v="14.CALL CENTER"/>
    <s v=""/>
    <n v="9"/>
    <s v="MH1JM9135RK673206"/>
    <s v="JM91E3668654"/>
    <s v="HONDA"/>
    <s v="BEAT DELUXE"/>
    <s v="BIRU"/>
    <s v="JG"/>
    <s v="BELUM JTO"/>
    <n v="1"/>
    <n v="18"/>
    <x v="12"/>
    <s v="COLL"/>
    <x v="0"/>
    <x v="0"/>
    <m/>
  </r>
  <r>
    <n v="863"/>
    <d v="2025-11-14T15:14:55"/>
    <s v="551fa799-4956-44f4-9122-ea915d0399f1"/>
    <s v="LatLng(lat: 1.0485077, lng: 103.953503)"/>
    <s v="SP-25-F0002626"/>
    <s v="SAIFUL YUSUP"/>
    <s v="BP 3208 AI"/>
    <x v="0"/>
    <s v="14.CALL CENTER"/>
    <s v=""/>
    <n v="20"/>
    <s v="MH1JFZ138KK196996"/>
    <s v="JFZ1E3196716"/>
    <s v="HONDA"/>
    <s v="BEAT DIGITAL"/>
    <s v="HITAM"/>
    <s v="JG"/>
    <s v="BELUM JTO"/>
    <n v="1"/>
    <n v="18"/>
    <x v="12"/>
    <s v="COLL"/>
    <x v="0"/>
    <x v="0"/>
    <m/>
  </r>
  <r>
    <n v="864"/>
    <d v="2025-11-14T15:21:40"/>
    <s v="dcc6f40b-a9a1-43d4-bd37-f0019f505bcd"/>
    <s v="LatLng(lat: 1.0710269, lng: 104.1177098)"/>
    <s v="OD-24-F0001953"/>
    <s v="FIRDAUS"/>
    <s v="BP 4116 AF"/>
    <x v="0"/>
    <s v="07.RINTO"/>
    <s v="A"/>
    <n v="15"/>
    <s v="MH3SE88H0LJ182550"/>
    <s v="E3R2E2685153"/>
    <s v="YAMAHA"/>
    <s v="MIO"/>
    <s v="HITAM"/>
    <s v="JG"/>
    <s v="BELUM JTO"/>
    <n v="16"/>
    <n v="24"/>
    <x v="9"/>
    <s v="COLL"/>
    <x v="0"/>
    <x v="0"/>
    <m/>
  </r>
  <r>
    <n v="865"/>
    <d v="2025-11-14T15:21:52"/>
    <s v="688868a7-408e-44ae-b238-348dfc1995b0"/>
    <s v="LatLng(lat: 1.071067, lng: 104.1174951)"/>
    <s v="OD-24-F0001953"/>
    <s v="FIRDAUS"/>
    <s v="BP 4116 AF"/>
    <x v="0"/>
    <s v="07.RINTO"/>
    <s v="A"/>
    <n v="15"/>
    <s v="MH3SE88H0LJ182550"/>
    <s v="E3R2E2685153"/>
    <s v="YAMAHA"/>
    <s v="MIO"/>
    <s v="HITAM"/>
    <s v="JG"/>
    <s v="BELUM JTO"/>
    <n v="16"/>
    <n v="24"/>
    <x v="14"/>
    <s v="COLL"/>
    <x v="0"/>
    <x v="0"/>
    <m/>
  </r>
  <r>
    <n v="866"/>
    <d v="2025-11-14T15:27:06"/>
    <s v="51f658db-9885-4d52-99bd-8e1bf0356977"/>
    <s v="LatLng(lat: 1.0376466, lng: 104.0738825)"/>
    <s v="SP-25-F0000549"/>
    <s v="NURI"/>
    <s v="BP 4361 AF"/>
    <x v="0"/>
    <s v="03.DAULAT"/>
    <s v="A"/>
    <n v="8"/>
    <s v="MH3SG5620LJ007863"/>
    <s v="G3L8E0007973"/>
    <s v="YAMAHA"/>
    <s v="N MAX"/>
    <s v="MERAH"/>
    <s v="JG"/>
    <s v="BELUM JTO"/>
    <n v="8"/>
    <n v="24"/>
    <x v="19"/>
    <s v="COLL"/>
    <x v="0"/>
    <x v="0"/>
    <m/>
  </r>
  <r>
    <n v="867"/>
    <d v="2025-11-14T15:28:57"/>
    <s v="e0d931cf-6e64-4a91-a81a-04cf02d33a39"/>
    <s v="LatLng(lat: 1.0486617, lng: 103.9533183)"/>
    <s v="SP-25-F0001695"/>
    <s v="NADAB ABIHU ALOUKOLI"/>
    <s v="BP 4946 AC"/>
    <x v="0"/>
    <s v="14.CALL CENTER"/>
    <s v="A"/>
    <n v="15"/>
    <s v="MH3RG4610JK105469"/>
    <s v="G3E7E0483164"/>
    <s v="YAMAHA"/>
    <s v="VIXION VVA"/>
    <s v="HITAM"/>
    <s v="JG"/>
    <s v="BELUM JTO"/>
    <n v="4"/>
    <n v="12"/>
    <x v="13"/>
    <s v="COLL"/>
    <x v="0"/>
    <x v="0"/>
    <m/>
  </r>
  <r>
    <n v="868"/>
    <d v="2025-11-14T15:30:06"/>
    <s v="86afd147-8c0b-48e4-aaf8-44ad72c52985"/>
    <s v="LatLng(lat: 1.0383647, lng: 104.0719288)"/>
    <s v="SP-24-F0002267"/>
    <s v="BOY CHRISTIAN PAKPAHAN"/>
    <s v="BP 3514 UI"/>
    <x v="4"/>
    <s v="DOKA"/>
    <s v=""/>
    <n v="24"/>
    <s v="MH1JM0111MK354257"/>
    <s v="JM01E1353278"/>
    <s v="HONDA"/>
    <s v="SCOOPY"/>
    <s v="KREM-COKLAT"/>
    <s v="JG"/>
    <s v="GAGAL BAYAR"/>
    <n v="12"/>
    <n v="12"/>
    <x v="15"/>
    <s v="COLL"/>
    <x v="6"/>
    <x v="0"/>
    <m/>
  </r>
  <r>
    <n v="869"/>
    <d v="2025-11-14T15:35:46"/>
    <s v="1770dac3-81ca-4fab-8a6a-e60c63470def"/>
    <s v="LatLng(lat: 1.0519732, lng: 104.0085044)"/>
    <s v="SP-24-F0001467"/>
    <s v="WAHYU NUR ZUBAIDAH"/>
    <s v="BP 5991 HF"/>
    <x v="0"/>
    <s v="10.MIDUK"/>
    <s v="A"/>
    <n v="18"/>
    <s v="MH3SE88H0PJ536535"/>
    <s v="E3R2E3184360"/>
    <s v="YAMAHA"/>
    <s v="MIO M3"/>
    <s v="MERAH"/>
    <s v="JG"/>
    <s v="BELUM JTO"/>
    <n v="16"/>
    <n v="18"/>
    <x v="21"/>
    <s v="COLL"/>
    <x v="0"/>
    <x v="0"/>
    <m/>
  </r>
  <r>
    <n v="870"/>
    <d v="2025-11-14T15:40:47"/>
    <s v="78c8aa58-d259-49a1-a96c-192417985ecf"/>
    <s v="LatLng(lat: 1.1306435, lng: 104.0516851)"/>
    <s v="OD-25-F0000753"/>
    <s v="HADIYANSAH NUROHMAN"/>
    <s v="BP 4188 AD"/>
    <x v="0"/>
    <s v="09.OLOAN"/>
    <s v="A"/>
    <n v="15"/>
    <s v="MH3SG3190KJ438306"/>
    <s v="G3E4E1266115"/>
    <s v="YAMAHA"/>
    <s v="NMAX"/>
    <s v="PUTIH"/>
    <s v="JG"/>
    <s v="BELUM JTO"/>
    <n v="8"/>
    <n v="18"/>
    <x v="16"/>
    <s v="COLL"/>
    <x v="0"/>
    <x v="0"/>
    <m/>
  </r>
  <r>
    <n v="871"/>
    <d v="2025-11-14T15:45:53"/>
    <s v="e0d931cf-6e64-4a91-a81a-04cf02d33a39"/>
    <s v="LatLng(lat: 1.0429306, lng: 103.9522873)"/>
    <s v="SP-25-F0001732"/>
    <s v="SURIYONO"/>
    <s v="BP 3815 IA"/>
    <x v="0"/>
    <s v="14.CALL CENTER"/>
    <s v="A"/>
    <n v="17"/>
    <s v="MH1JFU117HK951498"/>
    <s v="JFU1E1954597"/>
    <s v="HONDA"/>
    <s v="VARIO 125"/>
    <s v="HITAM"/>
    <s v="JG"/>
    <s v="BELUM JTO"/>
    <n v="4"/>
    <n v="18"/>
    <x v="13"/>
    <s v="COLL"/>
    <x v="0"/>
    <x v="0"/>
    <m/>
  </r>
  <r>
    <n v="872"/>
    <d v="2025-11-14T15:46:35"/>
    <s v="e0d931cf-6e64-4a91-a81a-04cf02d33a39"/>
    <s v="LatLng(lat: 1.0420583, lng: 103.95259)"/>
    <s v="SP-24-F0000426"/>
    <s v="MITRA INDANATA"/>
    <s v="BP 3475 CR"/>
    <x v="7"/>
    <s v="EVENDI"/>
    <s v=""/>
    <n v="2"/>
    <s v="MH1KF0117NK154094"/>
    <s v="KF01E1153603"/>
    <s v="HONDA"/>
    <s v="VARIO"/>
    <s v="HITAM"/>
    <s v="JG"/>
    <s v="PARTIAL"/>
    <n v="19"/>
    <n v="24"/>
    <x v="13"/>
    <s v="COLL"/>
    <x v="0"/>
    <x v="0"/>
    <m/>
  </r>
  <r>
    <n v="873"/>
    <d v="2025-11-14T15:49:01"/>
    <s v="e0d931cf-6e64-4a91-a81a-04cf02d33a39"/>
    <s v="LatLng(lat: 1.0380633, lng: 103.95372)"/>
    <s v="SP-25-F0001725"/>
    <s v="SYAFRIADI"/>
    <s v="BP 2097 UE"/>
    <x v="0"/>
    <s v="14.CALL CENTER"/>
    <s v="A"/>
    <n v="16"/>
    <s v="MH1JM8216MK178528"/>
    <s v="JM82E1176545"/>
    <s v="HONDA"/>
    <s v="BEAT STREET"/>
    <s v="SILVER"/>
    <s v="JG"/>
    <s v="BELUM JTO"/>
    <n v="4"/>
    <n v="24"/>
    <x v="13"/>
    <s v="COLL"/>
    <x v="0"/>
    <x v="0"/>
    <m/>
  </r>
  <r>
    <n v="874"/>
    <d v="2025-11-14T15:50:12"/>
    <s v="987e43b5-2fed-4ba1-8992-1b4d84e413ab"/>
    <s v="LatLng(lat: 1.062838, lng: 104.114173)"/>
    <s v="SP-25-F0002587"/>
    <s v="SYAFARUDDIN"/>
    <s v="BP 4061 QM"/>
    <x v="0"/>
    <s v="14.CALL CENTER"/>
    <s v=""/>
    <n v="18"/>
    <s v="MH3RG4610HK045030"/>
    <s v="G3E7E0422916"/>
    <s v="YAMAHA"/>
    <s v="VIXION ADV GP"/>
    <s v="BIRU"/>
    <s v="JG"/>
    <s v="BELUM JTO"/>
    <n v="1"/>
    <n v="12"/>
    <x v="20"/>
    <s v="COLL"/>
    <x v="0"/>
    <x v="0"/>
    <m/>
  </r>
  <r>
    <n v="875"/>
    <d v="2025-11-14T15:52:36"/>
    <s v="e0d931cf-6e64-4a91-a81a-04cf02d33a39"/>
    <s v="LatLng(lat: 1.0294567, lng: 103.9590017)"/>
    <s v="SP-25-F0000093"/>
    <s v="AFRIZAL CHANDRA"/>
    <s v="BP 2176 Q"/>
    <x v="0"/>
    <s v="10.MIDUK"/>
    <s v="A"/>
    <n v="11"/>
    <s v="MH1JM0411PK226827"/>
    <s v="JM04E1226846"/>
    <s v="HONDA"/>
    <s v="SCOOPY KEYLESS"/>
    <s v="HIJAU"/>
    <s v="JG"/>
    <s v="BELUM JTO"/>
    <n v="10"/>
    <n v="12"/>
    <x v="13"/>
    <s v="COLL"/>
    <x v="0"/>
    <x v="0"/>
    <m/>
  </r>
  <r>
    <n v="876"/>
    <d v="2025-11-14T15:52:47"/>
    <s v="e0d931cf-6e64-4a91-a81a-04cf02d33a39"/>
    <s v="LatLng(lat: 1.0277067, lng: 103.9589867)"/>
    <s v="SP-24-F0002743"/>
    <s v="CHRESTINA JUNI PRASETYA AGUSTIN"/>
    <s v="BP 3066 UO"/>
    <x v="0"/>
    <s v="12.JUBRAIDER S"/>
    <s v="A"/>
    <n v="21"/>
    <s v="MH1JM0116MK254896"/>
    <s v="JM01E1252844"/>
    <s v="HONDA"/>
    <s v="SCOOPY NON KEYLESS"/>
    <s v="HITAM"/>
    <s v="JG"/>
    <s v="BELUM JTO"/>
    <n v="11"/>
    <n v="12"/>
    <x v="13"/>
    <s v="COLL"/>
    <x v="0"/>
    <x v="0"/>
    <m/>
  </r>
  <r>
    <n v="877"/>
    <d v="2025-11-14T16:20:26"/>
    <s v="6f0ee670-8a9a-45ff-8c00-ca014f6aabeb"/>
    <s v="LatLng(lat: 1.0284657, lng: 104.061998)"/>
    <s v="SP-25-F0001139"/>
    <s v="TAUFIK JUNAWAN"/>
    <s v="BP 2448 QS"/>
    <x v="0"/>
    <s v="07.RINTO"/>
    <s v="A"/>
    <n v="21"/>
    <s v="MH1JM8211PK949272"/>
    <s v="JM82E1948800"/>
    <s v="HONDA"/>
    <s v="BEAT STREET"/>
    <s v="HITAM"/>
    <s v="JG"/>
    <s v="BELUM JTO"/>
    <n v="6"/>
    <n v="12"/>
    <x v="18"/>
    <s v="COLL"/>
    <x v="0"/>
    <x v="0"/>
    <m/>
  </r>
  <r>
    <n v="878"/>
    <d v="2025-11-14T16:33:33"/>
    <s v="f0b79403-18b0-47dd-bacc-d76d9d60a28e"/>
    <s v="LatLng(lat: 1.0643767, lng: 104.0354567)"/>
    <s v="OD-25-F0001123"/>
    <s v="DELFI MEGA RUMAPEA"/>
    <s v="BP 2026 UF"/>
    <x v="0"/>
    <s v="03.DAULAT"/>
    <s v="A"/>
    <n v="20"/>
    <s v="MH1JM0312PK345844"/>
    <s v="JM03E1345450"/>
    <s v="HONDA"/>
    <s v="SCOOPY"/>
    <s v="HITAM-MERAH"/>
    <s v="JG"/>
    <s v="BELUM JTO"/>
    <n v="6"/>
    <n v="24"/>
    <x v="24"/>
    <s v="COLL"/>
    <x v="0"/>
    <x v="0"/>
    <m/>
  </r>
  <r>
    <n v="879"/>
    <d v="2025-11-14T16:39:54"/>
    <s v="f0b79403-18b0-47dd-bacc-d76d9d60a28e"/>
    <s v="LatLng(lat: 1.056305, lng: 104.0105)"/>
    <s v="SP-25-F0000424"/>
    <s v="HUSNUL HIDAYAT"/>
    <s v="BP 3318 SO"/>
    <x v="0"/>
    <s v="10.MIDUK"/>
    <s v="A"/>
    <n v="1"/>
    <s v="MH1JMD111PK396519"/>
    <s v="JMD1E1396734"/>
    <s v="HONDA"/>
    <s v="VARIO 125"/>
    <s v="BIRU"/>
    <s v="JG"/>
    <s v="GAGAL BAYAR"/>
    <n v="8"/>
    <n v="12"/>
    <x v="24"/>
    <s v="COLL"/>
    <x v="0"/>
    <x v="0"/>
    <m/>
  </r>
  <r>
    <n v="880"/>
    <d v="2025-11-14T16:54:31"/>
    <s v="74bb1709-aa7b-4b41-a082-a2af867fd15e"/>
    <s v="LatLng(lat: 1.0485343193160523, lng: 103.95341422408819)"/>
    <s v="OD-25-F0000864"/>
    <s v="TAKWIM LUBIS"/>
    <s v="BP 5183 AR"/>
    <x v="0"/>
    <s v="14.CALL CENTER"/>
    <s v="A"/>
    <n v="15"/>
    <s v="MH1KC8217HK111112"/>
    <s v="KC82E1109831"/>
    <s v="HONDA"/>
    <s v="CB 150 R LED"/>
    <s v="MERAH"/>
    <s v="JG"/>
    <s v="BELUM JTO"/>
    <n v="7"/>
    <n v="12"/>
    <x v="7"/>
    <s v="COLL"/>
    <x v="0"/>
    <x v="0"/>
    <m/>
  </r>
  <r>
    <n v="881"/>
    <d v="2025-11-14T16:55:45"/>
    <s v="74bb1709-aa7b-4b41-a082-a2af867fd15e"/>
    <s v="LatLng(lat: 1.0485343193160523, lng: 103.95341422408819)"/>
    <s v="SP-25-F0001446"/>
    <s v="SUDARMAN"/>
    <s v="BP 4014 CD"/>
    <x v="0"/>
    <s v="14.CALL CENTER"/>
    <s v="A"/>
    <n v="21"/>
    <s v="MH1JFD223EK931266"/>
    <s v="JFD2E2927390"/>
    <s v="HONDA"/>
    <s v="BEAT"/>
    <s v="BIRU PUTIH"/>
    <s v="JG"/>
    <s v="BELUM JTO"/>
    <n v="5"/>
    <n v="18"/>
    <x v="7"/>
    <s v="COLL"/>
    <x v="0"/>
    <x v="0"/>
    <m/>
  </r>
  <r>
    <n v="882"/>
    <d v="2025-11-14T17:02:14"/>
    <s v="86afd147-8c0b-48e4-aaf8-44ad72c52985"/>
    <s v="LatLng(lat: 1.0397721, lng: 103.9964281)"/>
    <s v="OD-25-F0001874"/>
    <s v="JONNI PARDOMUAN SIHOMBING"/>
    <s v="BP 3061 CR"/>
    <x v="0"/>
    <s v="14.CALL CENTER"/>
    <s v=""/>
    <n v="13"/>
    <s v="MH1JM8124NK049733"/>
    <s v="JM81E2051523"/>
    <s v="HONDA"/>
    <s v="BEAT"/>
    <s v="HITAM"/>
    <s v="JG"/>
    <s v="BELUM JTO"/>
    <n v="1"/>
    <n v="18"/>
    <x v="15"/>
    <s v="COLL"/>
    <x v="0"/>
    <x v="0"/>
    <m/>
  </r>
  <r>
    <n v="883"/>
    <d v="2025-11-14T17:03:28"/>
    <s v="86afd147-8c0b-48e4-aaf8-44ad72c52985"/>
    <s v="LatLng(lat: 1.0425832, lng: 103.9898675)"/>
    <s v="OD-25-F0001320"/>
    <s v="TEGUH RIANTO"/>
    <s v="BP 6548 HE"/>
    <x v="0"/>
    <s v="09.OLOAN"/>
    <s v="A"/>
    <n v="15"/>
    <s v="MH8DL11AZJJ154984"/>
    <s v="CGA1ID154968"/>
    <s v="SUZUKI"/>
    <s v="SATRIA FU"/>
    <s v="HITAM"/>
    <s v="JG"/>
    <s v="BELUM JTO"/>
    <n v="4"/>
    <n v="18"/>
    <x v="15"/>
    <s v="COLL"/>
    <x v="0"/>
    <x v="0"/>
    <m/>
  </r>
  <r>
    <n v="884"/>
    <d v="2025-11-14T17:56:17"/>
    <s v="5d155998-3b32-426c-9f80-9898af00922a"/>
    <s v="LatLng(lat: 1.0330999, lng: 103.9707057)"/>
    <s v="OD-25-F0001302"/>
    <s v="FREDDY JOSUA GULTOM"/>
    <s v="BP 2138 HI"/>
    <x v="0"/>
    <s v="03.DAULAT"/>
    <s v="A"/>
    <n v="4"/>
    <s v="MH1KC8210JK207699"/>
    <s v="KC82E1200903"/>
    <s v="HONDA"/>
    <s v="CB 150 R LED"/>
    <s v="HITAM"/>
    <s v="JG"/>
    <s v="GAGAL BAYAR"/>
    <n v="4"/>
    <n v="18"/>
    <x v="4"/>
    <s v="COLL"/>
    <x v="0"/>
    <x v="0"/>
    <m/>
  </r>
  <r>
    <n v="885"/>
    <d v="2025-11-14T18:15:36"/>
    <s v="66338f6f-6199-47e8-8fc9-c871a18b6d2c"/>
    <s v="LatLng(lat: 1.0438545, lng: 104.0048768)"/>
    <s v="SP-25-F0000005"/>
    <s v="NGATMI"/>
    <s v="BP 3929 RS"/>
    <x v="0"/>
    <s v="11.RIMPUN"/>
    <s v="A"/>
    <n v="3"/>
    <s v="MH1JM0419PK493097"/>
    <s v="JM04E1492906"/>
    <s v="HONDA"/>
    <s v="SCOOPY KEYLESS"/>
    <s v="MERAH"/>
    <s v="JG"/>
    <s v="GAGAL BAYAR"/>
    <n v="10"/>
    <n v="18"/>
    <x v="30"/>
    <s v="COLL"/>
    <x v="0"/>
    <x v="0"/>
    <m/>
  </r>
  <r>
    <n v="886"/>
    <d v="2025-11-14T20:30:37"/>
    <s v="66338f6f-6199-47e8-8fc9-c871a18b6d2c"/>
    <s v="LatLng(lat: 1.0412561, lng: 103.9901087)"/>
    <s v="OD-25-F0000341"/>
    <s v="RAMADHAN PUTRA"/>
    <s v="BP 3163 RH"/>
    <x v="0"/>
    <s v="03.DAULAT"/>
    <s v="A"/>
    <n v="3"/>
    <s v="MH1KB1110MK314557"/>
    <s v="KB11E1314203"/>
    <s v="HONDA"/>
    <s v="SONIC"/>
    <s v="MERAH-PUTIH"/>
    <s v="JG"/>
    <s v="GAGAL BAYAR"/>
    <n v="9"/>
    <n v="18"/>
    <x v="30"/>
    <s v="COLL"/>
    <x v="0"/>
    <x v="0"/>
    <m/>
  </r>
  <r>
    <n v="887"/>
    <d v="2025-11-14T22:39:13"/>
    <s v="908a2117-9e59-4ec5-981c-f44c8e53d59f"/>
    <s v="LatLng(lat: 1.0333414, lng: 103.9946945)"/>
    <s v="SP-25-F0001917"/>
    <s v="RICKY HERMANTO"/>
    <s v="BP 2506 AC"/>
    <x v="0"/>
    <s v="06.ROBEN"/>
    <s v="A"/>
    <n v="4"/>
    <s v="MH1JM9121NK397172"/>
    <s v="JM91E2395550"/>
    <s v="HONDA"/>
    <s v="BEAT DELUXE"/>
    <s v="SILVER"/>
    <s v="JG"/>
    <s v="DONE"/>
    <n v="3"/>
    <n v="12"/>
    <x v="47"/>
    <s v="COLL"/>
    <x v="0"/>
    <x v="0"/>
    <m/>
  </r>
  <r>
    <n v="888"/>
    <d v="2025-11-15T09:18:19"/>
    <s v="fced54d3-7c26-48e8-91fe-7d7236e7f959"/>
    <s v="LatLng(lat: 1.043368, lng: 103.9793865)"/>
    <s v="SP-24-F0002168"/>
    <s v="DEDEH NURHAYATI"/>
    <s v="BP 2996 MU"/>
    <x v="0"/>
    <s v="11.RIMPUN"/>
    <s v="A"/>
    <n v="12"/>
    <s v="MH1JM0112MK087386"/>
    <s v="JM01E1086021"/>
    <s v="HONDA"/>
    <s v="SCOOPY NON KEYLESS"/>
    <s v="HITAM"/>
    <s v="JG"/>
    <s v="BELUM JTO"/>
    <n v="13"/>
    <n v="18"/>
    <x v="10"/>
    <s v="COLL"/>
    <x v="1"/>
    <x v="0"/>
    <m/>
  </r>
  <r>
    <n v="889"/>
    <d v="2025-11-15T12:12:36"/>
    <s v="74bb1709-aa7b-4b41-a082-a2af867fd15e"/>
    <s v="LatLng(lat: 1.04749, lng: 103.9649183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7"/>
    <s v="COLL"/>
    <x v="0"/>
    <x v="0"/>
    <m/>
  </r>
  <r>
    <n v="890"/>
    <d v="2025-11-15T12:12:48"/>
    <s v="74bb1709-aa7b-4b41-a082-a2af867fd15e"/>
    <s v="LatLng(lat: 1.0475483, lng: 103.963835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7"/>
    <s v="COLL"/>
    <x v="0"/>
    <x v="0"/>
    <m/>
  </r>
  <r>
    <n v="891"/>
    <d v="2025-11-15T12:53:12"/>
    <s v="51f658db-9885-4d52-99bd-8e1bf0356977"/>
    <s v="LatLng(lat: 1.0447083, lng: 103.9544007)"/>
    <s v="OD-24-F0002860"/>
    <s v="RANGGA SAPUTRA"/>
    <s v="BP 3613 HM"/>
    <x v="0"/>
    <s v="05.BOSPA"/>
    <s v=""/>
    <n v="10"/>
    <s v="MH1JM1113JK835144"/>
    <s v="JM11E1818196"/>
    <s v="HONDA"/>
    <s v="BEAT"/>
    <s v="BIRU PUTIH"/>
    <s v="JG"/>
    <s v="BELUM JTO"/>
    <n v="13"/>
    <n v="24"/>
    <x v="19"/>
    <s v="COLL"/>
    <x v="0"/>
    <x v="0"/>
    <m/>
  </r>
  <r>
    <n v="892"/>
    <d v="2025-11-15T13:02:11"/>
    <s v="51f658db-9885-4d52-99bd-8e1bf0356977"/>
    <s v="LatLng(lat: 1.0485661, lng: 103.9534716)"/>
    <s v="SP-24-F0002739"/>
    <s v="NURYANTO"/>
    <s v="BP 3297 HI"/>
    <x v="6"/>
    <s v="C"/>
    <s v=""/>
    <n v="1"/>
    <s v="MH1KF411XJK032217"/>
    <s v="KF41E1033080"/>
    <s v="HONDA"/>
    <s v="VARIO 150"/>
    <s v="PUTIH"/>
    <s v="JG"/>
    <s v="BELUM JTO"/>
    <n v="11"/>
    <n v="12"/>
    <x v="19"/>
    <s v="COLL"/>
    <x v="0"/>
    <x v="0"/>
    <m/>
  </r>
  <r>
    <n v="893"/>
    <d v="2025-11-15T13:08:07"/>
    <s v="6f0ee670-8a9a-45ff-8c00-ca014f6aabeb"/>
    <s v="LatLng(lat: 1.048075, lng: 103.9541712)"/>
    <s v="OD-24-F0003504"/>
    <s v="WAHYU PANJI UTAMA SITORUS"/>
    <s v="BP 4876 OC"/>
    <x v="0"/>
    <s v="08.JOSRI"/>
    <s v="D"/>
    <n v="23"/>
    <s v="MH31PA004EK597422"/>
    <s v="1PA595290"/>
    <s v="YAMAHA"/>
    <s v="VIXION"/>
    <s v="PUTIH"/>
    <s v="JG"/>
    <s v="BELUM JTO"/>
    <n v="11"/>
    <n v="12"/>
    <x v="18"/>
    <s v="COLL"/>
    <x v="0"/>
    <x v="0"/>
    <m/>
  </r>
  <r>
    <n v="894"/>
    <d v="2025-11-15T13:08:24"/>
    <s v="f0b79403-18b0-47dd-bacc-d76d9d60a28e"/>
    <s v="LatLng(lat: 1.047278, lng: 103.9548256)"/>
    <s v="OD-25-F0001031"/>
    <s v="OKTAVIANUS PARULIAN HUTAGALUNG"/>
    <s v="BP  4624 RC"/>
    <x v="0"/>
    <s v="03.DAULAT"/>
    <s v="A"/>
    <n v="2"/>
    <s v="MH1JFZ219KK732075"/>
    <s v="JFZ2E1730876"/>
    <s v="HONDA"/>
    <s v="BEAT STREET"/>
    <s v="HITAM"/>
    <s v="JG"/>
    <s v="GAGAL BAYAR"/>
    <n v="6"/>
    <n v="18"/>
    <x v="24"/>
    <s v="COLL"/>
    <x v="0"/>
    <x v="0"/>
    <m/>
  </r>
  <r>
    <n v="895"/>
    <d v="2025-11-15T13:14:58"/>
    <s v="51f658db-9885-4d52-99bd-8e1bf0356977"/>
    <s v="LatLng(lat: 1.0485363, lng: 103.953464)"/>
    <s v="SP-25-F0000311"/>
    <s v="DIDIMUS KOTEN"/>
    <s v="BP 5747 QG"/>
    <x v="0"/>
    <s v="10.MIDUK"/>
    <s v="A"/>
    <n v="8"/>
    <s v="MH3UG0710HK201230"/>
    <s v="G3E6E0285066"/>
    <s v="YAMAHA"/>
    <s v="JUPITER MX KING"/>
    <s v="ABU-ABU"/>
    <s v="JG"/>
    <s v="LUNAS"/>
    <n v="9"/>
    <n v="12"/>
    <x v="19"/>
    <s v="COLL"/>
    <x v="0"/>
    <x v="0"/>
    <m/>
  </r>
  <r>
    <n v="896"/>
    <d v="2025-11-15T13:14:58"/>
    <s v="6f0ee670-8a9a-45ff-8c00-ca014f6aabeb"/>
    <s v="LatLng(lat: 1.0483768, lng: 103.9535343)"/>
    <s v="SP-25-F0000311"/>
    <s v="DIDIMUS KOTEN"/>
    <s v="BP 5747 QG"/>
    <x v="0"/>
    <s v="10.MIDUK"/>
    <s v="A"/>
    <n v="8"/>
    <s v="MH3UG0710HK201230"/>
    <s v="G3E6E0285066"/>
    <s v="YAMAHA"/>
    <s v="JUPITER MX KING"/>
    <s v="ABU-ABU"/>
    <s v="JG"/>
    <s v="LUNAS"/>
    <n v="9"/>
    <n v="12"/>
    <x v="18"/>
    <s v="COLL"/>
    <x v="0"/>
    <x v="0"/>
    <m/>
  </r>
  <r>
    <n v="897"/>
    <d v="2025-11-15T13:15:35"/>
    <s v="b5e5eb90-c13c-42f2-8aa6-fb5964b939de"/>
    <s v="LatLng(lat: 1.0487147, lng: 103.9532207)"/>
    <s v="SP-25-F0000656"/>
    <s v="WIJANARKO"/>
    <s v="BP 2052 FR"/>
    <x v="0"/>
    <s v="08.JOSRI"/>
    <s v="A"/>
    <n v="20"/>
    <s v="MH1JM1117HK523290"/>
    <s v="JM11E1506067"/>
    <s v="HONDA"/>
    <s v="BEAT FI"/>
    <s v="MERAH PUTIH"/>
    <s v="JG"/>
    <s v="BELUM JTO"/>
    <n v="8"/>
    <n v="12"/>
    <x v="25"/>
    <s v="COLL"/>
    <x v="0"/>
    <x v="0"/>
    <m/>
  </r>
  <r>
    <n v="898"/>
    <d v="2025-11-15T13:15:39"/>
    <s v="6f0ee670-8a9a-45ff-8c00-ca014f6aabeb"/>
    <s v="LatLng(lat: 1.0485695, lng: 103.9538109)"/>
    <s v="SP-25-F0000656"/>
    <s v="WIJANARKO"/>
    <s v="BP 2052 FR"/>
    <x v="0"/>
    <s v="08.JOSRI"/>
    <s v="A"/>
    <n v="20"/>
    <s v="MH1JM1117HK523290"/>
    <s v="JM11E1506067"/>
    <s v="HONDA"/>
    <s v="BEAT FI"/>
    <s v="MERAH PUTIH"/>
    <s v="JG"/>
    <s v="BELUM JTO"/>
    <n v="8"/>
    <n v="12"/>
    <x v="18"/>
    <s v="COLL"/>
    <x v="0"/>
    <x v="0"/>
    <m/>
  </r>
  <r>
    <n v="899"/>
    <d v="2025-11-15T13:25:41"/>
    <s v="688868a7-408e-44ae-b238-348dfc1995b0"/>
    <s v="LatLng(lat: 1.0417135, lng: 103.9887433)"/>
    <s v="SP-25-F0002338"/>
    <s v="ALDI PHIRAWANDI"/>
    <s v="BP 2391 RH"/>
    <x v="0"/>
    <s v="14.CALL CENTER"/>
    <s v=""/>
    <n v="19"/>
    <s v="MH1JM0117NK507421"/>
    <s v="JM01E1504246"/>
    <s v="HONDA"/>
    <s v="SCOOPY NON KEYLESS"/>
    <s v="HITAM-ORANGE"/>
    <s v="JG"/>
    <s v="BELUM JTO"/>
    <n v="2"/>
    <n v="24"/>
    <x v="14"/>
    <s v="COLL"/>
    <x v="0"/>
    <x v="0"/>
    <m/>
  </r>
  <r>
    <n v="900"/>
    <d v="2025-11-15T13:25:56"/>
    <s v="688868a7-408e-44ae-b238-348dfc1995b0"/>
    <s v="LatLng(lat: 1.0417135, lng: 103.9887433)"/>
    <s v="SP-25-F0000767"/>
    <s v="FUJA ANALISA"/>
    <s v="BP 3407 UG"/>
    <x v="0"/>
    <s v="03.DAULAT"/>
    <s v="A"/>
    <n v="8"/>
    <s v="MH1JM021XMK214495"/>
    <s v="JM02E1214999"/>
    <s v="HONDA"/>
    <s v="SCOOPY KEYLESS"/>
    <s v="MERAH"/>
    <s v="JG"/>
    <s v="BELUM JTO"/>
    <n v="7"/>
    <n v="18"/>
    <x v="14"/>
    <s v="COLL"/>
    <x v="0"/>
    <x v="0"/>
    <m/>
  </r>
  <r>
    <n v="901"/>
    <d v="2025-11-15T13:26:49"/>
    <s v="dcc6f40b-a9a1-43d4-bd37-f0019f505bcd"/>
    <s v="LatLng(lat: 1.0418382, lng: 103.9886434)"/>
    <s v="SP-25-F0000099"/>
    <s v="TRIYONO"/>
    <s v="BP 3396 UD"/>
    <x v="0"/>
    <s v="14.CALL CENTER"/>
    <s v="A"/>
    <n v="13"/>
    <s v="MH1JM1121KK383415"/>
    <s v="JM11E2365226"/>
    <s v="HONDA"/>
    <s v="BEAT FI"/>
    <s v="MERAH HITAM"/>
    <s v="JG"/>
    <s v="BELUM JTO"/>
    <n v="10"/>
    <n v="12"/>
    <x v="9"/>
    <s v="COLL"/>
    <x v="0"/>
    <x v="0"/>
    <m/>
  </r>
  <r>
    <n v="902"/>
    <d v="2025-11-15T13:44:24"/>
    <s v="86afd147-8c0b-48e4-aaf8-44ad72c52985"/>
    <s v="LatLng(lat: 1.0465307, lng: 103.9467299)"/>
    <s v="SP-25-F0001125"/>
    <s v="HERY JUNIANTO"/>
    <s v="BP 3224 O"/>
    <x v="0"/>
    <s v="12.JUBRAIDER S"/>
    <s v="A"/>
    <n v="19"/>
    <s v="MH1JM0213MK178908"/>
    <s v="JM02E1179085"/>
    <s v="HONDA"/>
    <s v="SCOOPY NON KEYLESS"/>
    <s v="HITAM"/>
    <s v="JG"/>
    <s v="BELUM JTO"/>
    <n v="6"/>
    <n v="12"/>
    <x v="15"/>
    <s v="COLL"/>
    <x v="0"/>
    <x v="0"/>
    <m/>
  </r>
  <r>
    <n v="903"/>
    <d v="2025-11-15T13:44:35"/>
    <s v="dcc6f40b-a9a1-43d4-bd37-f0019f505bcd"/>
    <s v="LatLng(lat: 1.0417744, lng: 103.9886859)"/>
    <s v="SP-25-F0001262"/>
    <s v="DEDDY PUTRA"/>
    <s v="BP 3988 RD"/>
    <x v="0"/>
    <s v="04.RIZKI A"/>
    <s v="A"/>
    <n v="4"/>
    <s v="MH1JM0219MK533502"/>
    <s v="JM02E1533680"/>
    <s v="HONDA"/>
    <s v="SCOOPY"/>
    <s v="PUTIH"/>
    <s v="JG"/>
    <s v="GAGAL BAYAR"/>
    <n v="5"/>
    <n v="12"/>
    <x v="9"/>
    <s v="COLL"/>
    <x v="0"/>
    <x v="0"/>
    <m/>
  </r>
  <r>
    <n v="904"/>
    <d v="2025-11-15T13:45:45"/>
    <s v="776aec09-4bd9-4191-a74b-53a47f4274b5"/>
    <s v="LatLng(lat: 1.045045045045045, lng: 103.98125965006132)"/>
    <s v="SP-25-F0001901"/>
    <s v="FAUZI MAULANA"/>
    <s v="BP 6972 UA"/>
    <x v="0"/>
    <s v="03.DAULAT"/>
    <s v="A"/>
    <n v="1"/>
    <s v="MH1JMB113RK157285"/>
    <s v="JMB1E1156829"/>
    <s v="HONDA"/>
    <s v="GENIO"/>
    <s v="BIRU"/>
    <s v="JG"/>
    <s v="GAGAL BAYAR"/>
    <n v="3"/>
    <n v="18"/>
    <x v="48"/>
    <s v="COLL"/>
    <x v="0"/>
    <x v="0"/>
    <m/>
  </r>
  <r>
    <n v="905"/>
    <d v="2025-11-15T14:06:12"/>
    <s v="50dfc547-071b-4547-a06d-921c46792c75"/>
    <s v="LatLng(lat: 1.0433432835460006, lng: 103.97936493872956)"/>
    <s v="SP-23-F0000279"/>
    <s v="MULYADI"/>
    <s v="BP 4497 QA"/>
    <x v="10"/>
    <s v="EKSTERNAL"/>
    <s v=""/>
    <n v="7"/>
    <s v="MH3SE8860GJ018111"/>
    <s v="E3R2E1119187"/>
    <s v="YAMAHA"/>
    <s v="MIO M3"/>
    <s v="MERAH"/>
    <s v="JG"/>
    <s v="GAGAL BAYAR"/>
    <n v="10"/>
    <n v="12"/>
    <x v="3"/>
    <s v="ALL"/>
    <x v="1"/>
    <x v="0"/>
    <m/>
  </r>
  <r>
    <n v="906"/>
    <d v="2025-11-15T14:08:14"/>
    <s v="6d21de4b-42fc-49f2-86f3-40a2a9759695"/>
    <s v="LatLng(lat: 0.9371283, lng: 104.514075)"/>
    <s v="TP-24-F0000059"/>
    <s v="SULIANA"/>
    <s v="BP 2843 PO"/>
    <x v="0"/>
    <s v="02.REY"/>
    <s v="A"/>
    <n v="22"/>
    <s v="MH1JMA118NK006690"/>
    <s v="JMA1E1006570"/>
    <s v="HONDA"/>
    <s v="GENIO"/>
    <s v="HITAM MERAH"/>
    <s v="JG"/>
    <s v="BELUM JTO"/>
    <n v="21"/>
    <n v="36"/>
    <x v="0"/>
    <s v="COLL"/>
    <x v="0"/>
    <x v="0"/>
    <m/>
  </r>
  <r>
    <n v="907"/>
    <d v="2025-11-15T14:23:50"/>
    <s v="6d21de4b-42fc-49f2-86f3-40a2a9759695"/>
    <s v="LatLng(lat: 0.9282734, lng: 104.5176298)"/>
    <s v="OD-24-F0003392"/>
    <s v="PERIS ABDULLAH"/>
    <s v="BP 3750 SU"/>
    <x v="0"/>
    <s v="10.MIDUK"/>
    <s v="A"/>
    <n v="11"/>
    <s v="MH1JM8211PK973085"/>
    <s v="JM82E1972584"/>
    <s v="HONDA"/>
    <s v="BEAT STREET"/>
    <s v="HITAM"/>
    <s v="JG"/>
    <s v="BELUM JTO"/>
    <n v="11"/>
    <n v="24"/>
    <x v="0"/>
    <s v="COLL"/>
    <x v="0"/>
    <x v="0"/>
    <m/>
  </r>
  <r>
    <n v="908"/>
    <d v="2025-11-15T14:40:33"/>
    <s v="f0b79403-18b0-47dd-bacc-d76d9d60a28e"/>
    <s v="LatLng(lat: 1.035437, lng: 103.9573888)"/>
    <s v="SP-25-F0001884"/>
    <s v="FAHRIZAL"/>
    <s v="BP 6165 JJ"/>
    <x v="0"/>
    <s v="06.ROBEN"/>
    <s v="A"/>
    <n v="1"/>
    <s v="MH1JMG111SK285057"/>
    <s v="JMG1E1285165"/>
    <s v="HONDA"/>
    <s v="BEAT STREET"/>
    <s v="COKLAT"/>
    <s v="JG"/>
    <s v="GAGAL BAYAR"/>
    <n v="3"/>
    <n v="24"/>
    <x v="24"/>
    <s v="COLL"/>
    <x v="0"/>
    <x v="0"/>
    <m/>
  </r>
  <r>
    <n v="909"/>
    <d v="2025-11-15T14:42:02"/>
    <s v="b5e5eb90-c13c-42f2-8aa6-fb5964b939de"/>
    <s v="LatLng(lat: 1.0339258, lng: 103.9587307)"/>
    <s v="SP-25-F0001986"/>
    <s v="ROSNAWATI"/>
    <s v="BP 2145 MU"/>
    <x v="0"/>
    <s v="13.WILFRIN"/>
    <s v="A"/>
    <n v="8"/>
    <s v="MH1JM011XLK006665"/>
    <s v="JM01E1006763"/>
    <s v="HONDA"/>
    <s v="SCOOPY NON KEYLESS"/>
    <s v="HITAM MERAH"/>
    <s v="JG"/>
    <s v="BELUM JTO"/>
    <n v="3"/>
    <n v="18"/>
    <x v="25"/>
    <s v="COLL"/>
    <x v="0"/>
    <x v="0"/>
    <m/>
  </r>
  <r>
    <n v="910"/>
    <d v="2025-11-15T14:42:50"/>
    <s v="b5e5eb90-c13c-42f2-8aa6-fb5964b939de"/>
    <s v="LatLng(lat: 1.0313222, lng: 103.9588936)"/>
    <s v="OD-24-F0003244"/>
    <s v="DIAN MARTONO HASIBUAN"/>
    <s v="BP 3087 AE"/>
    <x v="0"/>
    <s v="11.RIMPUN"/>
    <s v="A"/>
    <n v="22"/>
    <s v="MH1KCA217KK041478"/>
    <s v="KCA2E1038860"/>
    <s v="HONDA"/>
    <s v="CR 150"/>
    <s v="MERAH"/>
    <s v="JG"/>
    <s v="BELUM JTO"/>
    <n v="12"/>
    <n v="12"/>
    <x v="25"/>
    <s v="COLL"/>
    <x v="0"/>
    <x v="0"/>
    <m/>
  </r>
  <r>
    <n v="911"/>
    <d v="2025-11-15T14:45:39"/>
    <s v="6d21de4b-42fc-49f2-86f3-40a2a9759695"/>
    <s v="LatLng(lat: 0.9210757, lng: 104.509986)"/>
    <s v="TP-24-F0000720"/>
    <s v="REZA NOVALINA"/>
    <s v="BP 4479 CT"/>
    <x v="0"/>
    <s v="02.REY"/>
    <s v="A"/>
    <n v="20"/>
    <s v="MH3SE88D0JJ078199"/>
    <s v="E3R2E2012292"/>
    <s v="YAMAHA"/>
    <s v="FINO"/>
    <s v="PUTIH"/>
    <s v="JG"/>
    <s v="BELUM JTO"/>
    <n v="12"/>
    <n v="18"/>
    <x v="0"/>
    <s v="COLL"/>
    <x v="0"/>
    <x v="0"/>
    <m/>
  </r>
  <r>
    <n v="912"/>
    <d v="2025-11-15T14:49:01"/>
    <s v="6d21de4b-42fc-49f2-86f3-40a2a9759695"/>
    <s v="LatLng(lat: 0.9209904, lng: 104.5100524)"/>
    <s v="TP-24-F0000178"/>
    <s v="HENDRI"/>
    <s v="BP 2547 PB"/>
    <x v="6"/>
    <s v="C"/>
    <s v=""/>
    <n v="6"/>
    <s v="MH1KF112XJK491786"/>
    <s v="KF11E2485228"/>
    <s v="HONDA"/>
    <s v="VARIO"/>
    <s v="BIRU"/>
    <s v="JG"/>
    <s v="BELUM JTO"/>
    <n v="19"/>
    <n v="30"/>
    <x v="0"/>
    <s v="COLL"/>
    <x v="0"/>
    <x v="0"/>
    <m/>
  </r>
  <r>
    <n v="913"/>
    <d v="2025-11-15T14:57:18"/>
    <s v="e0d931cf-6e64-4a91-a81a-04cf02d33a39"/>
    <s v="LatLng(lat: 1.0569017, lng: 103.944855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DONE"/>
    <n v="16"/>
    <n v="24"/>
    <x v="13"/>
    <s v="COLL"/>
    <x v="0"/>
    <x v="0"/>
    <m/>
  </r>
  <r>
    <n v="914"/>
    <d v="2025-11-15T14:59:39"/>
    <s v="688868a7-408e-44ae-b238-348dfc1995b0"/>
    <s v="LatLng(lat: 1.0285923, lng: 103.9607226)"/>
    <s v="SP-24-F0001740"/>
    <s v="SUNANTO SE"/>
    <s v="BP 2705 UJ"/>
    <x v="0"/>
    <s v="09.OLOAN"/>
    <s v="A"/>
    <n v="22"/>
    <s v="MH1JBN114MK201987"/>
    <s v="JBN1E1202017"/>
    <s v="HONDA"/>
    <s v="SUPRA X"/>
    <s v="MERAH-HITAM"/>
    <s v="JG"/>
    <s v="BELUM JTO"/>
    <n v="15"/>
    <n v="18"/>
    <x v="14"/>
    <s v="COLL"/>
    <x v="0"/>
    <x v="0"/>
    <m/>
  </r>
  <r>
    <n v="915"/>
    <d v="2025-11-15T15:00:47"/>
    <s v="688868a7-408e-44ae-b238-348dfc1995b0"/>
    <s v="LatLng(lat: 1.0285801, lng: 103.9607398)"/>
    <s v="SP-25-F0001534"/>
    <s v="HENDRA SETIAWAN"/>
    <s v="BP 3913 RA"/>
    <x v="0"/>
    <s v="13.WILFRIN"/>
    <s v="A"/>
    <n v="8"/>
    <s v="MH1KF0119NK179496"/>
    <s v="KF01E1179276"/>
    <s v="HONDA"/>
    <s v="VARIO 160"/>
    <s v="HITAM"/>
    <s v="JG"/>
    <s v="BELUM JTO"/>
    <n v="4"/>
    <n v="12"/>
    <x v="14"/>
    <s v="COLL"/>
    <x v="0"/>
    <x v="0"/>
    <m/>
  </r>
  <r>
    <n v="916"/>
    <d v="2025-11-15T15:05:31"/>
    <s v="e0d931cf-6e64-4a91-a81a-04cf02d33a39"/>
    <s v="LatLng(lat: 1.06524, lng: 103.9418967)"/>
    <s v="SP-23-F0001942"/>
    <s v="BUHAL SIAHAAN"/>
    <s v="BP 5578 AI"/>
    <x v="4"/>
    <s v="TALENTA S"/>
    <s v=""/>
    <n v="25"/>
    <s v="MH3SE88H0MJ279119"/>
    <s v="E3R2E2928156"/>
    <s v="YAMAHA"/>
    <s v="MIO M3"/>
    <s v="MERAH"/>
    <s v="JG"/>
    <s v="GAGAL BAYAR"/>
    <n v="23"/>
    <n v="24"/>
    <x v="13"/>
    <s v="COLL"/>
    <x v="8"/>
    <x v="0"/>
    <m/>
  </r>
  <r>
    <n v="917"/>
    <d v="2025-11-15T15:06:24"/>
    <s v="5d155998-3b32-426c-9f80-9898af00922a"/>
    <s v="LatLng(lat: 1.0561803, lng: 103.9491221)"/>
    <s v="SP-25-F0001254"/>
    <s v="HENDRA SAPUTRA"/>
    <s v="BP 3299 AG"/>
    <x v="0"/>
    <s v="05.BOSPA"/>
    <s v="A"/>
    <n v="3"/>
    <s v="MH1KB1116KK204478"/>
    <s v="KB11E1203798"/>
    <s v="HONDA"/>
    <s v="SONIC"/>
    <s v="MERAH PUTIH"/>
    <s v="JG"/>
    <s v="GAGAL BAYAR"/>
    <n v="5"/>
    <n v="24"/>
    <x v="4"/>
    <s v="COLL"/>
    <x v="0"/>
    <x v="0"/>
    <m/>
  </r>
  <r>
    <n v="918"/>
    <d v="2025-11-15T15:13:15"/>
    <s v="551fa799-4956-44f4-9122-ea915d0399f1"/>
    <s v="LatLng(lat: 1.05922, lng: 103.9186287)"/>
    <s v="OD-25-F0001303"/>
    <s v="AGUNG PRATAMA"/>
    <s v="BP 3082 JH"/>
    <x v="0"/>
    <s v="11.RIMPUN"/>
    <s v="A"/>
    <n v="4"/>
    <s v="MH1JFD224DK229777"/>
    <s v="JFD2E2225107"/>
    <s v="HONDA"/>
    <s v="BEAT CW"/>
    <s v="MERAH"/>
    <s v="JG"/>
    <s v="DONE"/>
    <n v="4"/>
    <n v="12"/>
    <x v="12"/>
    <s v="COLL"/>
    <x v="0"/>
    <x v="0"/>
    <m/>
  </r>
  <r>
    <n v="919"/>
    <d v="2025-11-15T15:15:18"/>
    <s v="551fa799-4956-44f4-9122-ea915d0399f1"/>
    <s v="LatLng(lat: 1.0589444, lng: 103.9189872)"/>
    <s v="OD-25-F0001566"/>
    <s v="HENGKI SAPUTRA"/>
    <s v="BP 2129 CO"/>
    <x v="0"/>
    <s v="13.WILFRIN"/>
    <s v="A"/>
    <n v="21"/>
    <s v="MH1JM0314NK028676"/>
    <s v="JM03E1002091"/>
    <s v="HONDA"/>
    <s v="SCOOPY NON KEYLESS"/>
    <s v="COKLAT KREM"/>
    <s v="JG"/>
    <s v="BELUM JTO"/>
    <n v="3"/>
    <n v="18"/>
    <x v="12"/>
    <s v="COLL"/>
    <x v="0"/>
    <x v="0"/>
    <m/>
  </r>
  <r>
    <n v="920"/>
    <d v="2025-11-15T15:16:10"/>
    <s v="551fa799-4956-44f4-9122-ea915d0399f1"/>
    <s v="LatLng(lat: 1.0588747, lng: 103.9188712)"/>
    <s v="OD-24-F0000918"/>
    <s v="MUSLIMIN"/>
    <s v="BP 5996 QH"/>
    <x v="0"/>
    <s v="05.BOSPA"/>
    <s v="A"/>
    <n v="12"/>
    <s v="MH3SG3120HK482750"/>
    <s v="G3E4E0665257"/>
    <s v="YAMAHA"/>
    <s v="N MAX"/>
    <s v="MERAH"/>
    <s v="JG"/>
    <s v="BELUM JTO"/>
    <n v="19"/>
    <n v="30"/>
    <x v="12"/>
    <s v="COLL"/>
    <x v="0"/>
    <x v="0"/>
    <m/>
  </r>
  <r>
    <n v="921"/>
    <d v="2025-11-15T15:16:17"/>
    <s v="551fa799-4956-44f4-9122-ea915d0399f1"/>
    <s v="LatLng(lat: 1.0588747, lng: 103.9188712)"/>
    <s v="SP-25-F0002673"/>
    <s v="HAMZALIR"/>
    <s v="BP 3309 AH"/>
    <x v="0"/>
    <s v="12.JUBRAIDER S"/>
    <s v=""/>
    <n v="24"/>
    <s v="MH1JM3124KK611600"/>
    <s v="JM31E2606715"/>
    <s v="HONDA"/>
    <s v="SCOOPY NON KEYLESS"/>
    <s v="HITAM-SILVER"/>
    <s v="JG"/>
    <s v="BELUM JTO"/>
    <n v="1"/>
    <n v="18"/>
    <x v="12"/>
    <s v="COLL"/>
    <x v="0"/>
    <x v="0"/>
    <m/>
  </r>
  <r>
    <n v="922"/>
    <d v="2025-11-15T15:16:48"/>
    <s v="551fa799-4956-44f4-9122-ea915d0399f1"/>
    <s v="LatLng(lat: 1.0588747, lng: 103.9188712)"/>
    <s v="OD-25-F0001920"/>
    <s v="ANDIKA SALEHUDIN"/>
    <s v="BP 4213 GR"/>
    <x v="6"/>
    <s v="C"/>
    <s v=""/>
    <n v="1"/>
    <s v="MH33C1205EK200755"/>
    <s v="3C11200471"/>
    <s v="YAMAHA"/>
    <s v="VIXION OLD"/>
    <s v="PUTIH"/>
    <s v="JG"/>
    <s v="BELUM JTO"/>
    <n v="1"/>
    <n v="18"/>
    <x v="12"/>
    <s v="COLL"/>
    <x v="0"/>
    <x v="0"/>
    <m/>
  </r>
  <r>
    <n v="923"/>
    <d v="2025-11-15T15:19:16"/>
    <s v="551fa799-4956-44f4-9122-ea915d0399f1"/>
    <s v="LatLng(lat: 1.0590564, lng: 103.9187378)"/>
    <s v="SP-25-F0000962"/>
    <s v="MARKIANAM"/>
    <s v="BP 3892 UH"/>
    <x v="0"/>
    <s v="05.BOSPA"/>
    <s v="A"/>
    <n v="3"/>
    <s v="MH1JM3139KK003855"/>
    <s v="JM31E2999323"/>
    <s v="HONDA"/>
    <s v="SCOOPY NON KEYLESS"/>
    <s v="MERAH HITAM"/>
    <s v="JG"/>
    <s v="DONE"/>
    <n v="6"/>
    <n v="18"/>
    <x v="12"/>
    <s v="COLL"/>
    <x v="0"/>
    <x v="0"/>
    <m/>
  </r>
  <r>
    <n v="924"/>
    <d v="2025-11-15T15:21:49"/>
    <s v="551fa799-4956-44f4-9122-ea915d0399f1"/>
    <s v="LatLng(lat: 1.059081, lng: 103.9185091)"/>
    <s v="OD-25-F0001452"/>
    <s v="DINA INDRIANI"/>
    <s v="BP 6979 JE"/>
    <x v="0"/>
    <s v="04.RIZKI A"/>
    <s v="A"/>
    <n v="1"/>
    <s v="MH1JMF212RK255570"/>
    <s v="JMF2E1255819"/>
    <s v="HONDA"/>
    <s v="BEAT DELUX"/>
    <s v="HITAM"/>
    <s v="JG"/>
    <s v="GAGAL BAYAR"/>
    <n v="3"/>
    <n v="18"/>
    <x v="12"/>
    <s v="COLL"/>
    <x v="0"/>
    <x v="0"/>
    <m/>
  </r>
  <r>
    <n v="925"/>
    <d v="2025-11-15T15:22:57"/>
    <s v="e0d931cf-6e64-4a91-a81a-04cf02d33a39"/>
    <s v="LatLng(lat: 1.0557867, lng: 103.9504083)"/>
    <s v="OD-25-F0000540"/>
    <s v="TUTY YAMAHANI"/>
    <s v="BP 5767 HR"/>
    <x v="0"/>
    <s v="14.CALL CENTER"/>
    <s v=""/>
    <n v="21"/>
    <s v="MH1JMD110RK649039"/>
    <s v="JMD1E1648641"/>
    <s v="HONDA"/>
    <s v="VARIO"/>
    <s v="HITAM"/>
    <s v="JG"/>
    <s v="BELUM JTO"/>
    <n v="9"/>
    <n v="24"/>
    <x v="13"/>
    <s v="COLL"/>
    <x v="0"/>
    <x v="0"/>
    <m/>
  </r>
  <r>
    <n v="926"/>
    <d v="2025-11-15T15:23:11"/>
    <s v="551fa799-4956-44f4-9122-ea915d0399f1"/>
    <s v="LatLng(lat: 1.0588937, lng: 103.9187892)"/>
    <s v="OD-24-F0002618"/>
    <s v="HENDRA JULIATMA ADI PUTRA"/>
    <s v="BP 3436 QG"/>
    <x v="0"/>
    <s v="14.CALL CENTER"/>
    <s v="A"/>
    <n v="12"/>
    <s v="MH1KC8215GK045447"/>
    <s v="KC82E1045170"/>
    <s v="HONDA"/>
    <s v="CB150R"/>
    <s v="PUTIH-MERAH"/>
    <s v="JG"/>
    <s v="BELUM JTO"/>
    <n v="14"/>
    <n v="24"/>
    <x v="12"/>
    <s v="COLL"/>
    <x v="0"/>
    <x v="0"/>
    <m/>
  </r>
  <r>
    <n v="927"/>
    <d v="2025-11-15T15:24:25"/>
    <s v="e0d931cf-6e64-4a91-a81a-04cf02d33a39"/>
    <s v="LatLng(lat: 1.056945, lng: 103.9498067)"/>
    <s v="OD-24-F0001939"/>
    <s v="SUDAR"/>
    <s v="BP 3091 MQ"/>
    <x v="4"/>
    <s v="TALENTA S"/>
    <s v=""/>
    <n v="13"/>
    <s v="MH1JFM223FK262062"/>
    <s v="JFM2E2254612"/>
    <s v="HONDA"/>
    <s v="BEAT"/>
    <s v="WHITE RED"/>
    <s v="JG"/>
    <s v="GAGAL BAYAR"/>
    <n v="15"/>
    <n v="18"/>
    <x v="13"/>
    <s v="COLL"/>
    <x v="6"/>
    <x v="0"/>
    <m/>
  </r>
  <r>
    <n v="928"/>
    <d v="2025-11-15T15:24:54"/>
    <s v="551fa799-4956-44f4-9122-ea915d0399f1"/>
    <s v="LatLng(lat: 1.0588891, lng: 103.9188025)"/>
    <s v="OD-24-F0000124"/>
    <s v="AGUS SHARONI"/>
    <s v="BP 5813 IH"/>
    <x v="0"/>
    <s v="10.MIDUK"/>
    <s v="A"/>
    <n v="11"/>
    <s v="MH33C1205CK043115"/>
    <s v="3C11041029"/>
    <s v="YAMAHA"/>
    <s v="VIXION"/>
    <s v="MERAH MARUN"/>
    <s v="JG"/>
    <s v="BELUM JTO"/>
    <n v="22"/>
    <n v="24"/>
    <x v="12"/>
    <s v="COLL"/>
    <x v="0"/>
    <x v="0"/>
    <m/>
  </r>
  <r>
    <n v="929"/>
    <d v="2025-11-15T15:27:48"/>
    <s v="e4173dd7-6d58-43a6-8f0e-8ad94c7a888a"/>
    <s v="LatLng(lat: 1.0566956, lng: 103.9479743)"/>
    <s v="SP-25-F0002611"/>
    <s v="DHANA PERDANA TANJUNG"/>
    <s v="BP 5600 RH"/>
    <x v="0"/>
    <s v="14.CALL CENTER"/>
    <s v=""/>
    <n v="20"/>
    <s v="MH1KCC115RK015324"/>
    <s v="KCC1E1015238"/>
    <s v="HONDA"/>
    <s v="CBR 150 ABS"/>
    <s v="MERAH"/>
    <s v="JG"/>
    <s v="BELUM JTO"/>
    <n v="1"/>
    <n v="18"/>
    <x v="29"/>
    <s v="COLL"/>
    <x v="0"/>
    <x v="0"/>
    <m/>
  </r>
  <r>
    <n v="930"/>
    <d v="2025-11-15T15:28:10"/>
    <s v="551fa799-4956-44f4-9122-ea915d0399f1"/>
    <s v="LatLng(lat: 1.059095, lng: 103.9185667)"/>
    <s v="SP-25-F0001413"/>
    <s v="IKE NURSAFITRI"/>
    <s v="BP 2032 AU"/>
    <x v="0"/>
    <s v="13.WILFRIN"/>
    <s v="A"/>
    <n v="18"/>
    <s v="MH1JM5116LK614129"/>
    <s v="JM51E1613862"/>
    <s v="HONDA"/>
    <s v="VARIO 150"/>
    <s v="PUTIH"/>
    <s v="JG"/>
    <s v="BELUM JTO"/>
    <n v="5"/>
    <n v="18"/>
    <x v="12"/>
    <s v="COLL"/>
    <x v="0"/>
    <x v="0"/>
    <m/>
  </r>
  <r>
    <n v="931"/>
    <d v="2025-11-15T15:28:21"/>
    <s v="551fa799-4956-44f4-9122-ea915d0399f1"/>
    <s v="LatLng(lat: 1.0591209, lng: 103.9189407)"/>
    <s v="SP-25-F0001222"/>
    <s v="RIAN MAHADI"/>
    <s v="BP 2271 OI"/>
    <x v="0"/>
    <s v="10.MIDUK"/>
    <s v="A"/>
    <n v="1"/>
    <s v="MH1KF111XFK373896"/>
    <s v="KF11E1380031"/>
    <s v="HONDA"/>
    <s v="VARIO 150"/>
    <s v="PUTIH"/>
    <s v="JG"/>
    <s v="DONE"/>
    <n v="5"/>
    <n v="12"/>
    <x v="12"/>
    <s v="COLL"/>
    <x v="0"/>
    <x v="0"/>
    <m/>
  </r>
  <r>
    <n v="932"/>
    <d v="2025-11-15T15:30:40"/>
    <s v="6d21de4b-42fc-49f2-86f3-40a2a9759695"/>
    <s v="LatLng(lat: 0.9124542, lng: 104.532873)"/>
    <s v="TP-23-F0000455"/>
    <s v="DIAN APRIYANI LUMBAN TOBING"/>
    <s v="BP 3771 PB"/>
    <x v="0"/>
    <s v="02.REY"/>
    <s v="A"/>
    <n v="12"/>
    <s v="MH1JM3129JK094535"/>
    <s v="JM31E2090786"/>
    <s v="HONDA"/>
    <s v="SCOOPY"/>
    <s v="COKLAT HITAM"/>
    <s v="JG"/>
    <s v="BELUM JTO"/>
    <n v="26"/>
    <n v="30"/>
    <x v="0"/>
    <s v="COLL"/>
    <x v="0"/>
    <x v="0"/>
    <m/>
  </r>
  <r>
    <n v="933"/>
    <d v="2025-11-15T15:31:10"/>
    <s v="e4173dd7-6d58-43a6-8f0e-8ad94c7a888a"/>
    <s v="LatLng(lat: 1.0597907, lng: 103.9466394)"/>
    <s v="OD-24-F0001613"/>
    <s v="AGUS HENDARIN"/>
    <s v="BP 2923 JO"/>
    <x v="0"/>
    <s v="05.BOSPA"/>
    <s v="A"/>
    <n v="14"/>
    <s v="MH1JFD226DK663098"/>
    <s v="JFD2E2669746"/>
    <s v="HONDA"/>
    <s v="BEAT"/>
    <s v="HIJAU PUTIH"/>
    <s v="JG"/>
    <s v="BELUM JTO"/>
    <n v="17"/>
    <n v="18"/>
    <x v="29"/>
    <s v="COLL"/>
    <x v="0"/>
    <x v="0"/>
    <m/>
  </r>
  <r>
    <n v="934"/>
    <d v="2025-11-15T15:31:22"/>
    <s v="551fa799-4956-44f4-9122-ea915d0399f1"/>
    <s v="LatLng(lat: 1.0593823, lng: 103.9185407)"/>
    <s v="SP-25-F0001810"/>
    <s v="HINDRI SUSANTI"/>
    <s v="BP 5044 QG"/>
    <x v="0"/>
    <s v="12.JUBRAIDER S"/>
    <s v="A"/>
    <n v="24"/>
    <s v="MH3SE8860HJ158505"/>
    <s v="E3R2E1586576"/>
    <s v="YAMAHA"/>
    <s v="MIO M3"/>
    <s v="HITAM"/>
    <s v="JG"/>
    <s v="BELUM JTO"/>
    <n v="4"/>
    <n v="12"/>
    <x v="12"/>
    <s v="COLL"/>
    <x v="0"/>
    <x v="0"/>
    <m/>
  </r>
  <r>
    <n v="935"/>
    <d v="2025-11-15T15:36:30"/>
    <s v="551fa799-4956-44f4-9122-ea915d0399f1"/>
    <s v="LatLng(lat: 1.058853, lng: 103.9187603)"/>
    <s v="OD-25-F0001241"/>
    <s v="ELAN"/>
    <s v="BP 6602 HO"/>
    <x v="0"/>
    <s v="14.CALL CENTER"/>
    <s v="A"/>
    <n v="18"/>
    <s v="MH1JMF114RK033968"/>
    <s v="JMF1E1034166"/>
    <s v="HONDA"/>
    <s v="BAET FI"/>
    <s v="HITAM"/>
    <s v="JG"/>
    <s v="BELUM JTO"/>
    <n v="5"/>
    <n v="12"/>
    <x v="12"/>
    <s v="COLL"/>
    <x v="0"/>
    <x v="0"/>
    <m/>
  </r>
  <r>
    <n v="936"/>
    <d v="2025-11-15T15:37:37"/>
    <s v="6d21de4b-42fc-49f2-86f3-40a2a9759695"/>
    <s v="LatLng(lat: 0.8984915, lng: 104.5762258)"/>
    <s v="BT-KD-24-00155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937"/>
    <d v="2025-11-15T15:45:12"/>
    <s v="551fa799-4956-44f4-9122-ea915d0399f1"/>
    <s v="LatLng(lat: 1.0593949, lng: 103.9184685)"/>
    <s v="SP-25-F0002153"/>
    <s v="RUDI ASWANDI"/>
    <s v="BP 2600 FH"/>
    <x v="6"/>
    <s v="C"/>
    <s v=""/>
    <n v="1"/>
    <s v="MH1JM812XPK536826"/>
    <s v="JM81E2538127"/>
    <s v="HONDA"/>
    <s v="BEAT DIGITAL"/>
    <s v="SILVER HITAM"/>
    <s v="JG"/>
    <s v="BELUM JTO"/>
    <n v="3"/>
    <n v="24"/>
    <x v="12"/>
    <s v="COLL"/>
    <x v="0"/>
    <x v="0"/>
    <m/>
  </r>
  <r>
    <n v="938"/>
    <d v="2025-11-15T15:50:54"/>
    <s v="551fa799-4956-44f4-9122-ea915d0399f1"/>
    <s v="LatLng(lat: 1.0589603, lng: 103.9188816)"/>
    <s v="SP-25-F0001989"/>
    <s v="REDY EKO PRABOWO"/>
    <s v="BP 6707 GQ"/>
    <x v="0"/>
    <s v="04.RIZKI A"/>
    <s v="A"/>
    <n v="9"/>
    <s v="MH8DL23ANHJ110322"/>
    <s v="CGA2ID110490"/>
    <s v="SUZUKI"/>
    <s v="GSX"/>
    <s v="MERAH HITAM"/>
    <s v="JG"/>
    <s v="BELUM JTO"/>
    <n v="3"/>
    <n v="12"/>
    <x v="12"/>
    <s v="COLL"/>
    <x v="0"/>
    <x v="0"/>
    <m/>
  </r>
  <r>
    <n v="939"/>
    <d v="2025-11-15T15:56:52"/>
    <s v="551fa799-4956-44f4-9122-ea915d0399f1"/>
    <s v="LatLng(lat: 1.0588817, lng: 103.9185883)"/>
    <s v="OD-24-F0000603"/>
    <s v="ROSITA"/>
    <s v="BP 5420 QM"/>
    <x v="0"/>
    <s v="14.CALL CENTER"/>
    <s v="A"/>
    <n v="1"/>
    <s v="MH3SG3190JK367902"/>
    <s v="G3E4E1172836"/>
    <s v="YAMAHA"/>
    <s v="NMAX ABS"/>
    <s v="PUTIH"/>
    <s v="JG"/>
    <s v="DONE"/>
    <n v="20"/>
    <n v="24"/>
    <x v="12"/>
    <s v="COLL"/>
    <x v="0"/>
    <x v="0"/>
    <m/>
  </r>
  <r>
    <n v="940"/>
    <d v="2025-11-15T16:01:36"/>
    <s v="551fa799-4956-44f4-9122-ea915d0399f1"/>
    <s v="LatLng(lat: 1.0588817, lng: 103.9185883)"/>
    <s v="SP-25-F0002022"/>
    <s v="ADELBERT PAIMA PANGIHUTAN SIHOMBING"/>
    <s v="BP 2088 QU"/>
    <x v="0"/>
    <s v="14.CALL CENTER"/>
    <s v="A"/>
    <n v="13"/>
    <s v="MH1KCA21XLK085928"/>
    <s v="KCA2E1081360"/>
    <s v="HONDA"/>
    <s v="CB 150 R LED"/>
    <s v="PUTIH"/>
    <s v="JG"/>
    <s v="BELUM JTO"/>
    <n v="3"/>
    <n v="12"/>
    <x v="12"/>
    <s v="COLL"/>
    <x v="0"/>
    <x v="0"/>
    <m/>
  </r>
  <r>
    <n v="941"/>
    <d v="2025-11-15T16:02:01"/>
    <s v="551fa799-4956-44f4-9122-ea915d0399f1"/>
    <s v="LatLng(lat: 1.0588817, lng: 103.9185883)"/>
    <s v="OD-24-F0003441"/>
    <s v="RANDES ANSELMUS SILAEN"/>
    <s v="BP 3379 RP"/>
    <x v="0"/>
    <s v="11.RIMPUN"/>
    <s v="A"/>
    <n v="16"/>
    <s v="MH1JMD110PK253951"/>
    <s v="JMD1E1254168"/>
    <s v="HONDA"/>
    <s v="VARIO"/>
    <s v="BIRU"/>
    <s v="JG"/>
    <s v="BELUM JTO"/>
    <n v="11"/>
    <n v="24"/>
    <x v="12"/>
    <s v="COLL"/>
    <x v="0"/>
    <x v="0"/>
    <m/>
  </r>
  <r>
    <n v="942"/>
    <d v="2025-11-15T16:05:42"/>
    <s v="551fa799-4956-44f4-9122-ea915d0399f1"/>
    <s v="LatLng(lat: 1.0588817, lng: 103.9185883)"/>
    <s v="OD-24-F0001485"/>
    <s v="LEO RENCUS SIHOMBING"/>
    <s v="BP 5520 QG"/>
    <x v="0"/>
    <s v="14.CALL CENTER"/>
    <s v="A"/>
    <n v="4"/>
    <s v="MH3RG4610HK020842"/>
    <s v="G3E7E0398652"/>
    <s v="YAMAHA"/>
    <s v="VIXION"/>
    <s v="HITAM"/>
    <s v="JG"/>
    <s v="DONE"/>
    <n v="17"/>
    <n v="18"/>
    <x v="12"/>
    <s v="COLL"/>
    <x v="0"/>
    <x v="0"/>
    <m/>
  </r>
  <r>
    <n v="943"/>
    <d v="2025-11-15T16:21:22"/>
    <s v="6d21de4b-42fc-49f2-86f3-40a2a9759695"/>
    <s v="LatLng(lat: 0.8940337, lng: 104.574725)"/>
    <s v="TP-25-F0000029"/>
    <s v="SUNARTI"/>
    <s v="BP 2577 JB"/>
    <x v="0"/>
    <s v="01.SYAMSURI"/>
    <s v="A"/>
    <n v="10"/>
    <s v="MH1JM3138LK440702"/>
    <s v="JM31E3432991"/>
    <s v="HONDA"/>
    <s v="SCOOPY"/>
    <s v="MERAH - HITAM"/>
    <s v="JG"/>
    <s v="BELUM JTO"/>
    <n v="10"/>
    <n v="24"/>
    <x v="0"/>
    <s v="COLL"/>
    <x v="0"/>
    <x v="0"/>
    <m/>
  </r>
  <r>
    <n v="944"/>
    <d v="2025-11-17T10:03:08"/>
    <s v="e0d931cf-6e64-4a91-a81a-04cf02d33a39"/>
    <s v="LatLng(lat: 1.0442667, lng: 103.9788783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13"/>
    <s v="COLL"/>
    <x v="0"/>
    <x v="0"/>
    <m/>
  </r>
  <r>
    <n v="945"/>
    <d v="2025-11-17T10:05:16"/>
    <s v="b5e5eb90-c13c-42f2-8aa6-fb5964b939de"/>
    <s v="LatLng(lat: 1.0451639, lng: 103.9736122)"/>
    <s v="SP-24-F0001858"/>
    <s v="RICCKY SUPARNAS"/>
    <s v="BP 2114 QR"/>
    <x v="0"/>
    <s v="08.JOSRI"/>
    <s v="A"/>
    <n v="4"/>
    <s v="MH1JFZ117GK347686"/>
    <s v="JFZ1E1151192"/>
    <s v="HONDA"/>
    <s v="BEAT"/>
    <s v="HITAM"/>
    <s v="JG"/>
    <s v="GAGAL BAYAR"/>
    <n v="14"/>
    <n v="24"/>
    <x v="25"/>
    <s v="COLL"/>
    <x v="3"/>
    <x v="0"/>
    <m/>
  </r>
  <r>
    <n v="946"/>
    <d v="2025-11-17T10:09:06"/>
    <s v="50dfc547-071b-4547-a06d-921c46792c75"/>
    <s v="LatLng(lat: 1.1246105191911475, lng: 104.04821134576345)"/>
    <s v="SP-24-F0002740"/>
    <s v="FEBRY LISNA NINGSIH"/>
    <s v="BP 4801 QH"/>
    <x v="0"/>
    <s v="06.ROBEN"/>
    <s v="A"/>
    <n v="20"/>
    <s v="MH3SEE410HJ013805"/>
    <s v="E3R2E1734642"/>
    <s v="YAMAHA"/>
    <s v="MIO S"/>
    <s v="MERAH MARUN"/>
    <s v="JG"/>
    <s v="BELUM JTO"/>
    <n v="11"/>
    <n v="12"/>
    <x v="3"/>
    <s v="ALL"/>
    <x v="0"/>
    <x v="0"/>
    <m/>
  </r>
  <r>
    <n v="947"/>
    <d v="2025-11-17T10:21:15"/>
    <s v="e4173dd7-6d58-43a6-8f0e-8ad94c7a888a"/>
    <s v="LatLng(lat: 1.047627, lng: 103.9634461)"/>
    <s v="OD-25-F0001636"/>
    <s v="RAJA NANDA ALKAUSAR"/>
    <s v="BP 5158 HH"/>
    <x v="0"/>
    <s v="05.BOSPA"/>
    <s v="A"/>
    <n v="1"/>
    <s v="MH1JM0425RK192192"/>
    <s v="JM04E2191457"/>
    <s v="HONDA"/>
    <s v="SCOOPY KEYLESS"/>
    <s v="PUTIH"/>
    <s v="JG"/>
    <s v="DONE"/>
    <n v="2"/>
    <n v="18"/>
    <x v="29"/>
    <s v="COLL"/>
    <x v="0"/>
    <x v="0"/>
    <m/>
  </r>
  <r>
    <n v="948"/>
    <d v="2025-11-17T10:47:28"/>
    <s v="6d21de4b-42fc-49f2-86f3-40a2a9759695"/>
    <s v="LatLng(lat: 0.9163069, lng: 104.4842365)"/>
    <s v="BT-KD-24-00248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949"/>
    <d v="2025-11-17T11:17:29"/>
    <s v="2d9d422f-1d0e-4451-8950-dc9e388e3850"/>
    <s v="LatLng(lat: 1.0320805, lng: 103.9505782)"/>
    <s v="SP-24-F0002276"/>
    <s v="ANDERIAS YERU"/>
    <s v="BP 3077 OD"/>
    <x v="7"/>
    <s v="EVENDI"/>
    <s v=""/>
    <n v="26"/>
    <s v="MH1JM8118MK784575"/>
    <s v="JM81E1786599"/>
    <s v="HONDA"/>
    <s v="BEAT"/>
    <s v="PUTIH HITAM"/>
    <s v="JG"/>
    <s v="GAGAL BAYAR"/>
    <n v="12"/>
    <n v="18"/>
    <x v="33"/>
    <s v="COLL"/>
    <x v="1"/>
    <x v="0"/>
    <m/>
  </r>
  <r>
    <n v="950"/>
    <d v="2025-11-17T11:29:58"/>
    <s v="551fa799-4956-44f4-9122-ea915d0399f1"/>
    <s v="LatLng(lat: 1.056515, lng: 103.941604)"/>
    <s v="SP-25-F0001045"/>
    <s v="RIKI MULYANTO"/>
    <s v="BP 2807 HE"/>
    <x v="0"/>
    <s v="12.JUBRAIDER S"/>
    <s v="A"/>
    <n v="10"/>
    <s v="MH1JFZ129JK353053"/>
    <s v="JFZ1E2348182"/>
    <s v="HONDA"/>
    <s v="BEAT"/>
    <s v="HITAM"/>
    <s v="JG"/>
    <s v="BELUM JTO"/>
    <n v="6"/>
    <n v="18"/>
    <x v="12"/>
    <s v="COLL"/>
    <x v="0"/>
    <x v="0"/>
    <m/>
  </r>
  <r>
    <n v="951"/>
    <d v="2025-11-17T11:33:30"/>
    <s v="551fa799-4956-44f4-9122-ea915d0399f1"/>
    <s v="LatLng(lat: 1.0543095, lng: 103.941191)"/>
    <s v="OD-24-F0002157"/>
    <s v="ZULIANA RAMBE"/>
    <s v="BP 3597 HI"/>
    <x v="6"/>
    <s v="C"/>
    <s v=""/>
    <n v="1"/>
    <s v="MH1KC0210JK013935"/>
    <s v="KC02E1013762"/>
    <s v="HONDA"/>
    <s v="CB VERZA"/>
    <s v="MERAH"/>
    <s v="JG"/>
    <s v="BELUM JTO"/>
    <n v="16"/>
    <n v="18"/>
    <x v="12"/>
    <s v="COLL"/>
    <x v="0"/>
    <x v="0"/>
    <m/>
  </r>
  <r>
    <n v="952"/>
    <d v="2025-11-17T11:34:40"/>
    <s v="551fa799-4956-44f4-9122-ea915d0399f1"/>
    <s v="LatLng(lat: 1.054483, lng: 103.9400847)"/>
    <s v="OD-25-F0000223"/>
    <s v="EDVIN HAMARAL"/>
    <s v="BP 3917 CO"/>
    <x v="0"/>
    <s v="14.CALL CENTER"/>
    <s v="A"/>
    <n v="23"/>
    <s v="MH1JM0410NK035803"/>
    <s v="JM04E1037355"/>
    <s v="HONDA"/>
    <s v="SCOOPY"/>
    <s v="MERAH"/>
    <s v="JG"/>
    <s v="BELUM JTO"/>
    <n v="10"/>
    <n v="12"/>
    <x v="12"/>
    <s v="COLL"/>
    <x v="0"/>
    <x v="0"/>
    <m/>
  </r>
  <r>
    <n v="953"/>
    <d v="2025-11-17T11:34:45"/>
    <s v="74bb1709-aa7b-4b41-a082-a2af867fd15e"/>
    <s v="LatLng(lat: 1.0541911, lng: 103.9407669)"/>
    <s v="OD-24-F0002157"/>
    <s v="ZULIANA RAMBE"/>
    <s v="BP 3597 HI"/>
    <x v="6"/>
    <s v="C"/>
    <s v=""/>
    <n v="1"/>
    <s v="MH1KC0210JK013935"/>
    <s v="KC02E1013762"/>
    <s v="HONDA"/>
    <s v="CB VERZA"/>
    <s v="MERAH"/>
    <s v="JG"/>
    <s v="BELUM JTO"/>
    <n v="16"/>
    <n v="18"/>
    <x v="7"/>
    <s v="COLL"/>
    <x v="0"/>
    <x v="0"/>
    <m/>
  </r>
  <r>
    <n v="954"/>
    <d v="2025-11-17T11:37:43"/>
    <s v="74bb1709-aa7b-4b41-a082-a2af867fd15e"/>
    <s v="LatLng(lat: 1.0568032, lng: 103.9409561)"/>
    <s v="SP-25-F0001650"/>
    <s v="ROBBY SAPUTRA"/>
    <s v="BP 5923 CF"/>
    <x v="0"/>
    <s v="07.RINTO"/>
    <s v="A"/>
    <n v="11"/>
    <s v="MH1JFM213EK086751"/>
    <s v="JFM2E1080124"/>
    <s v="HONDA"/>
    <s v="BEAT"/>
    <s v="WHITE RED"/>
    <s v="JG"/>
    <s v="BELUM JTO"/>
    <n v="4"/>
    <n v="12"/>
    <x v="7"/>
    <s v="COLL"/>
    <x v="0"/>
    <x v="0"/>
    <m/>
  </r>
  <r>
    <n v="955"/>
    <d v="2025-11-17T11:37:58"/>
    <s v="551fa799-4956-44f4-9122-ea915d0399f1"/>
    <s v="LatLng(lat: 1.0571391, lng: 103.9410372)"/>
    <s v="SP-25-F0002619"/>
    <s v="RIKARDUS TUJUAN WEHALO"/>
    <s v="BP 6515 HH"/>
    <x v="0"/>
    <s v="14.CALL CENTER"/>
    <s v=""/>
    <n v="18"/>
    <s v="MH8DL23ANKJ150707"/>
    <s v="CGA2ID154169"/>
    <s v="SUZUKI"/>
    <s v="GSX"/>
    <s v="BIRU"/>
    <s v="JG"/>
    <s v="BELUM JTO"/>
    <n v="1"/>
    <n v="12"/>
    <x v="12"/>
    <s v="COLL"/>
    <x v="0"/>
    <x v="0"/>
    <m/>
  </r>
  <r>
    <n v="956"/>
    <d v="2025-11-17T11:38:31"/>
    <s v="e0d931cf-6e64-4a91-a81a-04cf02d33a39"/>
    <s v="LatLng(lat: 1.0570983, lng: 103.9411317)"/>
    <s v="SP-25-F0002619"/>
    <s v="RIKARDUS TUJUAN WEHALO"/>
    <s v="BP 6515 HH"/>
    <x v="0"/>
    <s v="14.CALL CENTER"/>
    <s v=""/>
    <n v="18"/>
    <s v="MH8DL23ANKJ150707"/>
    <s v="CGA2ID154169"/>
    <s v="SUZUKI"/>
    <s v="GSX"/>
    <s v="BIRU"/>
    <s v="JG"/>
    <s v="BELUM JTO"/>
    <n v="1"/>
    <n v="12"/>
    <x v="13"/>
    <s v="COLL"/>
    <x v="0"/>
    <x v="0"/>
    <m/>
  </r>
  <r>
    <n v="957"/>
    <d v="2025-11-17T11:38:38"/>
    <s v="551fa799-4956-44f4-9122-ea915d0399f1"/>
    <s v="LatLng(lat: 1.0574017, lng: 103.939855)"/>
    <s v="SP-25-F0000942"/>
    <s v="MIRANI SUGRESTI"/>
    <s v="BP 6575 RC"/>
    <x v="3"/>
    <s v="PAUL"/>
    <s v=""/>
    <n v="1"/>
    <s v="MH3SE9040HJ012790"/>
    <s v="E3W9E0016597"/>
    <s v="YAMAHA"/>
    <s v="MIO SOUL"/>
    <s v="BIRU TUA"/>
    <s v="JG"/>
    <s v="GAGAL BAYAR"/>
    <n v="4"/>
    <n v="6"/>
    <x v="12"/>
    <s v="COLL"/>
    <x v="4"/>
    <x v="1"/>
    <m/>
  </r>
  <r>
    <n v="958"/>
    <d v="2025-11-17T11:40:46"/>
    <s v="e0d931cf-6e64-4a91-a81a-04cf02d33a39"/>
    <s v="LatLng(lat: 1.0588817, lng: 103.9370183)"/>
    <s v="OD-24-F0002366"/>
    <s v="JUMAEDIL"/>
    <s v="BP 4858 II"/>
    <x v="0"/>
    <s v="11.RIMPUN"/>
    <s v="A"/>
    <n v="20"/>
    <s v="MH32PK001EK032210"/>
    <s v="2PK032378"/>
    <s v="YAMAHA"/>
    <s v="R15"/>
    <s v="PUTIH BIRU"/>
    <s v="JG"/>
    <s v="BELUM JTO"/>
    <n v="15"/>
    <n v="24"/>
    <x v="13"/>
    <s v="COLL"/>
    <x v="0"/>
    <x v="0"/>
    <m/>
  </r>
  <r>
    <n v="959"/>
    <d v="2025-11-17T11:49:35"/>
    <s v="51f658db-9885-4d52-99bd-8e1bf0356977"/>
    <s v="LatLng(lat: 1.0546111, lng: 103.9728528)"/>
    <s v="SP-25-F0001522"/>
    <s v="ALI MAKMUR"/>
    <s v="BP 5274 AQ"/>
    <x v="0"/>
    <s v="14.CALL CENTER"/>
    <s v="A"/>
    <n v="1"/>
    <s v="MH3SG5670PK281211"/>
    <s v="G3L8E1490474"/>
    <s v="YAMAHA"/>
    <s v="N MAX CONNECTED"/>
    <s v="MERAH"/>
    <s v="JG"/>
    <s v="DONE"/>
    <n v="4"/>
    <n v="18"/>
    <x v="19"/>
    <s v="COLL"/>
    <x v="0"/>
    <x v="0"/>
    <m/>
  </r>
  <r>
    <n v="960"/>
    <d v="2025-11-17T11:51:53"/>
    <s v="51f658db-9885-4d52-99bd-8e1bf0356977"/>
    <s v="LatLng(lat: 1.0549491, lng: 103.971812)"/>
    <s v="SP-25-F0000904"/>
    <s v="PARLINDUNGAN NST"/>
    <s v="BP 4029 RC"/>
    <x v="0"/>
    <s v="10.MIDUK"/>
    <s v="A"/>
    <n v="1"/>
    <s v="MH1JM3139KK059763"/>
    <s v="JM31E3052221"/>
    <s v="HONDA"/>
    <s v="SCOOPY"/>
    <s v="PUTIH HITAM"/>
    <s v="JG"/>
    <s v="GAGAL BAYAR"/>
    <n v="6"/>
    <n v="18"/>
    <x v="19"/>
    <s v="COLL"/>
    <x v="0"/>
    <x v="0"/>
    <m/>
  </r>
  <r>
    <n v="961"/>
    <d v="2025-11-17T11:51:56"/>
    <s v="86afd147-8c0b-48e4-aaf8-44ad72c52985"/>
    <s v="LatLng(lat: 1.0550213, lng: 103.9719802)"/>
    <s v="SP-25-F0000904"/>
    <s v="PARLINDUNGAN NST"/>
    <s v="BP 4029 RC"/>
    <x v="0"/>
    <s v="10.MIDUK"/>
    <s v="A"/>
    <n v="1"/>
    <s v="MH1JM3139KK059763"/>
    <s v="JM31E3052221"/>
    <s v="HONDA"/>
    <s v="SCOOPY"/>
    <s v="PUTIH HITAM"/>
    <s v="JG"/>
    <s v="GAGAL BAYAR"/>
    <n v="6"/>
    <n v="18"/>
    <x v="15"/>
    <s v="COLL"/>
    <x v="0"/>
    <x v="0"/>
    <m/>
  </r>
  <r>
    <n v="962"/>
    <d v="2025-11-17T12:25:45"/>
    <s v="78c8aa58-d259-49a1-a96c-192417985ecf"/>
    <s v="LatLng(lat: 1.0500214, lng: 103.9430607)"/>
    <s v="SP-25-F0001594"/>
    <s v="RIKO ANWARDI"/>
    <s v="BP 2564 QC"/>
    <x v="3"/>
    <s v="PAUL"/>
    <s v=""/>
    <n v="8"/>
    <s v="MH1JM9129PK854412"/>
    <s v="JM91E2852196"/>
    <s v="HONDA"/>
    <s v="BEAT FI"/>
    <s v="HIJAU"/>
    <s v="JG"/>
    <s v="GAGAL BAYAR"/>
    <n v="2"/>
    <n v="24"/>
    <x v="16"/>
    <s v="COLL"/>
    <x v="6"/>
    <x v="0"/>
    <m/>
  </r>
  <r>
    <n v="963"/>
    <d v="2025-11-17T12:44:40"/>
    <s v="987e43b5-2fed-4ba1-8992-1b4d84e413ab"/>
    <s v="LatLng(lat: 1.040313, lng: 103.9986228)"/>
    <s v="SP-25-F0001009"/>
    <s v="DIZE FIRMANDA GINTING"/>
    <s v="BP 3909 IG"/>
    <x v="0"/>
    <s v="12.JUBRAIDER S"/>
    <s v="D"/>
    <n v="7"/>
    <s v="MH1JFD113DK009426"/>
    <s v="JFD1E1008889"/>
    <s v="HONDA"/>
    <s v="BEAT SPOKE"/>
    <s v="HITAM"/>
    <s v="JG"/>
    <s v="BELUM JTO"/>
    <n v="6"/>
    <n v="12"/>
    <x v="20"/>
    <s v="COLL"/>
    <x v="0"/>
    <x v="0"/>
    <m/>
  </r>
  <r>
    <n v="964"/>
    <d v="2025-11-17T12:59:40"/>
    <s v="78c8aa58-d259-49a1-a96c-192417985ecf"/>
    <s v="LatLng(lat: 1.0506156, lng: 103.9418646)"/>
    <s v="OD-25-F0001894"/>
    <s v="DIKY WAHYUDI"/>
    <s v="BP 2240 Q"/>
    <x v="0"/>
    <s v="14.CALL CENTER"/>
    <s v=""/>
    <n v="17"/>
    <s v="MH1JM8213PK786043"/>
    <s v="JM82E1785443"/>
    <s v="HONDA"/>
    <s v="BEAT STREET"/>
    <s v="SILVER"/>
    <s v="JG"/>
    <s v="BELUM JTO"/>
    <n v="1"/>
    <n v="18"/>
    <x v="16"/>
    <s v="COLL"/>
    <x v="0"/>
    <x v="0"/>
    <m/>
  </r>
  <r>
    <n v="965"/>
    <d v="2025-11-17T13:12:27"/>
    <s v="688868a7-408e-44ae-b238-348dfc1995b0"/>
    <s v="LatLng(lat: 1.0327683, lng: 104.0023817)"/>
    <s v="SP-24-F0002008"/>
    <s v="SINDAWATI SAMOSIR"/>
    <s v="BP 4793 GU"/>
    <x v="4"/>
    <s v="TALENTA S"/>
    <s v=""/>
    <n v="23"/>
    <s v="MH1JM8134RK012762"/>
    <s v="JM81E3009154"/>
    <s v="HONDA"/>
    <s v="BEAT"/>
    <s v="MERAH HITAM"/>
    <s v="JG"/>
    <s v="GAGAL BAYAR"/>
    <n v="13"/>
    <n v="18"/>
    <x v="14"/>
    <s v="COLL"/>
    <x v="6"/>
    <x v="0"/>
    <m/>
  </r>
  <r>
    <n v="966"/>
    <d v="2025-11-17T13:18:16"/>
    <s v="2d9d422f-1d0e-4451-8950-dc9e388e3850"/>
    <s v="LatLng(lat: 1.0434805, lng: 103.9794373)"/>
    <s v="SP-25-F0002065"/>
    <s v="JUNFRIDO LUMBAN TORUAN"/>
    <s v="BP 5246 QO"/>
    <x v="0"/>
    <s v="14.CALL CENTER"/>
    <s v="A"/>
    <n v="15"/>
    <s v="MH3RG4710KK098923"/>
    <s v="G3J6E0183950"/>
    <s v="YAMAHA"/>
    <s v="R15 V3"/>
    <s v="BIRU"/>
    <s v="JG"/>
    <s v="BELUM JTO"/>
    <n v="3"/>
    <n v="18"/>
    <x v="33"/>
    <s v="COLL"/>
    <x v="0"/>
    <x v="0"/>
    <m/>
  </r>
  <r>
    <n v="967"/>
    <d v="2025-11-17T13:29:48"/>
    <s v="1770dac3-81ca-4fab-8a6a-e60c63470def"/>
    <s v="LatLng(lat: 1.05396, lng: 103.986852)"/>
    <s v="SP-25-F0002123"/>
    <s v="NURASIAH SITORUS"/>
    <s v="BP 4135 AH"/>
    <x v="0"/>
    <s v="14.CALL CENTER"/>
    <s v="A"/>
    <n v="22"/>
    <s v="MH3SG5620MJ325546"/>
    <s v="G3L8E0602004"/>
    <s v="YAMAHA"/>
    <s v="NMAX NEW"/>
    <s v="BIRU"/>
    <s v="JG"/>
    <s v="BELUM JTO"/>
    <n v="3"/>
    <n v="18"/>
    <x v="21"/>
    <s v="COLL"/>
    <x v="0"/>
    <x v="0"/>
    <m/>
  </r>
  <r>
    <n v="968"/>
    <d v="2025-11-17T13:45:01"/>
    <s v="66338f6f-6199-47e8-8fc9-c871a18b6d2c"/>
    <s v="LatLng(lat: 1.0677505, lng: 104.0261458)"/>
    <s v="SP-25-F0001370"/>
    <s v="INDRA GUNAWAN"/>
    <s v="BP 4822 QA"/>
    <x v="0"/>
    <s v="03.DAULAT"/>
    <s v="A"/>
    <n v="16"/>
    <s v="MH3RG1810GK286152"/>
    <s v="G3E7E0287781"/>
    <s v="YAMAHA"/>
    <s v="VIXION ADV"/>
    <s v="BIRU"/>
    <s v="JG"/>
    <s v="BELUM JTO"/>
    <n v="5"/>
    <n v="12"/>
    <x v="30"/>
    <s v="COLL"/>
    <x v="0"/>
    <x v="0"/>
    <m/>
  </r>
  <r>
    <n v="969"/>
    <d v="2025-11-17T14:07:26"/>
    <s v="50dfc547-071b-4547-a06d-921c46792c75"/>
    <s v="LatLng(lat: 1.043355378709497, lng: 103.97936992177132)"/>
    <s v="OD-25-F0000992"/>
    <s v="MUTAHARA"/>
    <s v="BP 4987 HR"/>
    <x v="3"/>
    <s v="PAUL"/>
    <s v=""/>
    <n v="1"/>
    <s v="MH1KF0118RK732211"/>
    <s v="KF01E1732021"/>
    <s v="HONDA"/>
    <s v="VARIO"/>
    <s v="MERAH"/>
    <s v="JG"/>
    <s v="GAGAL BAYAR"/>
    <n v="4"/>
    <n v="24"/>
    <x v="3"/>
    <s v="ALL"/>
    <x v="1"/>
    <x v="0"/>
    <m/>
  </r>
  <r>
    <n v="970"/>
    <d v="2025-11-17T14:24:22"/>
    <s v="50dfc547-071b-4547-a06d-921c46792c75"/>
    <s v="LatLng(lat: 1.0433462789863233, lng: 103.97936463829845)"/>
    <s v="OD-25-F0000215"/>
    <s v="SUPRIADI"/>
    <s v="BP 5285 OM"/>
    <x v="12"/>
    <s v="MARTIN"/>
    <s v=""/>
    <n v="22"/>
    <s v="MH3SE8810GJ694391"/>
    <s v="E3R2E0835019"/>
    <s v="YAMAHA"/>
    <s v="MIO M3"/>
    <s v="MERAH"/>
    <s v="JG"/>
    <s v="GAGAL BAYAR"/>
    <n v="7"/>
    <n v="24"/>
    <x v="3"/>
    <s v="ALL"/>
    <x v="1"/>
    <x v="0"/>
    <m/>
  </r>
  <r>
    <n v="971"/>
    <d v="2025-11-17T14:41:07"/>
    <s v="65c1341a-686d-45fb-810f-7b8814abe13f"/>
    <s v="LatLng(lat: 1.1780542, lng: 104.0205384)"/>
    <s v="SP-25-F0002665"/>
    <s v="YUSNITA BINTI RADIUS"/>
    <s v="BP 3650 QD"/>
    <x v="0"/>
    <s v="06.ROBEN"/>
    <s v=""/>
    <n v="24"/>
    <s v="MH1KF1110GK583831"/>
    <s v="KF11E1584947"/>
    <s v="HONDA"/>
    <s v="VARIO 150"/>
    <s v="COKLAT"/>
    <s v="JG"/>
    <s v="BELUM JTO"/>
    <n v="1"/>
    <n v="12"/>
    <x v="23"/>
    <s v="COLL"/>
    <x v="0"/>
    <x v="0"/>
    <m/>
  </r>
  <r>
    <n v="972"/>
    <d v="2025-11-17T14:43:11"/>
    <s v="fced54d3-7c26-48e8-91fe-7d7236e7f959"/>
    <s v="LatLng(lat: 1.0311575, lng: 104.0066068)"/>
    <s v="SP-25-F0001317"/>
    <s v="AHMAD NASUTION"/>
    <s v="BP 2426 RO"/>
    <x v="0"/>
    <s v="12.JUBRAIDER S"/>
    <s v="A"/>
    <n v="10"/>
    <s v="MH1JMA115NK008154"/>
    <s v="JMA1E1008140"/>
    <s v="HONDA"/>
    <s v="GENIO"/>
    <s v="HITAM-COKLAT"/>
    <s v="JG"/>
    <s v="BELUM JTO"/>
    <n v="5"/>
    <n v="24"/>
    <x v="10"/>
    <s v="COLL"/>
    <x v="1"/>
    <x v="0"/>
    <m/>
  </r>
  <r>
    <n v="973"/>
    <d v="2025-11-17T15:17:21"/>
    <s v="240e927b-449f-4469-8c98-e687f0b41cf8"/>
    <s v="LatLng(lat: 1.1265367, lng: 104.0992117)"/>
    <s v="SP-25-F0001889"/>
    <s v="DEDY FAISAL"/>
    <s v="BP 2857 OU"/>
    <x v="0"/>
    <s v="07.RINTO"/>
    <s v="A"/>
    <n v="6"/>
    <s v="MH1JM8113MK563496"/>
    <s v="JM81E1565291"/>
    <s v="HONDA"/>
    <s v="BEAT"/>
    <s v="HITAM"/>
    <s v="JG"/>
    <s v="BELUM JTO"/>
    <n v="3"/>
    <n v="18"/>
    <x v="34"/>
    <s v="COLL"/>
    <x v="0"/>
    <x v="0"/>
    <m/>
  </r>
  <r>
    <n v="974"/>
    <d v="2025-11-17T15:25:07"/>
    <s v="688868a7-408e-44ae-b238-348dfc1995b0"/>
    <s v="LatLng(lat: 1.0403536, lng: 103.9877224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4"/>
    <s v="COLL"/>
    <x v="0"/>
    <x v="0"/>
    <m/>
  </r>
  <r>
    <n v="975"/>
    <d v="2025-11-17T15:25:32"/>
    <s v="551fa799-4956-44f4-9122-ea915d0399f1"/>
    <s v="LatLng(lat: 1.0531679, lng: 103.9513481)"/>
    <s v="OD-25-F0000864"/>
    <s v="TAKWIM LUBIS"/>
    <s v="BP 5183 AR"/>
    <x v="0"/>
    <s v="14.CALL CENTER"/>
    <s v="A"/>
    <n v="15"/>
    <s v="MH1KC8217HK111112"/>
    <s v="KC82E1109831"/>
    <s v="HONDA"/>
    <s v="CB 150 R LED"/>
    <s v="MERAH"/>
    <s v="JG"/>
    <s v="BELUM JTO"/>
    <n v="7"/>
    <n v="12"/>
    <x v="12"/>
    <s v="COLL"/>
    <x v="0"/>
    <x v="0"/>
    <m/>
  </r>
  <r>
    <n v="976"/>
    <d v="2025-11-17T15:43:13"/>
    <s v="74bb1709-aa7b-4b41-a082-a2af867fd15e"/>
    <s v="LatLng(lat: 1.0461757, lng: 103.9631078)"/>
    <s v="OD-25-F0001914"/>
    <s v="JAMSON ARUAN"/>
    <s v="BP 3177 CH"/>
    <x v="0"/>
    <s v="14.CALL CENTER"/>
    <s v=""/>
    <n v="23"/>
    <s v="MH1KCB114NK034967"/>
    <s v="KCB1E1034979"/>
    <s v="HONDA"/>
    <s v="CBR 150"/>
    <s v="HITAM"/>
    <s v="JG"/>
    <s v="BELUM JTO"/>
    <n v="1"/>
    <n v="24"/>
    <x v="7"/>
    <s v="COLL"/>
    <x v="0"/>
    <x v="0"/>
    <m/>
  </r>
  <r>
    <n v="977"/>
    <d v="2025-11-17T15:48:29"/>
    <s v="dcc6f40b-a9a1-43d4-bd37-f0019f505bcd"/>
    <s v="LatLng(lat: 1.0402232, lng: 103.9874312)"/>
    <s v="OD-25-F0001451"/>
    <s v="RISA MAYA SARI"/>
    <s v="BP 5615 HG"/>
    <x v="6"/>
    <s v="C"/>
    <s v=""/>
    <n v="1"/>
    <s v="MH1JMF218RK295765"/>
    <s v="JMF2E1295990"/>
    <s v="HONDA"/>
    <s v="BEAT DELUX"/>
    <s v="BIRU"/>
    <s v="JG"/>
    <s v="BELUM JTO"/>
    <n v="4"/>
    <n v="24"/>
    <x v="9"/>
    <s v="COLL"/>
    <x v="0"/>
    <x v="0"/>
    <m/>
  </r>
  <r>
    <n v="978"/>
    <d v="2025-11-17T15:53:07"/>
    <s v="2d9d422f-1d0e-4451-8950-dc9e388e3850"/>
    <s v="LatLng(lat: 1.0496088, lng: 103.9679268)"/>
    <s v="SP-25-F0001821"/>
    <s v="PATRISIUS ROPI"/>
    <s v="BP 2267 FR"/>
    <x v="7"/>
    <s v="EVENDI"/>
    <s v=""/>
    <n v="25"/>
    <s v="MH1KC9112JK167469"/>
    <s v="KC91E1161266"/>
    <s v="HONDA"/>
    <s v="CBR 150"/>
    <s v="HITAM-MERAH"/>
    <s v="JG"/>
    <s v="GAGAL BAYAR"/>
    <n v="3"/>
    <n v="18"/>
    <x v="33"/>
    <s v="COLL"/>
    <x v="1"/>
    <x v="0"/>
    <m/>
  </r>
  <r>
    <n v="979"/>
    <d v="2025-11-17T16:08:22"/>
    <s v="6d21de4b-42fc-49f2-86f3-40a2a9759695"/>
    <s v="LatLng(lat: 0.9091065, lng: 104.4774674)"/>
    <s v="TP-24-F0000723"/>
    <s v="EVA PARLINA"/>
    <s v="BP 3950 PS"/>
    <x v="0"/>
    <s v="02.REY"/>
    <s v="A"/>
    <n v="21"/>
    <s v="MH1KF0112PK567026"/>
    <s v="KF01E1567096"/>
    <s v="HONDA"/>
    <s v="VARIO"/>
    <s v="HITAM"/>
    <s v="JG"/>
    <s v="BELUM JTO"/>
    <n v="12"/>
    <n v="18"/>
    <x v="0"/>
    <s v="COLL"/>
    <x v="0"/>
    <x v="0"/>
    <m/>
  </r>
  <r>
    <n v="980"/>
    <d v="2025-11-17T16:16:39"/>
    <s v="6d21de4b-42fc-49f2-86f3-40a2a9759695"/>
    <s v="LatLng(lat: 0.9123603, lng: 104.4837052)"/>
    <s v="TP-25-F0000329"/>
    <s v="KASWAN RIZAL"/>
    <s v="BP 3529 IT"/>
    <x v="6"/>
    <s v="C"/>
    <s v=""/>
    <n v="3"/>
    <s v="MH1JFW118FK136512"/>
    <s v="JFW1E1131255"/>
    <s v="HONDA"/>
    <s v="SCOOPY"/>
    <s v="KREM COKLAT"/>
    <s v="JG"/>
    <s v="BELUM JTO"/>
    <n v="7"/>
    <n v="12"/>
    <x v="0"/>
    <s v="COLL"/>
    <x v="0"/>
    <x v="0"/>
    <m/>
  </r>
  <r>
    <n v="981"/>
    <d v="2025-11-17T16:23:04"/>
    <s v="6d21de4b-42fc-49f2-86f3-40a2a9759695"/>
    <s v="LatLng(lat: 0.9166911, lng: 104.5085272)"/>
    <s v="BT-KD-24-00340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8"/>
    <x v="0"/>
    <m/>
  </r>
  <r>
    <n v="982"/>
    <d v="2025-11-17T16:35:56"/>
    <s v="74bb1709-aa7b-4b41-a082-a2af867fd15e"/>
    <s v="LatLng(lat: 1.0369455, lng: 103.9640136)"/>
    <s v="SP-25-F0000493"/>
    <s v="RAHMAT HIDAYAT"/>
    <s v="BP 4431 CU"/>
    <x v="6"/>
    <s v="C"/>
    <s v=""/>
    <n v="1"/>
    <s v="MH1JMC119PK289437"/>
    <s v="JMC1E1289345"/>
    <s v="HONDA"/>
    <s v="VARIO 125"/>
    <s v="MERAH"/>
    <s v="JG"/>
    <s v="BELUM JTO"/>
    <n v="9"/>
    <n v="12"/>
    <x v="7"/>
    <s v="COLL"/>
    <x v="0"/>
    <x v="0"/>
    <m/>
  </r>
  <r>
    <n v="983"/>
    <d v="2025-11-17T16:36:59"/>
    <s v="74bb1709-aa7b-4b41-a082-a2af867fd15e"/>
    <s v="LatLng(lat: 1.0367887, lng: 103.9595191)"/>
    <s v="OD-25-F0000487"/>
    <s v="ZULQARNAIN"/>
    <s v="BP 3103 QG"/>
    <x v="0"/>
    <s v="05.BOSPA"/>
    <s v="A"/>
    <n v="23"/>
    <s v="MH1KC9117GK027796"/>
    <s v="KC91E1030267"/>
    <s v="HONDA"/>
    <s v="CBR 150"/>
    <s v="PUTIH"/>
    <s v="JG"/>
    <s v="BELUM JTO"/>
    <n v="9"/>
    <n v="24"/>
    <x v="7"/>
    <s v="COLL"/>
    <x v="0"/>
    <x v="0"/>
    <m/>
  </r>
  <r>
    <n v="984"/>
    <d v="2025-11-17T16:46:40"/>
    <s v="551fa799-4956-44f4-9122-ea915d0399f1"/>
    <s v="LatLng(lat: 1.0547067, lng: 103.9247033)"/>
    <s v="OD-24-F0003014"/>
    <s v="MUHAMMAD SATRYA MULYAWAN"/>
    <s v="BP 3145 OD"/>
    <x v="6"/>
    <s v="C"/>
    <s v=""/>
    <n v="1"/>
    <s v="MH1KD1113MK244580"/>
    <s v="KD11E1243949"/>
    <s v="HONDA"/>
    <s v="CRF 150"/>
    <s v="MERAH PUTIH"/>
    <s v="JG"/>
    <s v="BELUM JTO"/>
    <n v="13"/>
    <n v="24"/>
    <x v="12"/>
    <s v="COLL"/>
    <x v="0"/>
    <x v="0"/>
    <m/>
  </r>
  <r>
    <n v="985"/>
    <d v="2025-11-17T16:54:49"/>
    <s v="551fa799-4956-44f4-9122-ea915d0399f1"/>
    <s v="LatLng(lat: 1.0545518, lng: 103.9247031)"/>
    <s v="OD-25-F0001368"/>
    <s v="RIZKI AHMAD REZA LUBIS"/>
    <s v="BP 3783 RR"/>
    <x v="0"/>
    <s v="05.BOSPA"/>
    <s v="A"/>
    <n v="14"/>
    <s v="MH1KF411XKK691464"/>
    <s v="KF41E1694149"/>
    <s v="HONDA"/>
    <s v="VARIO"/>
    <s v="HITAM"/>
    <s v="JG"/>
    <s v="BELUM JTO"/>
    <n v="4"/>
    <n v="18"/>
    <x v="12"/>
    <s v="COLL"/>
    <x v="0"/>
    <x v="0"/>
    <m/>
  </r>
  <r>
    <n v="986"/>
    <d v="2025-11-17T16:59:14"/>
    <s v="fced54d3-7c26-48e8-91fe-7d7236e7f959"/>
    <s v="LatLng(lat: 1.0451106, lng: 103.9643633)"/>
    <s v="OD-25-F0001182"/>
    <s v="IMELDA PEONI"/>
    <s v="BP 5203 QM"/>
    <x v="0"/>
    <s v="08.JOSRI"/>
    <s v="A"/>
    <n v="1"/>
    <s v="MH3SEF310JJ022938"/>
    <s v="E31VE0029211"/>
    <s v="YAMAHA"/>
    <s v="LEXI"/>
    <s v="PUTIH"/>
    <s v="JG"/>
    <s v="DONE"/>
    <n v="5"/>
    <n v="24"/>
    <x v="10"/>
    <s v="COLL"/>
    <x v="1"/>
    <x v="0"/>
    <m/>
  </r>
  <r>
    <n v="987"/>
    <d v="2025-11-17T17:05:19"/>
    <s v="fced54d3-7c26-48e8-91fe-7d7236e7f959"/>
    <s v="LatLng(lat: 1.0450928, lng: 103.9643371)"/>
    <s v="SP-25-F0001880"/>
    <s v="CHAIDIR DANUR D"/>
    <s v="BP 6865 J"/>
    <x v="3"/>
    <s v="PAUL"/>
    <s v=""/>
    <n v="1"/>
    <s v="MH1JMC117SK551447"/>
    <s v="JMC1E1550364"/>
    <s v="HONDA"/>
    <s v="VARIO 125"/>
    <s v="HITAM"/>
    <s v="JG"/>
    <s v="GAGAL BAYAR"/>
    <n v="1"/>
    <n v="24"/>
    <x v="10"/>
    <s v="COLL"/>
    <x v="1"/>
    <x v="0"/>
    <m/>
  </r>
  <r>
    <n v="988"/>
    <d v="2025-11-17T19:30:35"/>
    <s v="6d21de4b-42fc-49f2-86f3-40a2a9759695"/>
    <s v="LatLng(lat: 0.9061017, lng: 104.4734767)"/>
    <s v="TP-25-F0000578"/>
    <s v="ILHAM"/>
    <s v="BP 3450 SB"/>
    <x v="0"/>
    <s v="02.REY"/>
    <s v="A"/>
    <n v="15"/>
    <s v="MH1JM0315PK529143"/>
    <s v="JM03E1529251"/>
    <s v="HONDA"/>
    <s v="SCOOPY"/>
    <s v="COKLAT KREM"/>
    <s v="JG"/>
    <s v="BELUM JTO"/>
    <n v="3"/>
    <n v="24"/>
    <x v="0"/>
    <s v="COLL"/>
    <x v="0"/>
    <x v="0"/>
    <m/>
  </r>
  <r>
    <n v="989"/>
    <d v="2025-11-17T19:49:31"/>
    <s v="6d21de4b-42fc-49f2-86f3-40a2a9759695"/>
    <s v="LatLng(lat: 0.89526, lng: 104.4798367)"/>
    <s v="TP-24-F0000382"/>
    <s v="DARMONO WIJI"/>
    <s v="BP 2606 PQ"/>
    <x v="0"/>
    <s v="14.CALL CENTER"/>
    <s v="A"/>
    <n v="23"/>
    <s v="MH1JM8128NK227269"/>
    <s v="JM81E2228870"/>
    <s v="HONDA"/>
    <s v="BEAT"/>
    <s v="MERAH HITAM"/>
    <s v="JG"/>
    <s v="BELUM JTO"/>
    <n v="16"/>
    <n v="24"/>
    <x v="0"/>
    <s v="COLL"/>
    <x v="0"/>
    <x v="0"/>
    <m/>
  </r>
  <r>
    <n v="990"/>
    <d v="2025-11-17T23:31:46"/>
    <s v="6d21de4b-42fc-49f2-86f3-40a2a9759695"/>
    <s v="LatLng(lat: 0.925135, lng: 104.4665667)"/>
    <s v="TP-24-F0000185"/>
    <s v="SLAMAT"/>
    <s v="BP 4564 PB"/>
    <x v="6"/>
    <s v="C"/>
    <s v=""/>
    <n v="7"/>
    <s v="MH3SG3190KK422824"/>
    <s v="G3E4E1245631"/>
    <s v="YAMAHA"/>
    <s v="NMAX"/>
    <s v="PUTIH"/>
    <s v="JG"/>
    <s v="BELUM JTO"/>
    <n v="19"/>
    <n v="24"/>
    <x v="0"/>
    <s v="COLL"/>
    <x v="0"/>
    <x v="0"/>
    <m/>
  </r>
  <r>
    <n v="991"/>
    <d v="2025-11-18T07:48:12"/>
    <s v="66338f6f-6199-47e8-8fc9-c871a18b6d2c"/>
    <s v="LatLng(lat: 1.0722137, lng: 104.0229993)"/>
    <s v="SP-24-F0001373"/>
    <s v="BUDI ARIF SAHBANA"/>
    <s v="BP 2410 RI"/>
    <x v="10"/>
    <s v="EKSTERNAL"/>
    <s v=""/>
    <n v="9"/>
    <s v="MH1KFA113NK005459"/>
    <s v="KFA1E1005415"/>
    <s v="HONDA"/>
    <s v="VARIO"/>
    <s v="HITAM"/>
    <s v="JG"/>
    <s v="GAGAL BAYAR"/>
    <n v="2"/>
    <n v="24"/>
    <x v="30"/>
    <s v="COLL"/>
    <x v="6"/>
    <x v="0"/>
    <m/>
  </r>
  <r>
    <n v="992"/>
    <d v="2025-11-18T08:29:06"/>
    <s v="a4f24bfd-45be-407a-a9ce-5da8e226108b"/>
    <s v="LatLng(lat: 1.1436604, lng: 104.0289703)"/>
    <s v="OD-24-F0002795"/>
    <s v="MOH. AMINUROBLI"/>
    <s v="BP 3683 HM"/>
    <x v="7"/>
    <s v="MARTIN"/>
    <s v=""/>
    <n v="2"/>
    <s v="MH1JM2113JK971571"/>
    <s v="JM21E1950882"/>
    <s v="HONDA"/>
    <s v="BEAT"/>
    <s v="BIRU PUTIH"/>
    <s v="JG"/>
    <s v="GAGAL BAYAR"/>
    <n v="12"/>
    <n v="18"/>
    <x v="2"/>
    <s v="COLL"/>
    <x v="1"/>
    <x v="0"/>
    <m/>
  </r>
  <r>
    <n v="993"/>
    <d v="2025-11-18T08:55:33"/>
    <s v="dcc6f40b-a9a1-43d4-bd37-f0019f505bcd"/>
    <s v="LatLng(lat: 1.0401609, lng: 103.9874601)"/>
    <s v="SP-25-F0001262"/>
    <s v="DEDDY PUTRA"/>
    <s v="BP 3988 RD"/>
    <x v="0"/>
    <s v="04.RIZKI A"/>
    <s v="A"/>
    <n v="4"/>
    <s v="MH1JM0219MK533502"/>
    <s v="JM02E1533680"/>
    <s v="HONDA"/>
    <s v="SCOOPY"/>
    <s v="PUTIH"/>
    <s v="JG"/>
    <s v="GAGAL BAYAR"/>
    <n v="5"/>
    <n v="12"/>
    <x v="9"/>
    <s v="COLL"/>
    <x v="0"/>
    <x v="0"/>
    <m/>
  </r>
  <r>
    <n v="994"/>
    <d v="2025-11-18T08:55:48"/>
    <s v="688868a7-408e-44ae-b238-348dfc1995b0"/>
    <s v="LatLng(lat: 1.040235, lng: 103.9872038)"/>
    <s v="SP-25-F0001262"/>
    <s v="DEDDY PUTRA"/>
    <s v="BP 3988 RD"/>
    <x v="0"/>
    <s v="04.RIZKI A"/>
    <s v="A"/>
    <n v="4"/>
    <s v="MH1JM0219MK533502"/>
    <s v="JM02E1533680"/>
    <s v="HONDA"/>
    <s v="SCOOPY"/>
    <s v="PUTIH"/>
    <s v="JG"/>
    <s v="GAGAL BAYAR"/>
    <n v="5"/>
    <n v="12"/>
    <x v="14"/>
    <s v="COLL"/>
    <x v="0"/>
    <x v="0"/>
    <m/>
  </r>
  <r>
    <n v="995"/>
    <d v="2025-11-18T09:03:21"/>
    <s v="74bb1709-aa7b-4b41-a082-a2af867fd15e"/>
    <s v="LatLng(lat: 1.0274089, lng: 103.9588751)"/>
    <s v="SP-25-F0000093"/>
    <s v="AFRIZAL CHANDRA"/>
    <s v="BP 2176 Q"/>
    <x v="0"/>
    <s v="10.MIDUK"/>
    <s v="A"/>
    <n v="11"/>
    <s v="MH1JM0411PK226827"/>
    <s v="JM04E1226846"/>
    <s v="HONDA"/>
    <s v="SCOOPY KEYLESS"/>
    <s v="HIJAU"/>
    <s v="JG"/>
    <s v="BELUM JTO"/>
    <n v="10"/>
    <n v="12"/>
    <x v="7"/>
    <s v="COLL"/>
    <x v="0"/>
    <x v="0"/>
    <m/>
  </r>
  <r>
    <n v="996"/>
    <d v="2025-11-18T10:28:16"/>
    <s v="551fa799-4956-44f4-9122-ea915d0399f1"/>
    <s v="LatLng(lat: 1.0452727, lng: 103.9785294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12"/>
    <s v="COLL"/>
    <x v="0"/>
    <x v="0"/>
    <m/>
  </r>
  <r>
    <n v="997"/>
    <d v="2025-11-18T10:29:17"/>
    <s v="987e43b5-2fed-4ba1-8992-1b4d84e413ab"/>
    <s v="LatLng(lat: 1.0450865, lng: 103.9649761)"/>
    <s v="SP-25-F0001389"/>
    <s v="ROBIN SADEWO"/>
    <s v="BP 2613 MR"/>
    <x v="0"/>
    <s v="14.CALL CENTER"/>
    <s v="A"/>
    <n v="16"/>
    <s v="MH1JM8216NK520450"/>
    <s v="JM82E1518579"/>
    <s v="HONDA"/>
    <s v="BEAT STREET"/>
    <s v="HITAM"/>
    <s v="JG"/>
    <s v="BELUM JTO"/>
    <n v="5"/>
    <n v="18"/>
    <x v="20"/>
    <s v="COLL"/>
    <x v="0"/>
    <x v="0"/>
    <m/>
  </r>
  <r>
    <n v="998"/>
    <d v="2025-11-18T10:38:28"/>
    <s v="74bb1709-aa7b-4b41-a082-a2af867fd15e"/>
    <s v="LatLng(lat: 1.0442725, lng: 103.9803515)"/>
    <s v="OD-25-F0001421"/>
    <s v="RIKI MARTIN MEHA"/>
    <s v="BP 4723 JQ"/>
    <x v="0"/>
    <s v="14.CALL CENTER"/>
    <s v="A"/>
    <n v="22"/>
    <s v="MH31PA002DK243280"/>
    <s v="1PA241338"/>
    <s v="YAMAHA"/>
    <s v="VIXION KS"/>
    <s v="PUTIH"/>
    <s v="JG"/>
    <s v="BELUM JTO"/>
    <n v="4"/>
    <n v="12"/>
    <x v="7"/>
    <s v="COLL"/>
    <x v="0"/>
    <x v="0"/>
    <m/>
  </r>
  <r>
    <n v="999"/>
    <d v="2025-11-18T10:41:46"/>
    <s v="a4f24bfd-45be-407a-a9ce-5da8e226108b"/>
    <s v="LatLng(lat: 1.0432288, lng: 103.9793846)"/>
    <s v="OD-25-F0000992"/>
    <s v="MUTAHARA"/>
    <s v="BP 4987 HR"/>
    <x v="3"/>
    <s v="PAUL"/>
    <s v=""/>
    <n v="1"/>
    <s v="MH1KF0118RK732211"/>
    <s v="KF01E1732021"/>
    <s v="HONDA"/>
    <s v="VARIO"/>
    <s v="MERAH"/>
    <s v="JG"/>
    <s v="GAGAL BAYAR"/>
    <n v="4"/>
    <n v="24"/>
    <x v="2"/>
    <s v="COLL"/>
    <x v="1"/>
    <x v="0"/>
    <m/>
  </r>
  <r>
    <n v="1000"/>
    <d v="2025-11-18T11:06:22"/>
    <s v="b5022170-5138-4d36-a599-749fef2d3ebb"/>
    <s v="LatLng(lat: 1.0917675, lng: 104.0350525)"/>
    <s v="OD-24-F0001974"/>
    <s v="RUSLI SAHAN"/>
    <s v="BP 3927 QG"/>
    <x v="0"/>
    <s v="04.RIZKI A"/>
    <s v="A"/>
    <n v="17"/>
    <s v="MH1JFW119GK516606"/>
    <s v="JFW1E1523964"/>
    <s v="HONDA"/>
    <s v="SCOOPY"/>
    <s v="PUTIH"/>
    <s v="JG"/>
    <s v="BELUM JTO"/>
    <n v="16"/>
    <n v="18"/>
    <x v="38"/>
    <s v="COLL"/>
    <x v="0"/>
    <x v="0"/>
    <m/>
  </r>
  <r>
    <n v="1001"/>
    <d v="2025-11-18T11:08:57"/>
    <s v="6d21de4b-42fc-49f2-86f3-40a2a9759695"/>
    <s v="LatLng(lat: 0.9167075, lng: 104.4852783)"/>
    <s v="BT-KD-24-00248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1002"/>
    <d v="2025-11-18T11:18:19"/>
    <s v="97b899c7-a738-4c0c-a57d-47d1be720bd2"/>
    <s v="LatLng(lat: 1.042607, lng: 103.98287)"/>
    <s v="SP-24-F0002780"/>
    <s v="RIKARDUS LEU"/>
    <s v="BP 4197 HU"/>
    <x v="3"/>
    <s v="PAUL"/>
    <s v=""/>
    <n v="1"/>
    <s v="MH1JMA119RK139934"/>
    <s v="JMA1E1139764"/>
    <s v="HONDA"/>
    <s v="GENIO"/>
    <s v="HITAM SILVER"/>
    <s v="JG"/>
    <s v="GAGAL BAYAR"/>
    <n v="8"/>
    <n v="18"/>
    <x v="5"/>
    <s v="COLL"/>
    <x v="8"/>
    <x v="0"/>
    <m/>
  </r>
  <r>
    <n v="1003"/>
    <d v="2025-11-18T12:22:44"/>
    <s v="908a2117-9e59-4ec5-981c-f44c8e53d59f"/>
    <s v="LatLng(lat: 1.0462933, lng: 103.929445)"/>
    <s v="OD-24-F0001529"/>
    <s v="ROADI"/>
    <s v="BP 4382 IF"/>
    <x v="0"/>
    <s v="09.OLOAN"/>
    <s v="D"/>
    <n v="8"/>
    <s v="MH33C1005CK911571"/>
    <s v="3C1912743"/>
    <s v="YAMAHA"/>
    <s v="VIXION"/>
    <s v="PUTIH"/>
    <s v="JG"/>
    <s v="BELUM JTO"/>
    <n v="17"/>
    <n v="18"/>
    <x v="47"/>
    <s v="COLL"/>
    <x v="0"/>
    <x v="0"/>
    <m/>
  </r>
  <r>
    <n v="1004"/>
    <d v="2025-11-18T12:27:37"/>
    <s v="dcc6f40b-a9a1-43d4-bd37-f0019f505bcd"/>
    <s v="LatLng(lat: 1.0417682, lng: 103.9887063)"/>
    <s v="SP-24-F0002001"/>
    <s v="SIMPRISIA MAYESTI WISANG"/>
    <s v="BP 2642 QQ"/>
    <x v="0"/>
    <s v="05.BOSPA"/>
    <s v="A"/>
    <n v="23"/>
    <s v="MH1JBK318GK163535"/>
    <s v="JBK3E1163375"/>
    <s v="HONDA"/>
    <s v="REVO"/>
    <s v="WHITE RED"/>
    <s v="JG"/>
    <s v="BELUM JTO"/>
    <n v="14"/>
    <n v="18"/>
    <x v="9"/>
    <s v="COLL"/>
    <x v="0"/>
    <x v="0"/>
    <m/>
  </r>
  <r>
    <n v="1005"/>
    <d v="2025-11-18T12:46:49"/>
    <s v="551fa799-4956-44f4-9122-ea915d0399f1"/>
    <s v="LatLng(lat: 1.043931, lng: 103.9804752)"/>
    <s v="BT-KD-24-00294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12"/>
    <s v="COLL"/>
    <x v="0"/>
    <x v="0"/>
    <m/>
  </r>
  <r>
    <n v="1006"/>
    <d v="2025-11-18T12:47:35"/>
    <s v="e3a70ada-a915-4680-aaa7-28e4b7d6722b"/>
    <s v="LatLng(lat: 1.1363367, lng: 104.010872)"/>
    <s v="SP-25-F0000674"/>
    <s v="SEBASTIANUS KEO"/>
    <s v="BP 4179 IA"/>
    <x v="0"/>
    <s v="06.ROBEN"/>
    <s v="A"/>
    <n v="22"/>
    <s v="MH31PA002DK050780"/>
    <s v="1PA050013"/>
    <s v="YAMAHA"/>
    <s v="VIXION KS"/>
    <s v="TITANUM GOLD"/>
    <s v="JG"/>
    <s v="BELUM JTO"/>
    <n v="8"/>
    <n v="12"/>
    <x v="37"/>
    <s v="COLL"/>
    <x v="0"/>
    <x v="0"/>
    <m/>
  </r>
  <r>
    <n v="1007"/>
    <d v="2025-11-18T13:34:28"/>
    <s v="74bb1709-aa7b-4b41-a082-a2af867fd15e"/>
    <s v="LatLng(lat: 1.0405292, lng: 104.0538837)"/>
    <s v="TP-25-F0000427"/>
    <s v="REKNO BUDIANTO"/>
    <s v="BP 3153 WT"/>
    <x v="0"/>
    <s v="02.REY"/>
    <s v="A"/>
    <n v="10"/>
    <s v="MH1JFB12XEK286380"/>
    <s v="JFB1E2233265"/>
    <s v="HONDA"/>
    <s v="VARIO 125"/>
    <s v="WHITE SILVER"/>
    <s v="JG"/>
    <s v="BELUM JTO"/>
    <n v="5"/>
    <n v="6"/>
    <x v="7"/>
    <s v="COLL"/>
    <x v="0"/>
    <x v="0"/>
    <m/>
  </r>
  <r>
    <n v="1008"/>
    <d v="2025-11-18T13:42:05"/>
    <s v="74bb1709-aa7b-4b41-a082-a2af867fd15e"/>
    <s v="LatLng(lat: 1.0378081, lng: 104.0533044)"/>
    <s v="OD-24-F0002690"/>
    <s v="EGI ROMADONI"/>
    <s v="BP 5232 GU"/>
    <x v="1"/>
    <s v="PAUL"/>
    <s v=""/>
    <n v="19"/>
    <s v="MH1KCB111RK056723"/>
    <s v="KCB1E1056711"/>
    <s v="HONDA"/>
    <s v="CBR 150"/>
    <s v="MERAH-HITAM"/>
    <s v="JG"/>
    <s v="GAGAL BAYAR"/>
    <n v="5"/>
    <n v="24"/>
    <x v="7"/>
    <s v="COLL"/>
    <x v="6"/>
    <x v="0"/>
    <m/>
  </r>
  <r>
    <n v="1009"/>
    <d v="2025-11-18T13:58:16"/>
    <s v="74bb1709-aa7b-4b41-a082-a2af867fd15e"/>
    <s v="LatLng(lat: 1.0343899, lng: 104.0557008)"/>
    <s v="OD-24-F0001340"/>
    <s v="EDY GUNAWAN"/>
    <s v="BP 6609 FO"/>
    <x v="0"/>
    <s v="11.RIMPUN"/>
    <s v="A"/>
    <n v="25"/>
    <s v="MH4KR150PDKP42015"/>
    <s v="KR150KEPB3035"/>
    <s v="KAWASAKI"/>
    <s v="NINJA"/>
    <s v="MERAH"/>
    <s v="JG"/>
    <s v="BELUM JTO"/>
    <n v="18"/>
    <n v="18"/>
    <x v="7"/>
    <s v="COLL"/>
    <x v="0"/>
    <x v="0"/>
    <m/>
  </r>
  <r>
    <n v="1010"/>
    <d v="2025-11-18T13:58:23"/>
    <s v="e0d931cf-6e64-4a91-a81a-04cf02d33a39"/>
    <s v="LatLng(lat: 1.035765, lng: 104.0705533)"/>
    <s v="OD-25-F0000300"/>
    <s v="BAGUS SURYANTO"/>
    <s v="BP 2902 QM"/>
    <x v="0"/>
    <s v="07.RINTO"/>
    <s v="A"/>
    <n v="1"/>
    <s v="MH1JBP118GK472468"/>
    <s v="JBP1E1470054"/>
    <s v="HONDA"/>
    <s v="SUPRA X"/>
    <s v="MERAH-HITAM"/>
    <s v="JG"/>
    <s v="DONE"/>
    <n v="9"/>
    <n v="18"/>
    <x v="13"/>
    <s v="COLL"/>
    <x v="0"/>
    <x v="0"/>
    <m/>
  </r>
  <r>
    <n v="1011"/>
    <d v="2025-11-18T13:59:53"/>
    <s v="688868a7-408e-44ae-b238-348dfc1995b0"/>
    <s v="LatLng(lat: 1.0390128, lng: 104.0543399)"/>
    <s v="OD-25-F0001434"/>
    <s v="DEDI DORES GINTING"/>
    <s v="BP 3695 AJ"/>
    <x v="0"/>
    <s v="03.DAULAT"/>
    <s v="A"/>
    <n v="24"/>
    <s v="MH1JFZ136KK248416"/>
    <s v="JFZ1E3245884"/>
    <s v="HONDA"/>
    <s v="BEAT"/>
    <s v="PUTIH"/>
    <s v="JG"/>
    <s v="BELUM JTO"/>
    <n v="4"/>
    <n v="12"/>
    <x v="14"/>
    <s v="COLL"/>
    <x v="0"/>
    <x v="0"/>
    <m/>
  </r>
  <r>
    <n v="1012"/>
    <d v="2025-11-18T14:04:48"/>
    <s v="74bb1709-aa7b-4b41-a082-a2af867fd15e"/>
    <s v="LatLng(lat: 1.0390054, lng: 104.0546884)"/>
    <s v="OD-25-F0000020"/>
    <s v="BOMA EKA PUTRA"/>
    <s v="BP 3258 AD"/>
    <x v="0"/>
    <s v="03.DAULAT"/>
    <s v="A"/>
    <n v="6"/>
    <s v="MH1JM6116KK052978"/>
    <s v="JM61E1053053"/>
    <s v="HONDA"/>
    <s v="GENIO"/>
    <s v="HITAM"/>
    <s v="JG"/>
    <s v="BELUM JTO"/>
    <n v="10"/>
    <n v="18"/>
    <x v="7"/>
    <s v="COLL"/>
    <x v="0"/>
    <x v="0"/>
    <m/>
  </r>
  <r>
    <n v="1013"/>
    <d v="2025-11-18T14:11:26"/>
    <s v="51f658db-9885-4d52-99bd-8e1bf0356977"/>
    <s v="LatLng(lat: 1.0382228, lng: 104.071539)"/>
    <s v="SP-25-F0000153"/>
    <s v="FEBRI SAPUTRA"/>
    <s v="BP 2530 IU"/>
    <x v="0"/>
    <s v="10.MIDUK"/>
    <s v="A"/>
    <n v="18"/>
    <s v="MH1JM3139LK285965"/>
    <s v="JM31E3281264"/>
    <s v="HONDA"/>
    <s v="SCOOPY NON KEY"/>
    <s v="MERAH HITAM"/>
    <s v="JG"/>
    <s v="BELUM JTO"/>
    <n v="10"/>
    <n v="12"/>
    <x v="19"/>
    <s v="COLL"/>
    <x v="0"/>
    <x v="0"/>
    <m/>
  </r>
  <r>
    <n v="1014"/>
    <d v="2025-11-18T14:11:58"/>
    <s v="86afd147-8c0b-48e4-aaf8-44ad72c52985"/>
    <s v="LatLng(lat: 1.0382633, lng: 104.0715564)"/>
    <s v="SP-25-F0000153"/>
    <s v="FEBRI SAPUTRA"/>
    <s v="BP 2530 IU"/>
    <x v="0"/>
    <s v="10.MIDUK"/>
    <s v="A"/>
    <n v="18"/>
    <s v="MH1JM3139LK285965"/>
    <s v="JM31E3281264"/>
    <s v="HONDA"/>
    <s v="SCOOPY NON KEY"/>
    <s v="MERAH HITAM"/>
    <s v="JG"/>
    <s v="BELUM JTO"/>
    <n v="10"/>
    <n v="12"/>
    <x v="15"/>
    <s v="COLL"/>
    <x v="0"/>
    <x v="0"/>
    <m/>
  </r>
  <r>
    <n v="1015"/>
    <d v="2025-11-18T14:49:16"/>
    <s v="1770dac3-81ca-4fab-8a6a-e60c63470def"/>
    <s v="LatLng(lat: 1.0327794, lng: 104.0921181)"/>
    <s v="SP-25-F0000603"/>
    <s v="MUHAMMAD RIVAL SUKANTO"/>
    <s v="BP 3821 RF"/>
    <x v="0"/>
    <s v="14.CALL CENTER"/>
    <s v="A"/>
    <n v="20"/>
    <s v="MH1JM0216NK593349"/>
    <s v="JM02E1593160"/>
    <s v="HONDA"/>
    <s v="SCOOPY"/>
    <s v="PUTIH"/>
    <s v="JG"/>
    <s v="LUNAS"/>
    <n v="8"/>
    <n v="12"/>
    <x v="21"/>
    <s v="COLL"/>
    <x v="0"/>
    <x v="0"/>
    <m/>
  </r>
  <r>
    <n v="1016"/>
    <d v="2025-11-18T14:49:23"/>
    <s v="51f658db-9885-4d52-99bd-8e1bf0356977"/>
    <s v="LatLng(lat: 1.0327969, lng: 104.092119)"/>
    <s v="SP-25-F0000603"/>
    <s v="MUHAMMAD RIVAL SUKANTO"/>
    <s v="BP 3821 RF"/>
    <x v="0"/>
    <s v="14.CALL CENTER"/>
    <s v="A"/>
    <n v="20"/>
    <s v="MH1JM0216NK593349"/>
    <s v="JM02E1593160"/>
    <s v="HONDA"/>
    <s v="SCOOPY"/>
    <s v="PUTIH"/>
    <s v="JG"/>
    <s v="LUNAS"/>
    <n v="8"/>
    <n v="12"/>
    <x v="19"/>
    <s v="COLL"/>
    <x v="0"/>
    <x v="0"/>
    <m/>
  </r>
  <r>
    <n v="1017"/>
    <d v="2025-11-18T14:52:57"/>
    <s v="6d21de4b-42fc-49f2-86f3-40a2a9759695"/>
    <s v="LatLng(lat: 0.9266882, lng: 104.4406262)"/>
    <s v="TP-24-F0000692"/>
    <s v="KHOIRUL CANDRA"/>
    <s v="BP 3254 DP"/>
    <x v="0"/>
    <s v="01.SYAMSURI"/>
    <s v="A"/>
    <n v="9"/>
    <s v="MH1JMD115PK412852"/>
    <s v="JMD1E1413154"/>
    <s v="HONDA"/>
    <s v="VARIO KEYLESS"/>
    <s v="PUTIH"/>
    <s v="JG"/>
    <s v="BELUM JTO"/>
    <n v="12"/>
    <n v="12"/>
    <x v="0"/>
    <s v="COLL"/>
    <x v="0"/>
    <x v="0"/>
    <m/>
  </r>
  <r>
    <n v="1018"/>
    <d v="2025-11-18T14:55:22"/>
    <s v="6d21de4b-42fc-49f2-86f3-40a2a9759695"/>
    <s v="LatLng(lat: 0.9267067, lng: 104.4406233)"/>
    <s v="TP-23-F0000406"/>
    <s v="RIZKY MUHAMAD GULFY RISANDY"/>
    <s v="BP 3410 CB"/>
    <x v="0"/>
    <s v="02.REY"/>
    <s v="A"/>
    <n v="26"/>
    <s v="MH1KF1112FK041211"/>
    <s v="KF11E1046369"/>
    <s v="HONDA"/>
    <s v="VARIO 150"/>
    <s v="HITAM"/>
    <s v="JG"/>
    <s v="BELUM JTO"/>
    <n v="28"/>
    <n v="36"/>
    <x v="0"/>
    <s v="COLL"/>
    <x v="0"/>
    <x v="0"/>
    <m/>
  </r>
  <r>
    <n v="1019"/>
    <d v="2025-11-18T15:04:24"/>
    <s v="78c8aa58-d259-49a1-a96c-192417985ecf"/>
    <s v="LatLng(lat: 1.0687552, lng: 104.1143966)"/>
    <s v="SP-24-F0001525"/>
    <s v="RAHADIAN"/>
    <s v="BP 2804 I"/>
    <x v="0"/>
    <s v="03.DAULAT"/>
    <s v="A"/>
    <n v="1"/>
    <s v="MH1JM8117MK626261"/>
    <s v="JM81E1628253"/>
    <s v="HONDA"/>
    <s v="BEAT"/>
    <s v="BIRU PUTIH"/>
    <s v="JG"/>
    <s v="GAGAL BAYAR"/>
    <n v="15"/>
    <n v="18"/>
    <x v="16"/>
    <s v="COLL"/>
    <x v="0"/>
    <x v="0"/>
    <m/>
  </r>
  <r>
    <n v="1020"/>
    <d v="2025-11-18T15:06:08"/>
    <s v="78c8aa58-d259-49a1-a96c-192417985ecf"/>
    <s v="LatLng(lat: 1.0646065, lng: 104.1127221)"/>
    <s v="SP-24-F0001066"/>
    <s v="RUBAIAH"/>
    <s v="BP 5293 CD"/>
    <x v="0"/>
    <s v="08.JOSRI"/>
    <s v="A"/>
    <n v="1"/>
    <s v="MH1JFZ129JK920720"/>
    <s v="JFZ1E2924436"/>
    <s v="HONDA"/>
    <s v="BEAT"/>
    <s v="HITAM"/>
    <s v="JG"/>
    <s v="GAGAL BAYAR"/>
    <n v="17"/>
    <n v="18"/>
    <x v="16"/>
    <s v="COLL"/>
    <x v="0"/>
    <x v="0"/>
    <m/>
  </r>
  <r>
    <n v="1021"/>
    <d v="2025-11-18T15:18:32"/>
    <s v="66338f6f-6199-47e8-8fc9-c871a18b6d2c"/>
    <s v="LatLng(lat: 0.9832519, lng: 104.097516)"/>
    <s v="SP-25-F0002698"/>
    <s v="ANGGI KURNIA PRATAMA"/>
    <s v="BP 2609 AH"/>
    <x v="6"/>
    <s v="C"/>
    <s v=""/>
    <n v="1"/>
    <s v="MH1JFZ138KK081573"/>
    <s v="JFZ1E3084784"/>
    <s v="HONDA"/>
    <s v="BEAT DIGITAL"/>
    <s v="PUTIH"/>
    <s v="JG"/>
    <s v="BELUM JTO"/>
    <n v="1"/>
    <n v="18"/>
    <x v="30"/>
    <s v="COLL"/>
    <x v="0"/>
    <x v="0"/>
    <m/>
  </r>
  <r>
    <n v="1022"/>
    <d v="2025-11-18T15:18:53"/>
    <s v="66338f6f-6199-47e8-8fc9-c871a18b6d2c"/>
    <s v="LatLng(lat: 0.9837284, lng: 104.0988028)"/>
    <s v="SP-25-F0000638"/>
    <s v="KADARMAN"/>
    <s v="BP 3723 GG"/>
    <x v="0"/>
    <s v="03.DAULAT"/>
    <s v="A"/>
    <n v="17"/>
    <s v="MH1JF5128CK694696"/>
    <s v="JF51E2676706"/>
    <s v="HONDA"/>
    <s v="BEAT KARBU"/>
    <s v="HITAM"/>
    <s v="JG"/>
    <s v="BELUM JTO"/>
    <n v="8"/>
    <n v="24"/>
    <x v="30"/>
    <s v="COLL"/>
    <x v="0"/>
    <x v="0"/>
    <m/>
  </r>
  <r>
    <n v="1023"/>
    <d v="2025-11-18T15:35:19"/>
    <s v="551fa799-4956-44f4-9122-ea915d0399f1"/>
    <s v="LatLng(lat: 1.0215621, lng: 104.0714977)"/>
    <s v="SP-25-F0002325"/>
    <s v="MOCHAMAD AFIFUDIN"/>
    <s v="BP 3110 OD"/>
    <x v="0"/>
    <s v="14.CALL CENTER"/>
    <s v=""/>
    <n v="15"/>
    <s v="MH1KD1110MK254998"/>
    <s v="KD11E1254330"/>
    <s v="HONDA"/>
    <s v="CRF 150"/>
    <s v="HIJAU HITAM"/>
    <s v="JG"/>
    <s v="BELUM JTO"/>
    <n v="2"/>
    <n v="24"/>
    <x v="12"/>
    <s v="COLL"/>
    <x v="0"/>
    <x v="0"/>
    <m/>
  </r>
  <r>
    <n v="1024"/>
    <d v="2025-11-18T15:48:06"/>
    <s v="551fa799-4956-44f4-9122-ea915d0399f1"/>
    <s v="LatLng(lat: 1.015825, lng: 104.0724671)"/>
    <s v="OD-24-F0000715"/>
    <s v="ALSIFA CHAIRUNNISA"/>
    <s v="BP 3203 PU"/>
    <x v="0"/>
    <s v="14.CALL CENTER"/>
    <s v="A"/>
    <n v="13"/>
    <s v="MH1JMB116PK094003"/>
    <s v="JMB1E1093963"/>
    <s v="HONDA"/>
    <s v="GENIO"/>
    <s v="BIRU"/>
    <s v="JG"/>
    <s v="BELUM JTO"/>
    <n v="20"/>
    <n v="24"/>
    <x v="12"/>
    <s v="COLL"/>
    <x v="0"/>
    <x v="0"/>
    <m/>
  </r>
  <r>
    <n v="1025"/>
    <d v="2025-11-18T15:59:16"/>
    <s v="51f658db-9885-4d52-99bd-8e1bf0356977"/>
    <s v="LatLng(lat: 1.034471, lng: 104.0567832)"/>
    <s v="OD-25-F0000007"/>
    <s v="MUHAMMAD RIDHO MAULANA AKBAR"/>
    <s v="BP 2858 PU"/>
    <x v="0"/>
    <s v="07.RINTO"/>
    <s v="A"/>
    <n v="7"/>
    <s v="MH1JM8121PK610084"/>
    <s v="JM81E2610909"/>
    <s v="HONDA"/>
    <s v="BEAT"/>
    <s v="SILVER HITAM"/>
    <s v="JG"/>
    <s v="BELUM JTO"/>
    <n v="10"/>
    <n v="18"/>
    <x v="19"/>
    <s v="COLL"/>
    <x v="0"/>
    <x v="0"/>
    <m/>
  </r>
  <r>
    <n v="1026"/>
    <d v="2025-11-18T16:08:15"/>
    <s v="78c8aa58-d259-49a1-a96c-192417985ecf"/>
    <s v="LatLng(lat: 1.0676339, lng: 104.0240046)"/>
    <s v="OD-24-F0001478"/>
    <s v="RISKY FADLI PRATAMA"/>
    <s v="BP 6675 CA"/>
    <x v="0"/>
    <s v="03.DAULAT"/>
    <s v="D"/>
    <n v="3"/>
    <s v="MH1JMD115RK432831"/>
    <s v="JMD1E1433051"/>
    <s v="HONDA"/>
    <s v="VARIO"/>
    <s v="HITAM"/>
    <s v="JG"/>
    <s v="DONE"/>
    <n v="17"/>
    <n v="18"/>
    <x v="16"/>
    <s v="COLL"/>
    <x v="0"/>
    <x v="0"/>
    <m/>
  </r>
  <r>
    <n v="1027"/>
    <d v="2025-11-18T16:09:39"/>
    <s v="e0d931cf-6e64-4a91-a81a-04cf02d33a39"/>
    <s v="LatLng(lat: 1.057155, lng: 104.0398367)"/>
    <s v="SP-25-F0001581"/>
    <s v="FAHRIE AFIARIE"/>
    <s v="BP 3010 AH"/>
    <x v="0"/>
    <s v="08.JOSRI"/>
    <s v="A"/>
    <n v="8"/>
    <s v="MH1KD1110KK069816"/>
    <s v="KD11E1069115"/>
    <s v="HONDA"/>
    <s v="CRF 150"/>
    <s v="HITAM"/>
    <s v="JG"/>
    <s v="BELUM JTO"/>
    <n v="4"/>
    <n v="12"/>
    <x v="13"/>
    <s v="COLL"/>
    <x v="0"/>
    <x v="0"/>
    <m/>
  </r>
  <r>
    <n v="1028"/>
    <d v="2025-11-18T16:14:25"/>
    <s v="74bb1709-aa7b-4b41-a082-a2af867fd15e"/>
    <s v="LatLng(lat: 1.0650167, lng: 104.0202794)"/>
    <s v="SP-25-F0000027"/>
    <s v="HAERUL BAHRI"/>
    <s v="BP 4108 OA"/>
    <x v="11"/>
    <s v="MARTIN"/>
    <s v=""/>
    <n v="4"/>
    <s v="MH1KD1119PK471437"/>
    <s v="KD11E1470632"/>
    <s v="HONDA"/>
    <s v="CRF"/>
    <s v="HIJAU HITAM"/>
    <s v="JG"/>
    <s v="GAGAL BAYAR"/>
    <n v="6"/>
    <n v="18"/>
    <x v="7"/>
    <s v="COLL"/>
    <x v="3"/>
    <x v="0"/>
    <m/>
  </r>
  <r>
    <n v="1029"/>
    <d v="2025-11-18T16:15:59"/>
    <s v="e0d931cf-6e64-4a91-a81a-04cf02d33a39"/>
    <s v="LatLng(lat: 1.0580583, lng: 104.0116533)"/>
    <s v="SP-25-F0000027"/>
    <s v="HAERUL BAHRI"/>
    <s v="BP 4108 OA"/>
    <x v="11"/>
    <s v="MARTIN"/>
    <s v=""/>
    <n v="4"/>
    <s v="MH1KD1119PK471437"/>
    <s v="KD11E1470632"/>
    <s v="HONDA"/>
    <s v="CRF"/>
    <s v="HIJAU HITAM"/>
    <s v="JG"/>
    <s v="GAGAL BAYAR"/>
    <n v="6"/>
    <n v="18"/>
    <x v="13"/>
    <s v="COLL"/>
    <x v="3"/>
    <x v="0"/>
    <m/>
  </r>
  <r>
    <n v="1030"/>
    <d v="2025-11-18T16:19:26"/>
    <s v="e0d931cf-6e64-4a91-a81a-04cf02d33a39"/>
    <s v="LatLng(lat: 1.0419517, lng: 104.0027083)"/>
    <s v="SP-24-F0000030"/>
    <s v="JUSTRI IRIRA"/>
    <s v="BP 3552 I"/>
    <x v="0"/>
    <s v="05.BOSPA"/>
    <s v="A"/>
    <n v="6"/>
    <s v="MH1JM0214MK313426"/>
    <s v="JM02E1312972"/>
    <s v="HONDA"/>
    <s v="SCOOPY"/>
    <s v="COKLAT"/>
    <s v="JG"/>
    <s v="BELUM JTO"/>
    <n v="22"/>
    <n v="24"/>
    <x v="13"/>
    <s v="COLL"/>
    <x v="0"/>
    <x v="0"/>
    <m/>
  </r>
  <r>
    <n v="1031"/>
    <d v="2025-11-18T16:25:18"/>
    <s v="86afd147-8c0b-48e4-aaf8-44ad72c52985"/>
    <s v="LatLng(lat: 1.0415553, lng: 103.9872072)"/>
    <s v="SP-24-F0001587"/>
    <s v="M RIAN HIDAYAT"/>
    <s v="BP 4297 QJ"/>
    <x v="6"/>
    <s v="C"/>
    <s v=""/>
    <n v="3"/>
    <s v="MH3SG3180JK018202"/>
    <s v="G3E4E0860022"/>
    <s v="YAMAHA"/>
    <s v="NMAX ABS"/>
    <s v="HITAM"/>
    <s v="JG"/>
    <s v="BELUM JTO"/>
    <n v="16"/>
    <n v="24"/>
    <x v="15"/>
    <s v="COLL"/>
    <x v="0"/>
    <x v="0"/>
    <m/>
  </r>
  <r>
    <n v="1032"/>
    <d v="2025-11-18T16:39:10"/>
    <s v="e0d931cf-6e64-4a91-a81a-04cf02d33a39"/>
    <s v="LatLng(lat: 1.0475733, lng: 103.96406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13"/>
    <s v="COLL"/>
    <x v="0"/>
    <x v="0"/>
    <m/>
  </r>
  <r>
    <n v="1033"/>
    <d v="2025-11-18T16:39:32"/>
    <s v="6d21de4b-42fc-49f2-86f3-40a2a9759695"/>
    <s v="LatLng(lat: 0.9089168, lng: 104.4710369)"/>
    <s v="TP-25-F0000555"/>
    <s v="ROSMIWATI. S"/>
    <s v="BP 3021 PG"/>
    <x v="0"/>
    <s v="01.SYAMSURI"/>
    <s v="A"/>
    <n v="4"/>
    <s v="MH1JM0415PK231450"/>
    <s v="JM04E1231353"/>
    <s v="HONDA"/>
    <s v="SCOOPY"/>
    <s v="COKLAT"/>
    <s v="JG"/>
    <s v="GAGAL BAYAR"/>
    <n v="3"/>
    <n v="24"/>
    <x v="0"/>
    <s v="COLL"/>
    <x v="0"/>
    <x v="0"/>
    <m/>
  </r>
  <r>
    <n v="1034"/>
    <d v="2025-11-18T17:44:52"/>
    <s v="6d21de4b-42fc-49f2-86f3-40a2a9759695"/>
    <s v="LatLng(lat: 0.9120696, lng: 104.4753863)"/>
    <s v="TP-24-F0000748"/>
    <s v="BAYU VERDI SAPUTRA"/>
    <s v="BP 3317 PQ"/>
    <x v="6"/>
    <s v="C"/>
    <s v=""/>
    <n v="1"/>
    <s v="MH1JMC111PK076417"/>
    <s v="JMC1E1076444"/>
    <s v="HONDA"/>
    <s v="VARIO 125"/>
    <s v="HITAM"/>
    <s v="JG"/>
    <s v="BELUM JTO"/>
    <n v="12"/>
    <n v="18"/>
    <x v="0"/>
    <s v="COLL"/>
    <x v="0"/>
    <x v="0"/>
    <m/>
  </r>
  <r>
    <n v="1035"/>
    <d v="2025-11-18T17:55:30"/>
    <s v="5d155998-3b32-426c-9f80-9898af00922a"/>
    <s v="LatLng(lat: 1.0363252, lng: 103.9685845)"/>
    <s v="OD-24-F0003330"/>
    <s v="DIAN TANTRI"/>
    <s v="BP 3766 QU"/>
    <x v="4"/>
    <s v="DOKA"/>
    <s v=""/>
    <n v="3"/>
    <s v="MH1KF4119LK954383"/>
    <s v="KF41E1956793"/>
    <s v="HONDA"/>
    <s v="VARIO 150"/>
    <s v="MERAH"/>
    <s v="JG"/>
    <s v="GAGAL BAYAR"/>
    <n v="10"/>
    <n v="12"/>
    <x v="4"/>
    <s v="COLL"/>
    <x v="8"/>
    <x v="0"/>
    <m/>
  </r>
  <r>
    <n v="1036"/>
    <d v="2025-11-18T17:59:11"/>
    <s v="5d155998-3b32-426c-9f80-9898af00922a"/>
    <s v="LatLng(lat: 1.0340145, lng: 103.9723313)"/>
    <s v="OD-25-F0001302"/>
    <s v="FREDDY JOSUA GULTOM"/>
    <s v="BP 2138 HI"/>
    <x v="0"/>
    <s v="03.DAULAT"/>
    <s v="A"/>
    <n v="4"/>
    <s v="MH1KC8210JK207699"/>
    <s v="KC82E1200903"/>
    <s v="HONDA"/>
    <s v="CB 150 R LED"/>
    <s v="HITAM"/>
    <s v="JG"/>
    <s v="GAGAL BAYAR"/>
    <n v="4"/>
    <n v="18"/>
    <x v="4"/>
    <s v="COLL"/>
    <x v="0"/>
    <x v="0"/>
    <m/>
  </r>
  <r>
    <n v="1037"/>
    <d v="2025-11-18T18:12:40"/>
    <s v="86c5db36-c6d1-4806-9a2e-31a2483c0bb3"/>
    <s v="LatLng(lat: 1.0429488, lng: 103.9824902)"/>
    <s v="OD-24-F0001762"/>
    <s v="WINDA SAMITA SIMAMORA"/>
    <s v="BP 3811 AJ"/>
    <x v="0"/>
    <s v="12.JUBRAIDER S"/>
    <s v="D"/>
    <n v="1"/>
    <s v="MH1JM2123KK512146"/>
    <s v="JM21E2489697"/>
    <s v="HONDA"/>
    <s v="BEAT"/>
    <s v="HITAM"/>
    <s v="JG"/>
    <s v="GAGAL BAYAR"/>
    <n v="16"/>
    <n v="18"/>
    <x v="46"/>
    <s v="COLL"/>
    <x v="0"/>
    <x v="0"/>
    <m/>
  </r>
  <r>
    <n v="1038"/>
    <d v="2025-11-18T18:54:00"/>
    <s v="e0d931cf-6e64-4a91-a81a-04cf02d33a39"/>
    <s v="LatLng(lat: 1.0475839, lng: 103.9643335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3"/>
    <s v="COLL"/>
    <x v="0"/>
    <x v="0"/>
    <m/>
  </r>
  <r>
    <n v="1039"/>
    <d v="2025-11-18T19:01:31"/>
    <s v="e0d931cf-6e64-4a91-a81a-04cf02d33a39"/>
    <s v="LatLng(lat: 1.0471283, lng: 103.9603281)"/>
    <s v="SP-25-F0002624"/>
    <s v="SHOLIHIN BURHANUDIN"/>
    <s v="BP 6369 GR"/>
    <x v="0"/>
    <s v="14.CALL CENTER"/>
    <s v=""/>
    <n v="20"/>
    <s v="MH1JFZ211KK741787"/>
    <s v="JFZ2E1740636"/>
    <s v="HONDA"/>
    <s v="BEAT STREET"/>
    <s v="HITAM"/>
    <s v="JG"/>
    <s v="BELUM JTO"/>
    <n v="1"/>
    <n v="18"/>
    <x v="13"/>
    <s v="COLL"/>
    <x v="0"/>
    <x v="0"/>
    <m/>
  </r>
  <r>
    <n v="1040"/>
    <d v="2025-11-18T19:06:25"/>
    <s v="e0d931cf-6e64-4a91-a81a-04cf02d33a39"/>
    <s v="LatLng(lat: 1.047797, lng: 103.9633318)"/>
    <s v="SP-24-F0002402"/>
    <s v="BAMBANG IRAWAN"/>
    <s v="BP 4803 JE"/>
    <x v="0"/>
    <s v="10.MIDUK"/>
    <s v="A"/>
    <n v="9"/>
    <s v="MH354P00ADJ678248"/>
    <s v="54P678310"/>
    <s v="YAMAHA"/>
    <s v="MIO J"/>
    <s v="PUTIH HITAM"/>
    <s v="JG"/>
    <s v="BELUM JTO"/>
    <n v="12"/>
    <n v="12"/>
    <x v="13"/>
    <s v="COLL"/>
    <x v="0"/>
    <x v="0"/>
    <m/>
  </r>
  <r>
    <n v="1041"/>
    <d v="2025-11-18T19:09:29"/>
    <s v="e3a70ada-a915-4680-aaa7-28e4b7d6722b"/>
    <s v="LatLng(lat: 1.1404792, lng: 104.0030236)"/>
    <s v="OD-25-F0001277"/>
    <s v="FAJAR ADITYA"/>
    <s v="BP 3308 IU"/>
    <x v="0"/>
    <s v="04.RIZKI A"/>
    <s v=""/>
    <n v="26"/>
    <s v="MH1JM8117LK062190"/>
    <s v="JM81E1062359"/>
    <s v="HONDA"/>
    <s v="BEAT"/>
    <s v="HITAM"/>
    <s v="JG"/>
    <s v="BELUM JTO"/>
    <n v="5"/>
    <n v="18"/>
    <x v="37"/>
    <s v="COLL"/>
    <x v="0"/>
    <x v="0"/>
    <m/>
  </r>
  <r>
    <n v="1042"/>
    <d v="2025-11-18T19:24:45"/>
    <s v="e3a70ada-a915-4680-aaa7-28e4b7d6722b"/>
    <s v="LatLng(lat: 1.1437028, lng: 104.0077156)"/>
    <s v="SP-24-F0000361"/>
    <s v="NANDITA HAYATI FATORONI"/>
    <s v="BP 3504 IR"/>
    <x v="0"/>
    <s v="06.ROBEN"/>
    <s v="D"/>
    <n v="21"/>
    <s v="MH1JM3118HK381852"/>
    <s v="JM31E1385100"/>
    <s v="HONDA"/>
    <s v="SCOOPY"/>
    <s v="HITAM PUTIH"/>
    <s v="JG"/>
    <s v="BELUM JTO"/>
    <n v="21"/>
    <n v="24"/>
    <x v="37"/>
    <s v="COLL"/>
    <x v="0"/>
    <x v="0"/>
    <m/>
  </r>
  <r>
    <n v="1043"/>
    <d v="2025-11-18T19:48:05"/>
    <s v="306820e2-08cc-4078-ae54-edf70712dc0f"/>
    <s v="LatLng(lat: 1.0608937, lng: 103.9519212)"/>
    <s v="OD-25-F0001637"/>
    <s v="REZEKI ZAI"/>
    <s v="BP 2258 RU"/>
    <x v="0"/>
    <s v="10.MIDUK"/>
    <s v=""/>
    <n v="1"/>
    <s v="MH1JM2124KK562862"/>
    <s v="JM21E2539884"/>
    <s v="HONDA"/>
    <s v="BEAT"/>
    <s v="MERAH PUTIH"/>
    <s v="JG"/>
    <s v="GAGAL BAYAR"/>
    <n v="2"/>
    <n v="12"/>
    <x v="28"/>
    <s v="COLL"/>
    <x v="4"/>
    <x v="1"/>
    <m/>
  </r>
  <r>
    <n v="1044"/>
    <d v="2025-11-18T19:51:48"/>
    <s v="97b899c7-a738-4c0c-a57d-47d1be720bd2"/>
    <s v="LatLng(lat: 1.03023, lng: 104.0481818)"/>
    <s v="OD-24-F0002211"/>
    <s v="RIMA LESTARI"/>
    <s v="BP 2331 QG"/>
    <x v="0"/>
    <s v="06.ROBEN"/>
    <s v="A"/>
    <n v="6"/>
    <s v="MH1JFP126GK574820"/>
    <s v="JFP1E2554476"/>
    <s v="HONDA"/>
    <s v="BEAT"/>
    <s v="PUTIH BIRU"/>
    <s v="JG"/>
    <s v="BELUM JTO"/>
    <n v="15"/>
    <n v="18"/>
    <x v="5"/>
    <s v="COLL"/>
    <x v="0"/>
    <x v="0"/>
    <m/>
  </r>
  <r>
    <n v="1045"/>
    <d v="2025-11-18T22:31:35"/>
    <s v="b5022170-5138-4d36-a599-749fef2d3ebb"/>
    <s v="LatLng(lat: 1.1023672, lng: 104.0684299)"/>
    <s v="OD-25-F0000402"/>
    <s v="IBRAHIM JUMAD"/>
    <s v="BP 5783 AF"/>
    <x v="0"/>
    <s v="09.OLOAN"/>
    <s v="A"/>
    <n v="10"/>
    <s v="MH3SE88H0LJ223085"/>
    <s v="E3R2E2766985"/>
    <s v="YAMAHA"/>
    <s v="MIO M3"/>
    <s v="PUTIH"/>
    <s v="JG"/>
    <s v="BELUM JTO"/>
    <n v="9"/>
    <n v="12"/>
    <x v="38"/>
    <s v="COLL"/>
    <x v="0"/>
    <x v="0"/>
    <m/>
  </r>
  <r>
    <n v="1046"/>
    <d v="2025-11-19T08:05:36"/>
    <s v="97b899c7-a738-4c0c-a57d-47d1be720bd2"/>
    <s v="LatLng(lat: 1.0617303, lng: 104.0373045)"/>
    <s v="SP-24-F0001325"/>
    <s v="MARIANI"/>
    <s v="BP 2604 FU"/>
    <x v="0"/>
    <s v="03.DAULAT"/>
    <s v="A"/>
    <n v="2"/>
    <s v="MH1JM4111KK557279"/>
    <s v="JM41E1557165"/>
    <s v="HONDA"/>
    <s v="VARIO"/>
    <s v="MERAH"/>
    <s v="JG"/>
    <s v="DONE"/>
    <n v="16"/>
    <n v="18"/>
    <x v="5"/>
    <s v="COLL"/>
    <x v="0"/>
    <x v="0"/>
    <m/>
  </r>
  <r>
    <n v="1047"/>
    <d v="2025-11-19T09:01:29"/>
    <s v="688868a7-408e-44ae-b238-348dfc1995b0"/>
    <s v="LatLng(lat: 1.04064, lng: 103.985115)"/>
    <s v="OD-24-F0002899"/>
    <s v="ANDI SETIAWAN"/>
    <s v="BP 6941 UO"/>
    <x v="0"/>
    <s v="10.MIDUK"/>
    <s v="A"/>
    <n v="15"/>
    <s v="MH1JM8137RK109003"/>
    <s v="JM81E3107883"/>
    <s v="HONDA"/>
    <s v="BEAT"/>
    <s v="HITAM"/>
    <s v="JG"/>
    <s v="BELUM JTO"/>
    <n v="13"/>
    <n v="18"/>
    <x v="14"/>
    <s v="COLL"/>
    <x v="0"/>
    <x v="0"/>
    <m/>
  </r>
  <r>
    <n v="1048"/>
    <d v="2025-11-19T09:56:16"/>
    <s v="e3a70ada-a915-4680-aaa7-28e4b7d6722b"/>
    <s v="LatLng(lat: 1.0400077, lng: 103.9870137)"/>
    <s v="OD-25-F0000508"/>
    <s v="MUTOHAROH"/>
    <s v="BP 2802 RP"/>
    <x v="0"/>
    <s v="07.RINTO"/>
    <s v="A"/>
    <n v="1"/>
    <s v="MH1JM0415PK418798"/>
    <s v="JM04E1418638"/>
    <s v="HONDA"/>
    <s v="SCOOPY"/>
    <s v="HIJAU"/>
    <s v="JG"/>
    <s v="GAGAL BAYAR"/>
    <n v="8"/>
    <n v="18"/>
    <x v="37"/>
    <s v="COLL"/>
    <x v="0"/>
    <x v="0"/>
    <m/>
  </r>
  <r>
    <n v="1049"/>
    <d v="2025-11-19T09:56:40"/>
    <s v="e3a70ada-a915-4680-aaa7-28e4b7d6722b"/>
    <s v="LatLng(lat: 1.0401328, lng: 103.9872822)"/>
    <s v="OD-25-F0001935"/>
    <s v="JOSRI SIJABAT"/>
    <s v="BP 3503 OD"/>
    <x v="6"/>
    <s v="C"/>
    <s v=""/>
    <n v="1"/>
    <s v="MH1JM911XMK901000"/>
    <s v="JM91E1900395"/>
    <s v="HONDA"/>
    <s v="BEAT"/>
    <s v="HITAM"/>
    <s v="JG"/>
    <s v="BELUM JTO"/>
    <n v="1"/>
    <n v="18"/>
    <x v="37"/>
    <s v="COLL"/>
    <x v="0"/>
    <x v="0"/>
    <m/>
  </r>
  <r>
    <n v="1050"/>
    <d v="2025-11-19T09:57:02"/>
    <s v="e3a70ada-a915-4680-aaa7-28e4b7d6722b"/>
    <s v="LatLng(lat: 1.0401294, lng: 103.9872751)"/>
    <s v="SP-25-F0001868"/>
    <s v="RINO ARI MUKTI"/>
    <s v="BP 3218 RH"/>
    <x v="6"/>
    <s v="C"/>
    <s v=""/>
    <n v="1"/>
    <s v="MH1JM021XNK642472"/>
    <s v="JM02E1640421"/>
    <s v="HONDA"/>
    <s v="SCOOPY KEYLEES"/>
    <s v="PUTIH"/>
    <s v="JG"/>
    <s v="BELUM JTO"/>
    <n v="4"/>
    <n v="12"/>
    <x v="37"/>
    <s v="COLL"/>
    <x v="0"/>
    <x v="0"/>
    <m/>
  </r>
  <r>
    <n v="1051"/>
    <d v="2025-11-19T09:57:21"/>
    <s v="e3a70ada-a915-4680-aaa7-28e4b7d6722b"/>
    <s v="LatLng(lat: 1.0401294, lng: 103.9872751)"/>
    <s v="SP-24-F0002276"/>
    <s v="ANDERIAS YERU"/>
    <s v="BP 3077 OD"/>
    <x v="7"/>
    <s v="EVENDI"/>
    <s v=""/>
    <n v="26"/>
    <s v="MH1JM8118MK784575"/>
    <s v="JM81E1786599"/>
    <s v="HONDA"/>
    <s v="BEAT"/>
    <s v="PUTIH HITAM"/>
    <s v="JG"/>
    <s v="GAGAL BAYAR"/>
    <n v="12"/>
    <n v="18"/>
    <x v="37"/>
    <s v="COLL"/>
    <x v="8"/>
    <x v="0"/>
    <m/>
  </r>
  <r>
    <n v="1052"/>
    <d v="2025-11-19T10:01:48"/>
    <s v="2d9d422f-1d0e-4451-8950-dc9e388e3850"/>
    <s v="LatLng(lat: 1.0400242, lng: 103.9870153)"/>
    <s v="OD-25-F0000998"/>
    <s v="IMAM SAFI I"/>
    <s v="BP 2789 HI"/>
    <x v="6"/>
    <s v="C"/>
    <s v=""/>
    <n v="1"/>
    <s v="MH1KF4110JK025437"/>
    <s v="KF41E1026285"/>
    <s v="HONDA"/>
    <s v="VARIO"/>
    <s v="HITAM"/>
    <s v="JG"/>
    <s v="BELUM JTO"/>
    <n v="7"/>
    <n v="18"/>
    <x v="33"/>
    <s v="COLL"/>
    <x v="0"/>
    <x v="0"/>
    <m/>
  </r>
  <r>
    <n v="1053"/>
    <d v="2025-11-19T11:14:30"/>
    <s v="6d21de4b-42fc-49f2-86f3-40a2a9759695"/>
    <s v="LatLng(lat: 0.9609067, lng: 104.52843)"/>
    <s v="OD-24-F0001038"/>
    <s v="AGUSMAN ZEGA"/>
    <s v="BP 2167 US"/>
    <x v="0"/>
    <s v="14.CALL CENTER"/>
    <s v="A"/>
    <n v="15"/>
    <s v="MH1JM8128PK721828"/>
    <s v="JM81E2723848"/>
    <s v="HONDA"/>
    <s v="BEAT"/>
    <s v="BIRU HITAM"/>
    <s v="JG"/>
    <s v="BELUM JTO"/>
    <n v="19"/>
    <n v="24"/>
    <x v="0"/>
    <s v="COLL"/>
    <x v="0"/>
    <x v="0"/>
    <m/>
  </r>
  <r>
    <n v="1054"/>
    <d v="2025-11-19T11:18:17"/>
    <s v="86c5db36-c6d1-4806-9a2e-31a2483c0bb3"/>
    <s v="LatLng(lat: 1.0400641, lng: 103.9871216)"/>
    <s v="OD-25-F0000998"/>
    <s v="IMAM SAFI I"/>
    <s v="BP 2789 HI"/>
    <x v="6"/>
    <s v="C"/>
    <s v=""/>
    <n v="1"/>
    <s v="MH1KF4110JK025437"/>
    <s v="KF41E1026285"/>
    <s v="HONDA"/>
    <s v="VARIO"/>
    <s v="HITAM"/>
    <s v="JG"/>
    <s v="BELUM JTO"/>
    <n v="7"/>
    <n v="18"/>
    <x v="46"/>
    <s v="COLL"/>
    <x v="0"/>
    <x v="0"/>
    <m/>
  </r>
  <r>
    <n v="1055"/>
    <d v="2025-11-19T11:23:38"/>
    <s v="78c8aa58-d259-49a1-a96c-192417985ecf"/>
    <s v="LatLng(lat: 1.040078, lng: 103.9871569)"/>
    <s v="OD-25-F0000998"/>
    <s v="IMAM SAFI I"/>
    <s v="BP 2789 HI"/>
    <x v="6"/>
    <s v="C"/>
    <s v=""/>
    <n v="1"/>
    <s v="MH1KF4110JK025437"/>
    <s v="KF41E1026285"/>
    <s v="HONDA"/>
    <s v="VARIO"/>
    <s v="HITAM"/>
    <s v="JG"/>
    <s v="BELUM JTO"/>
    <n v="7"/>
    <n v="18"/>
    <x v="16"/>
    <s v="COLL"/>
    <x v="0"/>
    <x v="0"/>
    <m/>
  </r>
  <r>
    <n v="1056"/>
    <d v="2025-11-19T11:24:55"/>
    <s v="78c8aa58-d259-49a1-a96c-192417985ecf"/>
    <s v="LatLng(lat: 1.0401439, lng: 103.987312)"/>
    <s v="OD-25-F0001935"/>
    <s v="JOSRI SIJABAT"/>
    <s v="BP 3503 OD"/>
    <x v="6"/>
    <s v="C"/>
    <s v=""/>
    <n v="1"/>
    <s v="MH1JM911XMK901000"/>
    <s v="JM91E1900395"/>
    <s v="HONDA"/>
    <s v="BEAT"/>
    <s v="HITAM"/>
    <s v="JG"/>
    <s v="BELUM JTO"/>
    <n v="1"/>
    <n v="18"/>
    <x v="16"/>
    <s v="COLL"/>
    <x v="0"/>
    <x v="0"/>
    <m/>
  </r>
  <r>
    <n v="1057"/>
    <d v="2025-11-19T11:25:57"/>
    <s v="78c8aa58-d259-49a1-a96c-192417985ecf"/>
    <s v="LatLng(lat: 1.0401459, lng: 103.9872681)"/>
    <s v="SP-24-F0002276"/>
    <s v="ANDERIAS YERU"/>
    <s v="BP 3077 OD"/>
    <x v="7"/>
    <s v="EVENDI"/>
    <s v=""/>
    <n v="26"/>
    <s v="MH1JM8118MK784575"/>
    <s v="JM81E1786599"/>
    <s v="HONDA"/>
    <s v="BEAT"/>
    <s v="PUTIH HITAM"/>
    <s v="JG"/>
    <s v="GAGAL BAYAR"/>
    <n v="12"/>
    <n v="18"/>
    <x v="16"/>
    <s v="COLL"/>
    <x v="6"/>
    <x v="0"/>
    <m/>
  </r>
  <r>
    <n v="1058"/>
    <d v="2025-11-19T11:30:25"/>
    <s v="83ca24fc-042d-4a7a-aea3-35465e9db033"/>
    <s v="LatLng(lat: 1.0400345, lng: 103.9871186)"/>
    <s v="OD-25-F0000998"/>
    <s v="IMAM SAFI I"/>
    <s v="BP 2789 HI"/>
    <x v="6"/>
    <s v="C"/>
    <s v=""/>
    <n v="1"/>
    <s v="MH1KF4110JK025437"/>
    <s v="KF41E1026285"/>
    <s v="HONDA"/>
    <s v="VARIO"/>
    <s v="HITAM"/>
    <s v="JG"/>
    <s v="BELUM JTO"/>
    <n v="7"/>
    <n v="18"/>
    <x v="32"/>
    <s v="COLL"/>
    <x v="0"/>
    <x v="0"/>
    <m/>
  </r>
  <r>
    <n v="1059"/>
    <d v="2025-11-19T11:31:32"/>
    <s v="fced54d3-7c26-48e8-91fe-7d7236e7f959"/>
    <s v="LatLng(lat: 1.0400406, lng: 103.9871228)"/>
    <s v="OD-24-F0002176"/>
    <s v="MUHAMMAD FATIH AL GHOZI"/>
    <s v="BP 5881 AF"/>
    <x v="15"/>
    <s v="PAUL"/>
    <s v=""/>
    <n v="2"/>
    <s v="MH3SG5620LJ205135"/>
    <s v="G3L8E0305384"/>
    <s v="YAMAHA"/>
    <s v="NMAX"/>
    <s v="HITAM"/>
    <s v="JG"/>
    <s v="GAGAL BAYAR"/>
    <n v="13"/>
    <n v="18"/>
    <x v="10"/>
    <s v="COLL"/>
    <x v="1"/>
    <x v="0"/>
    <m/>
  </r>
  <r>
    <n v="1060"/>
    <d v="2025-11-19T11:37:16"/>
    <s v="78c8aa58-d259-49a1-a96c-192417985ecf"/>
    <s v="LatLng(lat: 1.0400779, lng: 103.987164)"/>
    <s v="SP-24-F0002630"/>
    <s v="HAMZAH"/>
    <s v="BP 2661 IG"/>
    <x v="3"/>
    <s v="PAUL"/>
    <s v=""/>
    <n v="6"/>
    <s v="MH1JFD219DK282112"/>
    <s v="JFD2E1281075"/>
    <s v="HONDA"/>
    <s v="BEAT"/>
    <s v="BIRU PUTIH"/>
    <s v="JG"/>
    <s v="GAGAL BAYAR"/>
    <n v="9"/>
    <n v="18"/>
    <x v="16"/>
    <s v="COLL"/>
    <x v="6"/>
    <x v="0"/>
    <m/>
  </r>
  <r>
    <n v="1061"/>
    <d v="2025-11-19T12:05:42"/>
    <s v="51f658db-9885-4d52-99bd-8e1bf0356977"/>
    <s v="LatLng(lat: 1.0360581, lng: 103.9869421)"/>
    <s v="OD-24-F0001159"/>
    <s v="M. TAUFIK"/>
    <s v="BP 3451 QD"/>
    <x v="0"/>
    <s v="08.JOSRI"/>
    <s v="A"/>
    <n v="4"/>
    <s v="MH1JFP129GK427617"/>
    <s v="JFP1E2415955"/>
    <s v="HONDA"/>
    <s v="BEAT CW"/>
    <s v="PUTIH MERAH"/>
    <s v="JG"/>
    <s v="DONE"/>
    <n v="18"/>
    <n v="24"/>
    <x v="19"/>
    <s v="COLL"/>
    <x v="0"/>
    <x v="0"/>
    <m/>
  </r>
  <r>
    <n v="1062"/>
    <d v="2025-11-19T12:10:03"/>
    <s v="86afd147-8c0b-48e4-aaf8-44ad72c52985"/>
    <s v="LatLng(lat: 1.0369498, lng: 103.9863823)"/>
    <s v="OD-25-F0000201"/>
    <s v="SOPIYAN"/>
    <s v="BP 3945 UO"/>
    <x v="0"/>
    <s v="08.JOSRI"/>
    <s v="A"/>
    <n v="20"/>
    <s v="MH1JM0214MK289760"/>
    <s v="JM02E1289295"/>
    <s v="HONDA"/>
    <s v="SCOOPY"/>
    <s v="PUTIH"/>
    <s v="JG"/>
    <s v="BELUM JTO"/>
    <n v="10"/>
    <n v="18"/>
    <x v="15"/>
    <s v="COLL"/>
    <x v="0"/>
    <x v="0"/>
    <m/>
  </r>
  <r>
    <n v="1063"/>
    <d v="2025-11-19T13:16:30"/>
    <s v="551fa799-4956-44f4-9122-ea915d0399f1"/>
    <s v="LatLng(lat: 1.048495, lng: 103.9534717)"/>
    <s v="SP-25-F0000216"/>
    <s v="BESALI LAIA"/>
    <s v="BP 3166 SQ"/>
    <x v="0"/>
    <s v="11.RIMPUN"/>
    <s v="A"/>
    <n v="1"/>
    <s v="MH1JMA116PK096036"/>
    <s v="JMA1E1095967"/>
    <s v="HONDA"/>
    <s v="GENIO"/>
    <s v="HITAM"/>
    <s v="JG"/>
    <s v="GAGAL BAYAR"/>
    <n v="9"/>
    <n v="24"/>
    <x v="12"/>
    <s v="COLL"/>
    <x v="0"/>
    <x v="0"/>
    <m/>
  </r>
  <r>
    <n v="1064"/>
    <d v="2025-11-19T13:24:35"/>
    <s v="dcc6f40b-a9a1-43d4-bd37-f0019f505bcd"/>
    <s v="LatLng(lat: 1.0415431, lng: 103.988801)"/>
    <s v="SP-25-F0001896"/>
    <s v="CICI YOLANDA"/>
    <s v="BP 3816 RD"/>
    <x v="0"/>
    <s v="03.DAULAT"/>
    <s v="A"/>
    <n v="1"/>
    <s v="MH1JM0217MK532526"/>
    <s v="JM02E1532676"/>
    <s v="HONDA"/>
    <s v="SCOOPY KEYLESS"/>
    <s v="MERAH"/>
    <s v="JG"/>
    <s v="DONE"/>
    <n v="3"/>
    <n v="18"/>
    <x v="9"/>
    <s v="COLL"/>
    <x v="0"/>
    <x v="0"/>
    <m/>
  </r>
  <r>
    <n v="1065"/>
    <d v="2025-11-19T13:25:01"/>
    <s v="987e43b5-2fed-4ba1-8992-1b4d84e413ab"/>
    <s v="LatLng(lat: 1.0409029, lng: 103.9891611)"/>
    <s v="SP-25-F0001896"/>
    <s v="CICI YOLANDA"/>
    <s v="BP 3816 RD"/>
    <x v="0"/>
    <s v="03.DAULAT"/>
    <s v="A"/>
    <n v="1"/>
    <s v="MH1JM0217MK532526"/>
    <s v="JM02E1532676"/>
    <s v="HONDA"/>
    <s v="SCOOPY KEYLESS"/>
    <s v="MERAH"/>
    <s v="JG"/>
    <s v="DONE"/>
    <n v="3"/>
    <n v="18"/>
    <x v="20"/>
    <s v="COLL"/>
    <x v="0"/>
    <x v="0"/>
    <m/>
  </r>
  <r>
    <n v="1066"/>
    <d v="2025-11-19T13:27:36"/>
    <s v="551fa799-4956-44f4-9122-ea915d0399f1"/>
    <s v="LatLng(lat: 1.0483683, lng: 103.9534477)"/>
    <s v="SP-25-F0002281"/>
    <s v="RONNY VAN ROOM"/>
    <s v="BP 2601 QO"/>
    <x v="6"/>
    <s v="C"/>
    <s v=""/>
    <n v="11"/>
    <s v="MH1KC821XGK095017"/>
    <s v="KC82E1094421"/>
    <s v="HONDA"/>
    <s v="CB 150 R"/>
    <s v="HITAM MERAH"/>
    <s v="JG"/>
    <s v="BELUM JTO"/>
    <n v="3"/>
    <n v="12"/>
    <x v="12"/>
    <s v="COLL"/>
    <x v="0"/>
    <x v="0"/>
    <m/>
  </r>
  <r>
    <n v="1067"/>
    <d v="2025-11-19T13:28:05"/>
    <s v="e0d931cf-6e64-4a91-a81a-04cf02d33a39"/>
    <s v="LatLng(lat: 1.0487486, lng: 103.9532661)"/>
    <s v="OD-25-F0000556"/>
    <s v="EFRISON"/>
    <s v="BP 4740 CD"/>
    <x v="0"/>
    <s v="12.JUBRAIDER S"/>
    <s v="A"/>
    <n v="22"/>
    <s v="MH1JM1122KK135299"/>
    <s v="JM11E2117520"/>
    <s v="HONDA"/>
    <s v="BEAT"/>
    <s v="BIRU HITAM"/>
    <s v="JG"/>
    <s v="BELUM JTO"/>
    <n v="9"/>
    <n v="12"/>
    <x v="13"/>
    <s v="COLL"/>
    <x v="0"/>
    <x v="0"/>
    <m/>
  </r>
  <r>
    <n v="1068"/>
    <d v="2025-11-19T13:28:59"/>
    <s v="551fa799-4956-44f4-9122-ea915d0399f1"/>
    <s v="LatLng(lat: 1.0486773, lng: 103.9532949)"/>
    <s v="SP-24-F0000250"/>
    <s v="EFENDI HALAWA"/>
    <s v="BP 2152 O"/>
    <x v="0"/>
    <s v="06.ROBEN"/>
    <s v="D"/>
    <n v="3"/>
    <s v="MH1JM0219MK162518"/>
    <s v="JM02E1162545"/>
    <s v="HONDA"/>
    <s v="SCOOPY"/>
    <s v="PUTIH"/>
    <s v="JG"/>
    <s v="GAGAL BAYAR"/>
    <n v="21"/>
    <n v="24"/>
    <x v="12"/>
    <s v="COLL"/>
    <x v="0"/>
    <x v="0"/>
    <m/>
  </r>
  <r>
    <n v="1069"/>
    <d v="2025-11-19T13:31:51"/>
    <s v="702dc462-24c0-4894-b1c2-8bb9fe7a2806"/>
    <s v="LatLng(lat: 1.0470448, lng: 103.9773892)"/>
    <s v="SP-25-F0000964"/>
    <s v="KAROLUS DAHLAN"/>
    <s v="BP 3738 UI"/>
    <x v="0"/>
    <s v="09.OLOAN"/>
    <s v="A"/>
    <n v="2"/>
    <s v="MH1JBK11XMK795869"/>
    <s v="JBK1E1792207"/>
    <s v="HONDA"/>
    <s v="REVO FIT"/>
    <s v="HITAM"/>
    <s v="JG"/>
    <s v="GAGAL BAYAR"/>
    <n v="6"/>
    <n v="18"/>
    <x v="36"/>
    <s v="COLL"/>
    <x v="0"/>
    <x v="0"/>
    <m/>
  </r>
  <r>
    <n v="1070"/>
    <d v="2025-11-19T13:34:50"/>
    <s v="551fa799-4956-44f4-9122-ea915d0399f1"/>
    <s v="LatLng(lat: 1.0485949, lng: 103.9534827)"/>
    <s v="SP-25-F0002097"/>
    <s v="ARMANDIA SINURAT"/>
    <s v="BP 3945 SO"/>
    <x v="7"/>
    <s v="EVENDI"/>
    <s v=""/>
    <n v="21"/>
    <s v="MH1JM8221PK013760"/>
    <s v="JM82E2012962"/>
    <s v="HONDA"/>
    <s v="BEAT STREET"/>
    <s v="HITAM"/>
    <s v="JG"/>
    <s v="GAGAL BAYAR"/>
    <n v="2"/>
    <n v="18"/>
    <x v="12"/>
    <s v="COLL"/>
    <x v="17"/>
    <x v="0"/>
    <m/>
  </r>
  <r>
    <n v="1071"/>
    <d v="2025-11-19T13:36:32"/>
    <s v="688868a7-408e-44ae-b238-348dfc1995b0"/>
    <s v="LatLng(lat: 1.0415236, lng: 103.9889785)"/>
    <s v="SP-25-F0001818"/>
    <s v="M IKSHN NARA"/>
    <s v="BP 2722 HH"/>
    <x v="0"/>
    <s v="11.RIMPUN"/>
    <s v="A"/>
    <n v="25"/>
    <s v="MH1KF0115PK376006"/>
    <s v="KF01E1376552"/>
    <s v="HONDA"/>
    <s v="VARIO 160"/>
    <s v="MERAH"/>
    <s v="JG"/>
    <s v="BELUM JTO"/>
    <n v="4"/>
    <n v="12"/>
    <x v="14"/>
    <s v="COLL"/>
    <x v="0"/>
    <x v="0"/>
    <m/>
  </r>
  <r>
    <n v="1072"/>
    <d v="2025-11-19T13:36:36"/>
    <s v="74bb1709-aa7b-4b41-a082-a2af867fd15e"/>
    <s v="LatLng(lat: 1.0487034, lng: 103.9535959)"/>
    <s v="SP-25-F0000384"/>
    <s v="BUDI PANJAITAN"/>
    <s v="BP 3873 UD"/>
    <x v="0"/>
    <s v="14.CALL CENTER"/>
    <s v="A"/>
    <n v="18"/>
    <s v="MH1JM6113KK071844"/>
    <s v="JM61E1071909"/>
    <s v="HONDA"/>
    <s v="GENIO"/>
    <s v="HITAM"/>
    <s v="JG"/>
    <s v="BELUM JTO"/>
    <n v="9"/>
    <n v="24"/>
    <x v="7"/>
    <s v="COLL"/>
    <x v="0"/>
    <x v="0"/>
    <m/>
  </r>
  <r>
    <n v="1073"/>
    <d v="2025-11-19T13:38:04"/>
    <s v="551fa799-4956-44f4-9122-ea915d0399f1"/>
    <s v="LatLng(lat: 1.0482163, lng: 103.9537535)"/>
    <s v="SP-24-F0002798"/>
    <s v="DEFRITA"/>
    <s v="BP 2128 UG"/>
    <x v="0"/>
    <s v="10.MIDUK"/>
    <s v="A"/>
    <n v="1"/>
    <s v="MH1JM8114MK455002"/>
    <s v="JM81E1456863"/>
    <s v="HONDA"/>
    <s v="BEAT FI"/>
    <s v="HITAM"/>
    <s v="JG"/>
    <s v="GAGAL BAYAR"/>
    <n v="10"/>
    <n v="24"/>
    <x v="12"/>
    <s v="COLL"/>
    <x v="0"/>
    <x v="0"/>
    <m/>
  </r>
  <r>
    <n v="1074"/>
    <d v="2025-11-19T13:46:08"/>
    <s v="dcc6f40b-a9a1-43d4-bd37-f0019f505bcd"/>
    <s v="LatLng(lat: 1.041783, lng: 103.988684)"/>
    <s v="OD-25-F0000156"/>
    <s v="MATEUS MBELE"/>
    <s v="BP 3634 QD"/>
    <x v="0"/>
    <s v="09.OLOAN"/>
    <s v="A"/>
    <n v="16"/>
    <s v="MH1KB1111GK056893"/>
    <s v="KB11E1055576"/>
    <s v="HONDA"/>
    <s v="SONIC"/>
    <s v="MERAH PUTIH"/>
    <s v="JG"/>
    <s v="BELUM JTO"/>
    <n v="10"/>
    <n v="18"/>
    <x v="9"/>
    <s v="COLL"/>
    <x v="0"/>
    <x v="0"/>
    <m/>
  </r>
  <r>
    <n v="1075"/>
    <d v="2025-11-19T13:47:21"/>
    <s v="551fa799-4956-44f4-9122-ea915d0399f1"/>
    <s v="LatLng(lat: 1.048798, lng: 103.9532751)"/>
    <s v="SP-25-F0000924"/>
    <s v="WIT SUSANTO"/>
    <s v="BP 5770 OJ"/>
    <x v="0"/>
    <s v="10.MIDUK"/>
    <s v="A"/>
    <n v="1"/>
    <s v="MH3SE8820GJ046904"/>
    <s v="E3R2E0789606"/>
    <s v="YAMAHA"/>
    <s v="MIO M3"/>
    <s v="HITAM"/>
    <s v="JG"/>
    <s v="GAGAL BAYAR"/>
    <n v="6"/>
    <n v="18"/>
    <x v="12"/>
    <s v="COLL"/>
    <x v="0"/>
    <x v="0"/>
    <m/>
  </r>
  <r>
    <n v="1076"/>
    <d v="2025-11-19T13:54:02"/>
    <s v="551fa799-4956-44f4-9122-ea915d0399f1"/>
    <s v="LatLng(lat: 1.048934, lng: 103.9536689)"/>
    <s v="SP-25-F0002649"/>
    <s v="RIO TEGAR SAMUDRA"/>
    <s v="BP 2802 UC"/>
    <x v="0"/>
    <s v="14.CALL CENTER"/>
    <s v=""/>
    <n v="22"/>
    <s v="MH1JM8117LK319610"/>
    <s v="JM81E1321659"/>
    <s v="HONDA"/>
    <s v="BEAT"/>
    <s v="HITAM"/>
    <s v="JG"/>
    <s v="BELUM JTO"/>
    <n v="1"/>
    <n v="18"/>
    <x v="12"/>
    <s v="COLL"/>
    <x v="0"/>
    <x v="0"/>
    <m/>
  </r>
  <r>
    <n v="1077"/>
    <d v="2025-11-19T13:54:24"/>
    <s v="74bb1709-aa7b-4b41-a082-a2af867fd15e"/>
    <s v="LatLng(lat: 1.0487241, lng: 103.9533126)"/>
    <s v="SP-25-F0002649"/>
    <s v="RIO TEGAR SAMUDRA"/>
    <s v="BP 2802 UC"/>
    <x v="0"/>
    <s v="14.CALL CENTER"/>
    <s v=""/>
    <n v="22"/>
    <s v="MH1JM8117LK319610"/>
    <s v="JM81E1321659"/>
    <s v="HONDA"/>
    <s v="BEAT"/>
    <s v="HITAM"/>
    <s v="JG"/>
    <s v="BELUM JTO"/>
    <n v="1"/>
    <n v="18"/>
    <x v="7"/>
    <s v="COLL"/>
    <x v="0"/>
    <x v="0"/>
    <m/>
  </r>
  <r>
    <n v="1078"/>
    <d v="2025-11-19T13:58:16"/>
    <s v="688868a7-408e-44ae-b238-348dfc1995b0"/>
    <s v="LatLng(lat: 1.0417721, lng: 103.9886405)"/>
    <s v="SP-25-F0001954"/>
    <s v="NICHOLA ROSY PUTRA"/>
    <s v="BP 5877 AU"/>
    <x v="0"/>
    <s v="14.CALL CENTER"/>
    <s v="A"/>
    <n v="6"/>
    <s v="MH1JMD114RK602662"/>
    <s v="JMD1E1602244"/>
    <s v="HONDA"/>
    <s v="VARIO 125 KEYLESS"/>
    <s v="HITAM"/>
    <s v="JG"/>
    <s v="DONE"/>
    <n v="3"/>
    <n v="18"/>
    <x v="14"/>
    <s v="COLL"/>
    <x v="0"/>
    <x v="0"/>
    <m/>
  </r>
  <r>
    <n v="1079"/>
    <d v="2025-11-19T14:00:38"/>
    <s v="e0d931cf-6e64-4a91-a81a-04cf02d33a39"/>
    <s v="LatLng(lat: 1.0491226, lng: 103.9532116)"/>
    <s v="SP-24-F0000977"/>
    <s v="IRFAN"/>
    <s v="BP 3813 CM"/>
    <x v="0"/>
    <s v="10.MIDUK"/>
    <s v="A"/>
    <n v="16"/>
    <s v="MH1JFZ123JK949047"/>
    <s v="JFZ1E2948063"/>
    <s v="HONDA"/>
    <s v="BEAT"/>
    <s v="HITAM"/>
    <s v="JG"/>
    <s v="BELUM JTO"/>
    <n v="18"/>
    <n v="36"/>
    <x v="13"/>
    <s v="COLL"/>
    <x v="0"/>
    <x v="0"/>
    <m/>
  </r>
  <r>
    <n v="1080"/>
    <d v="2025-11-19T14:02:12"/>
    <s v="e0d931cf-6e64-4a91-a81a-04cf02d33a39"/>
    <s v="LatLng(lat: 1.0486073, lng: 103.9532811)"/>
    <s v="OD-25-F0000199"/>
    <s v="KARTIKA SIMANGUNSONG"/>
    <s v="BP 5182 AJ"/>
    <x v="0"/>
    <s v="09.OLOAN"/>
    <s v="A"/>
    <n v="20"/>
    <s v="MH3SEG710NJ137001"/>
    <s v="E32WE0174506"/>
    <s v="YAMAHA"/>
    <s v="GEAR"/>
    <s v="PUTIH"/>
    <s v="JG"/>
    <s v="BELUM JTO"/>
    <n v="10"/>
    <n v="24"/>
    <x v="13"/>
    <s v="COLL"/>
    <x v="0"/>
    <x v="0"/>
    <m/>
  </r>
  <r>
    <n v="1081"/>
    <d v="2025-11-19T14:05:37"/>
    <s v="688868a7-408e-44ae-b238-348dfc1995b0"/>
    <s v="LatLng(lat: 1.041585, lng: 103.9886183)"/>
    <s v="OD-25-F0001440"/>
    <s v="MAHYONO"/>
    <s v="BP 2823 I"/>
    <x v="6"/>
    <s v="C"/>
    <s v=""/>
    <n v="1"/>
    <s v="MH1JM811XMK667550"/>
    <s v="JM81E1669765"/>
    <s v="HONDA"/>
    <s v="BEAT"/>
    <s v="MERAH HITAM"/>
    <s v="JG"/>
    <s v="BELUM JTO"/>
    <n v="4"/>
    <n v="12"/>
    <x v="14"/>
    <s v="COLL"/>
    <x v="0"/>
    <x v="0"/>
    <m/>
  </r>
  <r>
    <n v="1082"/>
    <d v="2025-11-19T14:09:31"/>
    <s v="551fa799-4956-44f4-9122-ea915d0399f1"/>
    <s v="LatLng(lat: 1.0488294, lng: 103.9539432)"/>
    <s v="OD-24-F0001687"/>
    <s v="ALDI"/>
    <s v="BP 4314 OE"/>
    <x v="0"/>
    <s v="14.CALL CENTER"/>
    <s v="A"/>
    <n v="20"/>
    <s v="MH32PK001FK043654"/>
    <s v="2PK043642"/>
    <s v="YAMAHA"/>
    <s v="R15"/>
    <s v="PUTIH BIRU"/>
    <s v="JG"/>
    <s v="DONE"/>
    <n v="17"/>
    <n v="18"/>
    <x v="12"/>
    <s v="COLL"/>
    <x v="0"/>
    <x v="0"/>
    <m/>
  </r>
  <r>
    <n v="1083"/>
    <d v="2025-11-19T14:12:00"/>
    <s v="74bb1709-aa7b-4b41-a082-a2af867fd15e"/>
    <s v="LatLng(lat: 1.0487882, lng: 103.9534152)"/>
    <s v="OD-25-F0000159"/>
    <s v="PUSVARIAUWATY"/>
    <s v="BP 5207 QD"/>
    <x v="0"/>
    <s v="14.CALL CENTER"/>
    <s v="A"/>
    <n v="16"/>
    <s v="MH3SG3120GK197447"/>
    <s v="G3E4E0291968"/>
    <s v="YAMAHA"/>
    <s v="NMAX"/>
    <s v="MERAH"/>
    <s v="JG"/>
    <s v="BELUM JTO"/>
    <n v="10"/>
    <n v="18"/>
    <x v="7"/>
    <s v="COLL"/>
    <x v="0"/>
    <x v="0"/>
    <m/>
  </r>
  <r>
    <n v="1084"/>
    <d v="2025-11-19T14:14:55"/>
    <s v="987e43b5-2fed-4ba1-8992-1b4d84e413ab"/>
    <s v="LatLng(lat: 1.044259, lng: 103.9939683)"/>
    <s v="SP-25-F0001633"/>
    <s v="DEDI ARMAYA LUBIS"/>
    <s v="BP 6974 OH"/>
    <x v="0"/>
    <s v="14.CALL CENTER"/>
    <s v="A"/>
    <n v="9"/>
    <s v="MH1JMG115SK325138"/>
    <s v="JMG1E1325252"/>
    <s v="HONDA"/>
    <s v="BEAT STREET"/>
    <s v="COKLAT"/>
    <s v="JG"/>
    <s v="BELUM JTO"/>
    <n v="4"/>
    <n v="24"/>
    <x v="20"/>
    <s v="COLL"/>
    <x v="0"/>
    <x v="0"/>
    <m/>
  </r>
  <r>
    <n v="1085"/>
    <d v="2025-11-19T14:16:42"/>
    <s v="e0d931cf-6e64-4a91-a81a-04cf02d33a39"/>
    <s v="LatLng(lat: 1.0486093, lng: 103.953259)"/>
    <s v="SP-25-F0001434"/>
    <s v="FAZLAN"/>
    <s v="BP 2519 AJ"/>
    <x v="0"/>
    <s v="13.WILFRIN"/>
    <s v="A"/>
    <n v="20"/>
    <s v="MH1JFZ13XKK312893"/>
    <s v="JFZ1E3313016"/>
    <s v="HONDA"/>
    <s v="BEAT"/>
    <s v="HITAM"/>
    <s v="JG"/>
    <s v="BELUM JTO"/>
    <n v="5"/>
    <n v="12"/>
    <x v="13"/>
    <s v="COLL"/>
    <x v="0"/>
    <x v="0"/>
    <m/>
  </r>
  <r>
    <n v="1086"/>
    <d v="2025-11-19T14:29:25"/>
    <s v="e4173dd7-6d58-43a6-8f0e-8ad94c7a888a"/>
    <s v="LatLng(lat: 1.0486358, lng: 103.9533905)"/>
    <s v="SP-25-F0000384"/>
    <s v="BUDI PANJAITAN"/>
    <s v="BP 3873 UD"/>
    <x v="0"/>
    <s v="14.CALL CENTER"/>
    <s v="A"/>
    <n v="18"/>
    <s v="MH1JM6113KK071844"/>
    <s v="JM61E1071909"/>
    <s v="HONDA"/>
    <s v="GENIO"/>
    <s v="HITAM"/>
    <s v="JG"/>
    <s v="BELUM JTO"/>
    <n v="9"/>
    <n v="24"/>
    <x v="29"/>
    <s v="COLL"/>
    <x v="0"/>
    <x v="0"/>
    <m/>
  </r>
  <r>
    <n v="1087"/>
    <d v="2025-11-19T14:36:12"/>
    <s v="e0d931cf-6e64-4a91-a81a-04cf02d33a39"/>
    <s v="LatLng(lat: 1.048503, lng: 103.9534167)"/>
    <s v="SP-25-F0001348"/>
    <s v="PARIT JUNAIDI"/>
    <s v="BP 3740 JC"/>
    <x v="0"/>
    <s v="12.JUBRAIDER S"/>
    <s v="A"/>
    <n v="12"/>
    <s v="MH1KC4110EK274075"/>
    <s v="KC41E1272063"/>
    <s v="HONDA"/>
    <s v="CB 150 R OLD"/>
    <s v="MERAH"/>
    <s v="JG"/>
    <s v="BELUM JTO"/>
    <n v="5"/>
    <n v="6"/>
    <x v="13"/>
    <s v="COLL"/>
    <x v="0"/>
    <x v="0"/>
    <m/>
  </r>
  <r>
    <n v="1088"/>
    <d v="2025-11-19T15:44:41"/>
    <s v="1770dac3-81ca-4fab-8a6a-e60c63470def"/>
    <s v="LatLng(lat: 1.0318137, lng: 103.9584926)"/>
    <s v="SP-25-F0002108"/>
    <s v="HERMAN SUDIRO SIREGAR"/>
    <s v="BP 2448 HJ"/>
    <x v="0"/>
    <s v="05.BOSPA"/>
    <s v="A"/>
    <n v="1"/>
    <s v="MH1JFZ129JK553429"/>
    <s v="JFZ1E2577424"/>
    <s v="HONDA"/>
    <s v="BEAT"/>
    <s v="PUTIH"/>
    <s v="JG"/>
    <s v="GAGAL BAYAR"/>
    <n v="2"/>
    <n v="12"/>
    <x v="21"/>
    <s v="COLL"/>
    <x v="0"/>
    <x v="0"/>
    <m/>
  </r>
  <r>
    <n v="1089"/>
    <d v="2025-11-19T15:54:05"/>
    <s v="6d21de4b-42fc-49f2-86f3-40a2a9759695"/>
    <s v="LatLng(lat: 0.9083328, lng: 104.4783103)"/>
    <s v="TP-25-F0000127"/>
    <s v="LAURA EKA WHESKA"/>
    <s v="BP 5069 HW"/>
    <x v="0"/>
    <s v="02.REY"/>
    <s v="A"/>
    <n v="7"/>
    <s v="MH3SG5620LJ120078"/>
    <s v="G3L8E0134121"/>
    <s v="YAMAHA"/>
    <s v="NMAX"/>
    <s v="PUTIH"/>
    <s v="JG"/>
    <s v="BELUM JTO"/>
    <n v="9"/>
    <n v="36"/>
    <x v="0"/>
    <s v="COLL"/>
    <x v="0"/>
    <x v="0"/>
    <m/>
  </r>
  <r>
    <n v="1090"/>
    <d v="2025-11-19T15:58:12"/>
    <s v="e0d931cf-6e64-4a91-a81a-04cf02d33a39"/>
    <s v="LatLng(lat: 1.0303283, lng: 103.9658717)"/>
    <s v="SP-24-F0000752"/>
    <s v="ERISMEN DODIANTO"/>
    <s v="BP 2492 AE"/>
    <x v="0"/>
    <s v="05.BOSPA"/>
    <s v="A"/>
    <n v="17"/>
    <s v="MH1KC9318JK000675"/>
    <s v="KC93E1000627"/>
    <s v="HONDA"/>
    <s v="CBR"/>
    <s v="MERAH PUTIH"/>
    <s v="JG"/>
    <s v="BELUM JTO"/>
    <n v="19"/>
    <n v="24"/>
    <x v="13"/>
    <s v="COLL"/>
    <x v="0"/>
    <x v="0"/>
    <m/>
  </r>
  <r>
    <n v="1091"/>
    <d v="2025-11-19T16:01:04"/>
    <s v="03ad1f6b-7a85-463b-ab53-e8f3deee2ad5"/>
    <s v="LatLng(lat: 0.9015006, lng: 104.4853607)"/>
    <s v="BT-KD-23-00182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49"/>
    <s v="COLL"/>
    <x v="0"/>
    <x v="0"/>
    <m/>
  </r>
  <r>
    <n v="1092"/>
    <d v="2025-11-19T16:15:57"/>
    <s v="6d21de4b-42fc-49f2-86f3-40a2a9759695"/>
    <s v="LatLng(lat: 0.9110773, lng: 104.5397742)"/>
    <n v="13003167"/>
    <e v="#N/A"/>
    <e v="#N/A"/>
    <x v="5"/>
    <e v="#N/A"/>
    <e v="#N/A"/>
    <e v="#N/A"/>
    <e v="#N/A"/>
    <e v="#N/A"/>
    <e v="#N/A"/>
    <e v="#N/A"/>
    <e v="#N/A"/>
    <e v="#N/A"/>
    <e v="#N/A"/>
    <e v="#N/A"/>
    <e v="#N/A"/>
    <x v="0"/>
    <s v="COLL"/>
    <x v="0"/>
    <x v="0"/>
    <m/>
  </r>
  <r>
    <n v="1093"/>
    <d v="2025-11-19T16:29:58"/>
    <s v="e0d931cf-6e64-4a91-a81a-04cf02d33a39"/>
    <s v="LatLng(lat: 1.057185, lng: 103.944345)"/>
    <s v="OD-24-F0001836"/>
    <s v="ROSI NOVIZA"/>
    <s v="BP 3998 IG"/>
    <x v="0"/>
    <s v="14.CALL CENTER"/>
    <s v="A"/>
    <n v="6"/>
    <s v="MH1JFC118DK191067"/>
    <s v="JFC1E1190679"/>
    <s v="HONDA"/>
    <s v="VARIO"/>
    <s v="HITAM"/>
    <s v="JG"/>
    <s v="DONE"/>
    <n v="16"/>
    <n v="24"/>
    <x v="13"/>
    <s v="COLL"/>
    <x v="0"/>
    <x v="0"/>
    <m/>
  </r>
  <r>
    <n v="1094"/>
    <d v="2025-11-19T16:33:05"/>
    <s v="6d21de4b-42fc-49f2-86f3-40a2a9759695"/>
    <s v="LatLng(lat: 0.88139, lng: 104.5648417)"/>
    <s v="TP-25-F0000511"/>
    <s v="TOYANI"/>
    <s v="BP 3676 JB"/>
    <x v="0"/>
    <s v="01.SYAMSURI"/>
    <s v="A"/>
    <n v="15"/>
    <s v="MH1JM3135LK724658"/>
    <s v="JM31E3723591"/>
    <s v="HONDA"/>
    <s v="SCOOPY"/>
    <s v="HITAM"/>
    <s v="JG"/>
    <s v="BELUM JTO"/>
    <n v="4"/>
    <n v="24"/>
    <x v="0"/>
    <s v="COLL"/>
    <x v="0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  <r>
    <m/>
    <m/>
    <m/>
    <m/>
    <m/>
    <m/>
    <m/>
    <x v="8"/>
    <m/>
    <m/>
    <m/>
    <m/>
    <m/>
    <m/>
    <m/>
    <m/>
    <m/>
    <m/>
    <m/>
    <m/>
    <x v="50"/>
    <m/>
    <x v="16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H10:N25" firstHeaderRow="1" firstDataRow="2" firstDataCol="1" rowPageCount="2" colPageCount="1"/>
  <pivotFields count="25"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6"/>
        <item x="2"/>
        <item x="0"/>
        <item x="4"/>
        <item x="15"/>
        <item x="14"/>
        <item x="11"/>
        <item x="13"/>
        <item x="9"/>
        <item x="10"/>
        <item x="1"/>
        <item x="7"/>
        <item x="3"/>
        <item x="1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17"/>
        <item x="13"/>
        <item x="16"/>
        <item x="41"/>
        <item x="29"/>
        <item x="46"/>
        <item x="26"/>
        <item x="7"/>
        <item x="30"/>
        <item x="5"/>
        <item x="1"/>
        <item x="33"/>
        <item x="3"/>
        <item x="15"/>
        <item x="25"/>
        <item x="9"/>
        <item x="2"/>
        <item x="32"/>
        <item x="14"/>
        <item x="21"/>
        <item x="18"/>
        <item x="23"/>
        <item x="39"/>
        <item x="12"/>
        <item x="6"/>
        <item x="19"/>
        <item x="20"/>
        <item x="44"/>
        <item x="38"/>
        <item x="31"/>
        <item x="36"/>
        <item x="4"/>
        <item x="45"/>
        <item x="24"/>
        <item x="40"/>
        <item x="8"/>
        <item x="34"/>
        <item x="27"/>
        <item x="42"/>
        <item x="0"/>
        <item x="37"/>
        <item x="11"/>
        <item x="22"/>
        <item x="10"/>
        <item x="28"/>
        <item x="35"/>
        <item x="43"/>
        <item x="50"/>
        <item x="47"/>
        <item x="48"/>
        <item x="49"/>
        <item t="default"/>
      </items>
    </pivotField>
    <pivotField multipleItemSelectionAllowed="1" showAll="0"/>
    <pivotField axis="axisPage" multipleItemSelectionAllowed="1" showAll="0">
      <items count="19">
        <item h="1" x="13"/>
        <item h="1" x="12"/>
        <item h="1" x="3"/>
        <item h="1" x="9"/>
        <item h="1" x="10"/>
        <item h="1" x="11"/>
        <item h="1" x="7"/>
        <item h="1" x="0"/>
        <item h="1" x="5"/>
        <item h="1" x="15"/>
        <item h="1" x="2"/>
        <item h="1" x="6"/>
        <item h="1" x="14"/>
        <item x="4"/>
        <item h="1" x="1"/>
        <item h="1" x="16"/>
        <item h="1" x="8"/>
        <item h="1" x="17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</pivotFields>
  <rowFields count="1">
    <field x="20"/>
  </rowFields>
  <rowItems count="14">
    <i>
      <x v="15"/>
    </i>
    <i>
      <x v="16"/>
    </i>
    <i>
      <x v="17"/>
    </i>
    <i>
      <x v="18"/>
    </i>
    <i>
      <x v="23"/>
    </i>
    <i>
      <x v="24"/>
    </i>
    <i>
      <x v="27"/>
    </i>
    <i>
      <x v="28"/>
    </i>
    <i>
      <x v="30"/>
    </i>
    <i>
      <x v="31"/>
    </i>
    <i>
      <x v="35"/>
    </i>
    <i>
      <x v="41"/>
    </i>
    <i>
      <x v="44"/>
    </i>
    <i t="grand">
      <x/>
    </i>
  </rowItems>
  <colFields count="1">
    <field x="7"/>
  </colFields>
  <colItems count="6">
    <i>
      <x v="2"/>
    </i>
    <i>
      <x v="3"/>
    </i>
    <i>
      <x v="10"/>
    </i>
    <i>
      <x v="11"/>
    </i>
    <i>
      <x v="12"/>
    </i>
    <i t="grand">
      <x/>
    </i>
  </colItems>
  <pageFields count="2">
    <pageField fld="23" hier="0"/>
    <pageField fld="22" hier="0"/>
  </pageFields>
  <dataFields count="1">
    <dataField name="Count of no_perjanjian" fld="4" subtotal="count" baseField="0" baseItem="0"/>
  </dataFields>
  <formats count="78"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7" type="button" dataOnly="0" labelOnly="1" outline="0" fieldPosition="0"/>
    </format>
    <format dxfId="232">
      <pivotArea type="topRight" dataOnly="0" labelOnly="1" outline="0" fieldPosition="0"/>
    </format>
    <format dxfId="231">
      <pivotArea field="20" type="button" dataOnly="0" labelOnly="1" outline="0" fieldPosition="0"/>
    </format>
    <format dxfId="230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29">
      <pivotArea dataOnly="0" labelOnly="1" grandRow="1" outline="0" fieldPosition="0"/>
    </format>
    <format dxfId="228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27">
      <pivotArea dataOnly="0" labelOnly="1" grandCol="1" outline="0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type="origin" dataOnly="0" labelOnly="1" outline="0" fieldPosition="0"/>
    </format>
    <format dxfId="223">
      <pivotArea field="7" type="button" dataOnly="0" labelOnly="1" outline="0" fieldPosition="0"/>
    </format>
    <format dxfId="222">
      <pivotArea type="topRight" dataOnly="0" labelOnly="1" outline="0" fieldPosition="0"/>
    </format>
    <format dxfId="221">
      <pivotArea field="20" type="button" dataOnly="0" labelOnly="1" outline="0" fieldPosition="0"/>
    </format>
    <format dxfId="220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19">
      <pivotArea dataOnly="0" labelOnly="1" grandRow="1" outline="0" fieldPosition="0"/>
    </format>
    <format dxfId="218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17">
      <pivotArea dataOnly="0" labelOnly="1" grandCol="1" outline="0" fieldPosition="0"/>
    </format>
    <format dxfId="216">
      <pivotArea type="all" dataOnly="0" outline="0" fieldPosition="0"/>
    </format>
    <format dxfId="215">
      <pivotArea outline="0" collapsedLevelsAreSubtotals="1" fieldPosition="0"/>
    </format>
    <format dxfId="214">
      <pivotArea type="origin" dataOnly="0" labelOnly="1" outline="0" fieldPosition="0"/>
    </format>
    <format dxfId="213">
      <pivotArea field="7" type="button" dataOnly="0" labelOnly="1" outline="0" fieldPosition="0"/>
    </format>
    <format dxfId="212">
      <pivotArea type="topRight" dataOnly="0" labelOnly="1" outline="0" fieldPosition="0"/>
    </format>
    <format dxfId="211">
      <pivotArea field="20" type="button" dataOnly="0" labelOnly="1" outline="0" fieldPosition="0"/>
    </format>
    <format dxfId="210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09">
      <pivotArea dataOnly="0" labelOnly="1" grandRow="1" outline="0" fieldPosition="0"/>
    </format>
    <format dxfId="208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07">
      <pivotArea dataOnly="0" labelOnly="1" grandCol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7" type="button" dataOnly="0" labelOnly="1" outline="0" fieldPosition="0"/>
    </format>
    <format dxfId="202">
      <pivotArea type="topRight" dataOnly="0" labelOnly="1" outline="0" fieldPosition="0"/>
    </format>
    <format dxfId="201">
      <pivotArea field="20" type="button" dataOnly="0" labelOnly="1" outline="0" fieldPosition="0"/>
    </format>
    <format dxfId="200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197">
      <pivotArea dataOnly="0" labelOnly="1" grandCol="1" outline="0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7" type="button" dataOnly="0" labelOnly="1" outline="0" fieldPosition="0"/>
    </format>
    <format dxfId="192">
      <pivotArea type="topRight" dataOnly="0" labelOnly="1" outline="0" fieldPosition="0"/>
    </format>
    <format dxfId="191">
      <pivotArea field="20" type="button" dataOnly="0" labelOnly="1" outline="0" fieldPosition="0"/>
    </format>
    <format dxfId="190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187">
      <pivotArea dataOnly="0" labelOnly="1" grandCol="1" outline="0" fieldPosition="0"/>
    </format>
    <format dxfId="186">
      <pivotArea collapsedLevelsAreSubtotals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185">
      <pivotArea grandRow="1" outline="0" collapsedLevelsAreSubtotals="1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type="origin" dataOnly="0" labelOnly="1" outline="0" fieldPosition="0"/>
    </format>
    <format dxfId="181">
      <pivotArea field="7" type="button" dataOnly="0" labelOnly="1" outline="0" fieldPosition="0"/>
    </format>
    <format dxfId="180">
      <pivotArea type="topRight" dataOnly="0" labelOnly="1" outline="0" fieldPosition="0"/>
    </format>
    <format dxfId="179">
      <pivotArea field="20" type="button" dataOnly="0" labelOnly="1" outline="0" fieldPosition="0"/>
    </format>
    <format dxfId="178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177">
      <pivotArea dataOnly="0" labelOnly="1" grandRow="1" outline="0" fieldPosition="0"/>
    </format>
    <format dxfId="176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175">
      <pivotArea dataOnly="0" labelOnly="1" grandCol="1" outline="0" fieldPosition="0"/>
    </format>
    <format>
      <pivotArea type="all" dataOnly="0" outline="0" fieldPosition="0"/>
    </format>
    <format>
      <pivotArea outline="0" collapsedLevelsAreSubtotals="1" fieldPosition="0"/>
    </format>
    <format>
      <pivotArea type="origin" dataOnly="0" labelOnly="1" outline="0" fieldPosition="0"/>
    </format>
    <format>
      <pivotArea field="7" type="button" dataOnly="0" labelOnly="1" outline="0" fieldPosition="0"/>
    </format>
    <format>
      <pivotArea type="topRight" dataOnly="0" labelOnly="1" outline="0" fieldPosition="0"/>
    </format>
    <format>
      <pivotArea field="20" type="button" dataOnly="0" labelOnly="1" outline="0" fieldPosition="0"/>
    </format>
    <format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>
      <pivotArea dataOnly="0" labelOnly="1" grandRow="1" outline="0" fieldPosition="0"/>
    </format>
    <format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>
      <pivotArea dataOnly="0" labelOnly="1" grandCol="1" outline="0" fieldPosition="0"/>
    </format>
    <format dxfId="174">
      <pivotArea outline="0" collapsedLevelsAreSubtotals="1" fieldPosition="0"/>
    </format>
    <format dxfId="17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172">
      <pivotArea dataOnly="0" labelOnly="1" grandCol="1" outline="0" fieldPosition="0"/>
    </format>
    <format dxfId="171">
      <pivotArea collapsedLevelsAreSubtotals="1" fieldPosition="0">
        <references count="1">
          <reference field="20" count="12">
            <x v="15"/>
            <x v="16"/>
            <x v="17"/>
            <x v="18"/>
            <x v="23"/>
            <x v="24"/>
            <x v="27"/>
            <x v="28"/>
            <x v="30"/>
            <x v="31"/>
            <x v="35"/>
            <x v="41"/>
          </reference>
        </references>
      </pivotArea>
    </format>
    <format dxfId="170">
      <pivotArea dataOnly="0" labelOnly="1" fieldPosition="0">
        <references count="1">
          <reference field="20" count="12">
            <x v="15"/>
            <x v="16"/>
            <x v="17"/>
            <x v="18"/>
            <x v="23"/>
            <x v="24"/>
            <x v="27"/>
            <x v="28"/>
            <x v="30"/>
            <x v="31"/>
            <x v="35"/>
            <x v="41"/>
          </reference>
        </references>
      </pivotArea>
    </format>
    <format dxfId="169">
      <pivotArea dataOnly="0" labelOnly="1" fieldPosition="0">
        <references count="1">
          <reference field="2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Q10:S13" firstHeaderRow="1" firstDataRow="2" firstDataCol="1" rowPageCount="2" colPageCount="1"/>
  <pivotFields count="25"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6"/>
        <item x="2"/>
        <item x="0"/>
        <item x="4"/>
        <item x="15"/>
        <item x="14"/>
        <item x="11"/>
        <item x="13"/>
        <item x="9"/>
        <item x="10"/>
        <item x="1"/>
        <item x="7"/>
        <item x="3"/>
        <item x="1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17"/>
        <item x="13"/>
        <item x="16"/>
        <item x="41"/>
        <item x="29"/>
        <item x="46"/>
        <item x="26"/>
        <item x="7"/>
        <item x="30"/>
        <item x="5"/>
        <item x="1"/>
        <item x="33"/>
        <item x="3"/>
        <item x="15"/>
        <item x="25"/>
        <item x="9"/>
        <item x="2"/>
        <item x="32"/>
        <item x="14"/>
        <item x="21"/>
        <item x="18"/>
        <item x="23"/>
        <item x="39"/>
        <item x="12"/>
        <item x="6"/>
        <item x="19"/>
        <item x="20"/>
        <item x="44"/>
        <item x="38"/>
        <item x="31"/>
        <item x="36"/>
        <item x="4"/>
        <item x="45"/>
        <item x="24"/>
        <item x="40"/>
        <item x="8"/>
        <item x="34"/>
        <item x="27"/>
        <item x="42"/>
        <item x="0"/>
        <item x="37"/>
        <item x="11"/>
        <item x="22"/>
        <item x="10"/>
        <item x="28"/>
        <item x="35"/>
        <item x="43"/>
        <item x="50"/>
        <item x="47"/>
        <item x="48"/>
        <item x="49"/>
        <item t="default"/>
      </items>
    </pivotField>
    <pivotField multipleItemSelectionAllowed="1" showAll="0"/>
    <pivotField axis="axisPage" multipleItemSelectionAllowed="1" showAll="0">
      <items count="19">
        <item h="1" x="13"/>
        <item h="1" x="12"/>
        <item h="1" x="3"/>
        <item h="1" x="9"/>
        <item h="1" x="10"/>
        <item h="1" x="11"/>
        <item h="1" x="7"/>
        <item h="1" x="0"/>
        <item x="5"/>
        <item h="1" x="15"/>
        <item h="1" x="2"/>
        <item h="1" x="6"/>
        <item h="1" x="14"/>
        <item h="1" x="4"/>
        <item h="1" x="1"/>
        <item h="1" x="16"/>
        <item h="1" x="8"/>
        <item h="1" x="17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</pivotFields>
  <rowFields count="1">
    <field x="20"/>
  </rowFields>
  <rowItems count="2">
    <i>
      <x v="2"/>
    </i>
    <i t="grand">
      <x/>
    </i>
  </rowItems>
  <colFields count="1">
    <field x="7"/>
  </colFields>
  <colItems count="2">
    <i>
      <x v="11"/>
    </i>
    <i t="grand">
      <x/>
    </i>
  </colItems>
  <pageFields count="2">
    <pageField fld="23" hier="0"/>
    <pageField fld="22" hier="0"/>
  </pageFields>
  <dataFields count="1">
    <dataField name="Count of no_perjanjian" fld="4" subtotal="count" baseField="0" baseItem="0"/>
  </dataFields>
  <formats count="95">
    <format dxfId="301">
      <pivotArea type="all" dataOnly="0" outline="0" fieldPosition="0"/>
    </format>
    <format dxfId="300">
      <pivotArea outline="0" collapsedLevelsAreSubtotals="1" fieldPosition="0"/>
    </format>
    <format dxfId="299">
      <pivotArea type="origin" dataOnly="0" labelOnly="1" outline="0" fieldPosition="0"/>
    </format>
    <format dxfId="298">
      <pivotArea field="7" type="button" dataOnly="0" labelOnly="1" outline="0" fieldPosition="0"/>
    </format>
    <format dxfId="297">
      <pivotArea type="topRight" dataOnly="0" labelOnly="1" outline="0" fieldPosition="0"/>
    </format>
    <format dxfId="296">
      <pivotArea field="20" type="button" dataOnly="0" labelOnly="1" outline="0" fieldPosition="0"/>
    </format>
    <format dxfId="295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94">
      <pivotArea dataOnly="0" labelOnly="1" grandRow="1" outline="0" fieldPosition="0"/>
    </format>
    <format dxfId="29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92">
      <pivotArea dataOnly="0" labelOnly="1" grandCol="1" outline="0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type="origin" dataOnly="0" labelOnly="1" outline="0" fieldPosition="0"/>
    </format>
    <format dxfId="288">
      <pivotArea field="7" type="button" dataOnly="0" labelOnly="1" outline="0" fieldPosition="0"/>
    </format>
    <format dxfId="287">
      <pivotArea type="topRight" dataOnly="0" labelOnly="1" outline="0" fieldPosition="0"/>
    </format>
    <format dxfId="286">
      <pivotArea field="20" type="button" dataOnly="0" labelOnly="1" outline="0" fieldPosition="0"/>
    </format>
    <format dxfId="285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84">
      <pivotArea dataOnly="0" labelOnly="1" grandRow="1" outline="0" fieldPosition="0"/>
    </format>
    <format dxfId="28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82">
      <pivotArea dataOnly="0" labelOnly="1" grandCol="1" outline="0" fieldPosition="0"/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type="origin" dataOnly="0" labelOnly="1" outline="0" fieldPosition="0"/>
    </format>
    <format dxfId="278">
      <pivotArea field="7" type="button" dataOnly="0" labelOnly="1" outline="0" fieldPosition="0"/>
    </format>
    <format dxfId="277">
      <pivotArea type="topRight" dataOnly="0" labelOnly="1" outline="0" fieldPosition="0"/>
    </format>
    <format dxfId="276">
      <pivotArea field="20" type="button" dataOnly="0" labelOnly="1" outline="0" fieldPosition="0"/>
    </format>
    <format dxfId="275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74">
      <pivotArea dataOnly="0" labelOnly="1" grandRow="1" outline="0" fieldPosition="0"/>
    </format>
    <format dxfId="27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72">
      <pivotArea dataOnly="0" labelOnly="1" grandCol="1" outline="0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type="origin" dataOnly="0" labelOnly="1" outline="0" fieldPosition="0"/>
    </format>
    <format dxfId="268">
      <pivotArea field="7" type="button" dataOnly="0" labelOnly="1" outline="0" fieldPosition="0"/>
    </format>
    <format dxfId="267">
      <pivotArea type="topRight" dataOnly="0" labelOnly="1" outline="0" fieldPosition="0"/>
    </format>
    <format dxfId="266">
      <pivotArea field="20" type="button" dataOnly="0" labelOnly="1" outline="0" fieldPosition="0"/>
    </format>
    <format dxfId="265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62">
      <pivotArea dataOnly="0" labelOnly="1" grandCol="1" outline="0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type="origin" dataOnly="0" labelOnly="1" outline="0" fieldPosition="0"/>
    </format>
    <format dxfId="258">
      <pivotArea field="7" type="button" dataOnly="0" labelOnly="1" outline="0" fieldPosition="0"/>
    </format>
    <format dxfId="257">
      <pivotArea type="topRight" dataOnly="0" labelOnly="1" outline="0" fieldPosition="0"/>
    </format>
    <format dxfId="256">
      <pivotArea field="20" type="button" dataOnly="0" labelOnly="1" outline="0" fieldPosition="0"/>
    </format>
    <format dxfId="255">
      <pivotArea dataOnly="0" labelOnly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54">
      <pivotArea dataOnly="0" labelOnly="1" grandRow="1" outline="0" fieldPosition="0"/>
    </format>
    <format dxfId="253">
      <pivotArea dataOnly="0" labelOnly="1" fieldPosition="0">
        <references count="1">
          <reference field="7" count="5">
            <x v="2"/>
            <x v="3"/>
            <x v="10"/>
            <x v="11"/>
            <x v="12"/>
          </reference>
        </references>
      </pivotArea>
    </format>
    <format dxfId="252">
      <pivotArea dataOnly="0" labelOnly="1" grandCol="1" outline="0" fieldPosition="0"/>
    </format>
    <format dxfId="251">
      <pivotArea collapsedLevelsAreSubtotals="1" fieldPosition="0">
        <references count="1">
          <reference field="20" count="11">
            <x v="15"/>
            <x v="16"/>
            <x v="17"/>
            <x v="18"/>
            <x v="24"/>
            <x v="27"/>
            <x v="28"/>
            <x v="30"/>
            <x v="31"/>
            <x v="35"/>
            <x v="41"/>
          </reference>
        </references>
      </pivotArea>
    </format>
    <format dxfId="250">
      <pivotArea grandRow="1" outline="0" collapsedLevelsAreSubtotals="1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type="origin" dataOnly="0" labelOnly="1" outline="0" fieldPosition="0"/>
    </format>
    <format dxfId="246">
      <pivotArea field="7" type="button" dataOnly="0" labelOnly="1" outline="0" fieldPosition="0"/>
    </format>
    <format dxfId="245">
      <pivotArea type="topRight" dataOnly="0" labelOnly="1" outline="0" fieldPosition="0"/>
    </format>
    <format dxfId="244">
      <pivotArea field="20" type="button" dataOnly="0" labelOnly="1" outline="0" fieldPosition="0"/>
    </format>
    <format dxfId="243">
      <pivotArea dataOnly="0" labelOnly="1" fieldPosition="0">
        <references count="1">
          <reference field="20" count="1">
            <x v="2"/>
          </reference>
        </references>
      </pivotArea>
    </format>
    <format dxfId="242">
      <pivotArea dataOnly="0" labelOnly="1" grandRow="1" outline="0" fieldPosition="0"/>
    </format>
    <format dxfId="241">
      <pivotArea dataOnly="0" labelOnly="1" fieldPosition="0">
        <references count="1">
          <reference field="7" count="1">
            <x v="11"/>
          </reference>
        </references>
      </pivotArea>
    </format>
    <format dxfId="240">
      <pivotArea dataOnly="0" labelOnly="1" grandCol="1" outline="0" fieldPosition="0"/>
    </format>
    <format>
      <pivotArea type="all" dataOnly="0" outline="0" fieldPosition="0"/>
    </format>
    <format>
      <pivotArea outline="0" collapsedLevelsAreSubtotals="1" fieldPosition="0"/>
    </format>
    <format>
      <pivotArea type="origin" dataOnly="0" labelOnly="1" outline="0" fieldPosition="0"/>
    </format>
    <format>
      <pivotArea field="7" type="button" dataOnly="0" labelOnly="1" outline="0" fieldPosition="0"/>
    </format>
    <format>
      <pivotArea type="topRight" dataOnly="0" labelOnly="1" outline="0" fieldPosition="0"/>
    </format>
    <format>
      <pivotArea field="20" type="button" dataOnly="0" labelOnly="1" outline="0" fieldPosition="0"/>
    </format>
    <format>
      <pivotArea dataOnly="0" labelOnly="1" fieldPosition="0">
        <references count="1">
          <reference field="20" count="1">
            <x v="2"/>
          </reference>
        </references>
      </pivotArea>
    </format>
    <format>
      <pivotArea dataOnly="0" labelOnly="1" grandRow="1" outline="0" fieldPosition="0"/>
    </format>
    <format>
      <pivotArea dataOnly="0" labelOnly="1" fieldPosition="0">
        <references count="1">
          <reference field="7" count="1">
            <x v="11"/>
          </reference>
        </references>
      </pivotArea>
    </format>
    <format>
      <pivotArea dataOnly="0" labelOnly="1" grandCol="1" outline="0" fieldPosition="0"/>
    </format>
    <format dxfId="239">
      <pivotArea outline="0" collapsedLevelsAreSubtotals="1" fieldPosition="0"/>
    </format>
    <format dxfId="238">
      <pivotArea dataOnly="0" labelOnly="1" fieldPosition="0">
        <references count="1">
          <reference field="7" count="1">
            <x v="11"/>
          </reference>
        </references>
      </pivotArea>
    </format>
    <format dxfId="237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7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0" type="button" dataOnly="0" labelOnly="1" outline="0" axis="axisRow" fieldPosition="0"/>
    </format>
    <format dxfId="13">
      <pivotArea dataOnly="0" labelOnly="1" fieldPosition="0">
        <references count="1">
          <reference field="20" count="1">
            <x v="2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7" count="1">
            <x v="11"/>
          </reference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7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0" type="button" dataOnly="0" labelOnly="1" outline="0" axis="axisRow" fieldPosition="0"/>
    </format>
    <format dxfId="3">
      <pivotArea dataOnly="0" labelOnly="1" fieldPosition="0">
        <references count="1">
          <reference field="20" count="1">
            <x v="2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7" count="1">
            <x v="11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3:AJ27"/>
  <sheetViews>
    <sheetView showGridLines="0" zoomScale="86" zoomScaleNormal="86" workbookViewId="0">
      <selection activeCell="B2" sqref="B2:AK28"/>
    </sheetView>
  </sheetViews>
  <sheetFormatPr defaultColWidth="3.5703125" defaultRowHeight="15"/>
  <cols>
    <col min="1" max="2" width="3.5703125" customWidth="1"/>
    <col min="3" max="3" width="4.140625" customWidth="1"/>
    <col min="4" max="5" width="17.140625" customWidth="1"/>
    <col min="6" max="7" width="4.5703125" customWidth="1"/>
    <col min="8" max="13" width="5.85546875" customWidth="1"/>
    <col min="14" max="14" width="4.5703125" customWidth="1"/>
    <col min="15" max="19" width="5.85546875" customWidth="1"/>
    <col min="20" max="20" width="5.85546875" bestFit="1" customWidth="1"/>
    <col min="21" max="21" width="3.42578125" customWidth="1"/>
    <col min="22" max="24" width="5.85546875" bestFit="1" customWidth="1"/>
    <col min="25" max="35" width="3.42578125" customWidth="1"/>
    <col min="36" max="36" width="15.140625" customWidth="1"/>
    <col min="37" max="37" width="3.5703125" customWidth="1"/>
  </cols>
  <sheetData>
    <row r="3" spans="3:36" ht="26.25">
      <c r="C3" s="104" t="s">
        <v>0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</row>
    <row r="4" spans="3:36" ht="15.75">
      <c r="C4" s="109" t="s">
        <v>1</v>
      </c>
      <c r="D4" s="109" t="s">
        <v>2</v>
      </c>
      <c r="E4" s="109" t="s">
        <v>3</v>
      </c>
      <c r="F4" s="107" t="s">
        <v>4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10" t="s">
        <v>5</v>
      </c>
    </row>
    <row r="5" spans="3:36" ht="15.75">
      <c r="C5" s="109"/>
      <c r="D5" s="109"/>
      <c r="E5" s="109"/>
      <c r="F5" s="81">
        <v>1</v>
      </c>
      <c r="G5" s="81">
        <v>2</v>
      </c>
      <c r="H5" s="81">
        <v>3</v>
      </c>
      <c r="I5" s="81">
        <v>4</v>
      </c>
      <c r="J5" s="81">
        <v>5</v>
      </c>
      <c r="K5" s="81">
        <v>6</v>
      </c>
      <c r="L5" s="81">
        <v>7</v>
      </c>
      <c r="M5" s="81">
        <v>8</v>
      </c>
      <c r="N5" s="81">
        <v>9</v>
      </c>
      <c r="O5" s="81">
        <v>10</v>
      </c>
      <c r="P5" s="81">
        <v>11</v>
      </c>
      <c r="Q5" s="81">
        <v>12</v>
      </c>
      <c r="R5" s="81">
        <v>13</v>
      </c>
      <c r="S5" s="81">
        <v>14</v>
      </c>
      <c r="T5" s="81">
        <v>15</v>
      </c>
      <c r="U5" s="81">
        <v>16</v>
      </c>
      <c r="V5" s="81">
        <v>17</v>
      </c>
      <c r="W5" s="81">
        <v>18</v>
      </c>
      <c r="X5" s="81">
        <v>19</v>
      </c>
      <c r="Y5" s="81">
        <v>20</v>
      </c>
      <c r="Z5" s="81">
        <v>21</v>
      </c>
      <c r="AA5" s="81">
        <v>22</v>
      </c>
      <c r="AB5" s="81">
        <v>23</v>
      </c>
      <c r="AC5" s="81">
        <v>24</v>
      </c>
      <c r="AD5" s="81">
        <v>25</v>
      </c>
      <c r="AE5" s="81">
        <v>26</v>
      </c>
      <c r="AF5" s="81">
        <v>27</v>
      </c>
      <c r="AG5" s="81">
        <v>28</v>
      </c>
      <c r="AH5" s="81">
        <v>29</v>
      </c>
      <c r="AI5" s="81">
        <v>30</v>
      </c>
      <c r="AJ5" s="110"/>
    </row>
    <row r="6" spans="3:36" ht="12.95" customHeight="1">
      <c r="C6" s="82">
        <v>1</v>
      </c>
      <c r="D6" s="83" t="s">
        <v>6</v>
      </c>
      <c r="E6" s="84">
        <v>1000</v>
      </c>
      <c r="F6" s="28">
        <v>5</v>
      </c>
      <c r="G6" s="28">
        <v>12</v>
      </c>
      <c r="H6" s="28">
        <v>6</v>
      </c>
      <c r="I6" s="28">
        <v>33</v>
      </c>
      <c r="J6" s="28">
        <v>24</v>
      </c>
      <c r="K6" s="28">
        <v>106</v>
      </c>
      <c r="L6" s="28">
        <v>203</v>
      </c>
      <c r="M6" s="28">
        <v>166</v>
      </c>
      <c r="N6" s="28">
        <v>4</v>
      </c>
      <c r="O6" s="28">
        <v>204</v>
      </c>
      <c r="P6" s="28">
        <v>158</v>
      </c>
      <c r="Q6" s="28">
        <v>216</v>
      </c>
      <c r="R6" s="28">
        <v>122</v>
      </c>
      <c r="S6" s="28">
        <v>164</v>
      </c>
      <c r="T6" s="28">
        <v>2</v>
      </c>
      <c r="U6" s="28">
        <v>13</v>
      </c>
      <c r="V6" s="28">
        <v>88</v>
      </c>
      <c r="W6" s="28">
        <v>209</v>
      </c>
      <c r="X6" s="28">
        <v>164</v>
      </c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5">
        <f>SUM(F6:AI6)</f>
        <v>1899</v>
      </c>
    </row>
    <row r="7" spans="3:36">
      <c r="C7" s="82">
        <v>2</v>
      </c>
      <c r="D7" s="85" t="s">
        <v>7</v>
      </c>
      <c r="E7" s="86">
        <v>1000</v>
      </c>
      <c r="F7" s="28">
        <v>136</v>
      </c>
      <c r="G7" s="28">
        <v>11</v>
      </c>
      <c r="H7" s="28">
        <v>351</v>
      </c>
      <c r="I7" s="28">
        <v>584</v>
      </c>
      <c r="J7" s="28">
        <v>619</v>
      </c>
      <c r="K7" s="28">
        <v>589</v>
      </c>
      <c r="L7" s="28">
        <v>477</v>
      </c>
      <c r="M7" s="28">
        <v>807</v>
      </c>
      <c r="N7" s="28">
        <v>9</v>
      </c>
      <c r="O7" s="28">
        <v>573</v>
      </c>
      <c r="P7" s="28">
        <v>168</v>
      </c>
      <c r="Q7" s="28">
        <v>423</v>
      </c>
      <c r="R7" s="28">
        <v>110</v>
      </c>
      <c r="S7" s="28">
        <v>227</v>
      </c>
      <c r="T7" s="28">
        <v>312</v>
      </c>
      <c r="U7" s="28">
        <v>1</v>
      </c>
      <c r="V7" s="28">
        <v>513</v>
      </c>
      <c r="W7" s="28">
        <v>445</v>
      </c>
      <c r="X7" s="28">
        <v>215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5">
        <f>SUM(F7:AI7)</f>
        <v>6570</v>
      </c>
    </row>
    <row r="8" spans="3:36">
      <c r="C8" s="44">
        <v>3</v>
      </c>
      <c r="D8" s="45" t="s">
        <v>8</v>
      </c>
      <c r="E8" s="46">
        <v>1000</v>
      </c>
      <c r="F8" s="28">
        <v>1</v>
      </c>
      <c r="G8" s="28" t="s">
        <v>9</v>
      </c>
      <c r="H8" s="28" t="s">
        <v>9</v>
      </c>
      <c r="I8" s="28" t="s">
        <v>9</v>
      </c>
      <c r="J8" s="28">
        <v>144</v>
      </c>
      <c r="K8" s="28">
        <v>246</v>
      </c>
      <c r="L8" s="28">
        <v>471</v>
      </c>
      <c r="M8" s="28">
        <v>557</v>
      </c>
      <c r="N8" s="28" t="s">
        <v>9</v>
      </c>
      <c r="O8" s="28">
        <v>488</v>
      </c>
      <c r="P8" s="28">
        <v>374</v>
      </c>
      <c r="Q8" s="28">
        <v>664</v>
      </c>
      <c r="R8" s="28">
        <v>346</v>
      </c>
      <c r="S8" s="28">
        <v>105</v>
      </c>
      <c r="T8" s="28">
        <v>103</v>
      </c>
      <c r="U8" s="28" t="s">
        <v>9</v>
      </c>
      <c r="V8" s="28">
        <v>265</v>
      </c>
      <c r="W8" s="28">
        <v>340</v>
      </c>
      <c r="X8" s="28">
        <v>255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5">
        <f>SUM(I8:AI8)</f>
        <v>4358</v>
      </c>
    </row>
    <row r="9" spans="3:36">
      <c r="C9" s="87"/>
      <c r="D9" s="88"/>
      <c r="E9" s="89"/>
      <c r="F9" s="33"/>
      <c r="G9" s="33"/>
      <c r="H9" s="33"/>
      <c r="I9" s="33" t="s">
        <v>9</v>
      </c>
      <c r="J9" s="33" t="s">
        <v>9</v>
      </c>
      <c r="K9" s="33" t="s">
        <v>9</v>
      </c>
      <c r="L9" s="33" t="s">
        <v>9</v>
      </c>
      <c r="M9" s="33" t="s">
        <v>9</v>
      </c>
      <c r="N9" s="33" t="s">
        <v>9</v>
      </c>
      <c r="O9" s="33" t="s">
        <v>9</v>
      </c>
      <c r="P9" s="33" t="s">
        <v>9</v>
      </c>
      <c r="Q9" s="33" t="s">
        <v>9</v>
      </c>
      <c r="R9" s="33" t="s">
        <v>9</v>
      </c>
      <c r="S9" s="33" t="s">
        <v>9</v>
      </c>
      <c r="T9" t="s">
        <v>9</v>
      </c>
      <c r="U9" s="33" t="s">
        <v>9</v>
      </c>
      <c r="V9" s="33" t="s">
        <v>9</v>
      </c>
      <c r="W9" s="11" t="s">
        <v>9</v>
      </c>
      <c r="X9" s="33" t="s">
        <v>9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95"/>
    </row>
    <row r="10" spans="3:36">
      <c r="C10" s="87">
        <v>1</v>
      </c>
      <c r="D10" s="90" t="s">
        <v>10</v>
      </c>
      <c r="E10" s="91">
        <v>1000</v>
      </c>
      <c r="F10" s="28" t="s">
        <v>9</v>
      </c>
      <c r="G10" s="28" t="s">
        <v>9</v>
      </c>
      <c r="H10" s="28" t="s">
        <v>9</v>
      </c>
      <c r="I10" s="28" t="s">
        <v>9</v>
      </c>
      <c r="J10" s="28" t="s">
        <v>9</v>
      </c>
      <c r="K10" s="28" t="s">
        <v>9</v>
      </c>
      <c r="L10" s="28" t="s">
        <v>9</v>
      </c>
      <c r="M10" s="28" t="s">
        <v>9</v>
      </c>
      <c r="N10" s="28" t="s">
        <v>9</v>
      </c>
      <c r="O10" s="28" t="s">
        <v>9</v>
      </c>
      <c r="P10" s="28" t="s">
        <v>9</v>
      </c>
      <c r="Q10" s="28" t="s">
        <v>9</v>
      </c>
      <c r="R10" s="28" t="s">
        <v>9</v>
      </c>
      <c r="S10" s="28" t="s">
        <v>9</v>
      </c>
      <c r="T10" s="28" t="s">
        <v>9</v>
      </c>
      <c r="U10" s="28" t="s">
        <v>9</v>
      </c>
      <c r="V10" s="28" t="s">
        <v>9</v>
      </c>
      <c r="W10" s="28" t="s">
        <v>9</v>
      </c>
      <c r="X10" s="28" t="s">
        <v>9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5">
        <f t="shared" ref="AJ10:AJ26" si="0">SUM(F10:AI10)</f>
        <v>0</v>
      </c>
    </row>
    <row r="11" spans="3:36">
      <c r="C11" s="87">
        <v>2</v>
      </c>
      <c r="D11" s="90" t="s">
        <v>11</v>
      </c>
      <c r="E11" s="91">
        <v>1000</v>
      </c>
      <c r="F11" s="28">
        <v>7</v>
      </c>
      <c r="G11" s="28">
        <v>59</v>
      </c>
      <c r="H11" s="28">
        <v>494</v>
      </c>
      <c r="I11" s="28">
        <v>315</v>
      </c>
      <c r="J11" s="28">
        <v>317</v>
      </c>
      <c r="K11" s="28">
        <v>472</v>
      </c>
      <c r="L11" s="28">
        <v>386</v>
      </c>
      <c r="M11" s="28">
        <v>254</v>
      </c>
      <c r="N11" s="28" t="s">
        <v>9</v>
      </c>
      <c r="O11" s="28">
        <v>343</v>
      </c>
      <c r="P11" s="28">
        <v>272</v>
      </c>
      <c r="Q11" s="28">
        <v>173</v>
      </c>
      <c r="R11" s="28">
        <v>411</v>
      </c>
      <c r="S11" s="28">
        <v>184</v>
      </c>
      <c r="T11" s="28">
        <v>195</v>
      </c>
      <c r="U11" s="28">
        <v>13</v>
      </c>
      <c r="V11" s="28">
        <v>362</v>
      </c>
      <c r="W11" s="28">
        <v>335</v>
      </c>
      <c r="X11" s="28">
        <v>130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5">
        <f t="shared" si="0"/>
        <v>4722</v>
      </c>
    </row>
    <row r="12" spans="3:36">
      <c r="C12" s="87">
        <v>3</v>
      </c>
      <c r="D12" s="90" t="s">
        <v>12</v>
      </c>
      <c r="E12" s="91">
        <v>1000</v>
      </c>
      <c r="F12" s="28" t="s">
        <v>9</v>
      </c>
      <c r="G12" s="28" t="s">
        <v>9</v>
      </c>
      <c r="H12" s="28">
        <v>732</v>
      </c>
      <c r="I12" s="28">
        <v>527</v>
      </c>
      <c r="J12" s="28">
        <v>577</v>
      </c>
      <c r="K12" s="28">
        <v>208</v>
      </c>
      <c r="L12" s="28">
        <v>267</v>
      </c>
      <c r="M12" s="28">
        <v>385</v>
      </c>
      <c r="N12" s="28" t="s">
        <v>9</v>
      </c>
      <c r="O12" s="28">
        <v>348</v>
      </c>
      <c r="P12" s="28">
        <v>270</v>
      </c>
      <c r="Q12" s="28">
        <v>315</v>
      </c>
      <c r="R12" s="28">
        <v>478</v>
      </c>
      <c r="S12" s="28">
        <v>214</v>
      </c>
      <c r="T12" s="28">
        <v>415</v>
      </c>
      <c r="U12" s="28" t="s">
        <v>9</v>
      </c>
      <c r="V12" s="28" t="s">
        <v>9</v>
      </c>
      <c r="W12" s="28" t="s">
        <v>9</v>
      </c>
      <c r="X12" s="28" t="s">
        <v>9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5">
        <f t="shared" si="0"/>
        <v>4736</v>
      </c>
    </row>
    <row r="13" spans="3:36">
      <c r="C13" s="87">
        <v>4</v>
      </c>
      <c r="D13" s="90" t="s">
        <v>13</v>
      </c>
      <c r="E13" s="91">
        <v>1000</v>
      </c>
      <c r="F13" s="28">
        <v>16</v>
      </c>
      <c r="G13" s="28">
        <v>4</v>
      </c>
      <c r="H13" s="28">
        <v>868</v>
      </c>
      <c r="I13" s="28">
        <v>557</v>
      </c>
      <c r="J13" s="28">
        <v>800</v>
      </c>
      <c r="K13" s="28">
        <v>825</v>
      </c>
      <c r="L13" s="28">
        <v>671</v>
      </c>
      <c r="M13" s="28">
        <v>593</v>
      </c>
      <c r="N13" s="28">
        <v>5</v>
      </c>
      <c r="O13" s="28">
        <v>490</v>
      </c>
      <c r="P13" s="28">
        <v>429</v>
      </c>
      <c r="Q13" s="28">
        <v>545</v>
      </c>
      <c r="R13" s="28">
        <v>520</v>
      </c>
      <c r="S13" s="28">
        <v>718</v>
      </c>
      <c r="T13" s="28">
        <v>785</v>
      </c>
      <c r="U13" s="28" t="s">
        <v>9</v>
      </c>
      <c r="V13" s="28">
        <v>194</v>
      </c>
      <c r="W13" s="28">
        <v>698</v>
      </c>
      <c r="X13" s="28">
        <v>515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5">
        <f t="shared" si="0"/>
        <v>9233</v>
      </c>
    </row>
    <row r="14" spans="3:36">
      <c r="C14" s="87">
        <v>5</v>
      </c>
      <c r="D14" s="90" t="s">
        <v>14</v>
      </c>
      <c r="E14" s="91">
        <v>1000</v>
      </c>
      <c r="F14" s="28" t="s">
        <v>9</v>
      </c>
      <c r="G14" s="28" t="s">
        <v>9</v>
      </c>
      <c r="H14" s="28" t="s">
        <v>9</v>
      </c>
      <c r="I14" s="28">
        <v>472</v>
      </c>
      <c r="J14" s="28">
        <v>361</v>
      </c>
      <c r="K14" s="28">
        <v>107</v>
      </c>
      <c r="L14" s="28">
        <v>192</v>
      </c>
      <c r="M14" s="28">
        <v>401</v>
      </c>
      <c r="N14" s="28" t="s">
        <v>9</v>
      </c>
      <c r="O14" s="28">
        <v>521</v>
      </c>
      <c r="P14" s="28">
        <v>429</v>
      </c>
      <c r="Q14" s="28">
        <v>438</v>
      </c>
      <c r="R14" s="28">
        <v>375</v>
      </c>
      <c r="S14" s="28">
        <v>269</v>
      </c>
      <c r="T14" s="28">
        <v>352</v>
      </c>
      <c r="U14" s="28" t="s">
        <v>9</v>
      </c>
      <c r="V14" s="28">
        <v>1</v>
      </c>
      <c r="W14" s="28" t="s">
        <v>9</v>
      </c>
      <c r="X14" s="28" t="s">
        <v>9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5">
        <f t="shared" si="0"/>
        <v>3918</v>
      </c>
    </row>
    <row r="15" spans="3:36">
      <c r="C15" s="87">
        <v>6</v>
      </c>
      <c r="D15" s="90" t="s">
        <v>15</v>
      </c>
      <c r="E15" s="91">
        <v>1000</v>
      </c>
      <c r="F15" s="28">
        <v>142</v>
      </c>
      <c r="G15" s="28" t="s">
        <v>9</v>
      </c>
      <c r="H15" s="28">
        <v>463</v>
      </c>
      <c r="I15" s="28">
        <v>516</v>
      </c>
      <c r="J15" s="28" t="s">
        <v>9</v>
      </c>
      <c r="K15" s="28">
        <v>506</v>
      </c>
      <c r="L15" s="28">
        <v>458</v>
      </c>
      <c r="M15" s="28">
        <v>471</v>
      </c>
      <c r="N15" s="28" t="s">
        <v>9</v>
      </c>
      <c r="O15" s="28">
        <v>499</v>
      </c>
      <c r="P15" s="28">
        <v>185</v>
      </c>
      <c r="Q15" s="28">
        <v>681</v>
      </c>
      <c r="R15" s="28">
        <v>465</v>
      </c>
      <c r="S15" s="28">
        <v>407</v>
      </c>
      <c r="T15" s="28">
        <v>526</v>
      </c>
      <c r="U15" s="28" t="s">
        <v>9</v>
      </c>
      <c r="V15" s="28">
        <v>453</v>
      </c>
      <c r="W15" s="28">
        <v>376</v>
      </c>
      <c r="X15" s="28">
        <v>546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5">
        <f t="shared" si="0"/>
        <v>6694</v>
      </c>
    </row>
    <row r="16" spans="3:36">
      <c r="C16" s="87">
        <v>7</v>
      </c>
      <c r="D16" s="90" t="s">
        <v>16</v>
      </c>
      <c r="E16" s="91">
        <v>1000</v>
      </c>
      <c r="F16" s="28" t="s">
        <v>9</v>
      </c>
      <c r="G16" s="28" t="s">
        <v>9</v>
      </c>
      <c r="H16" s="28">
        <v>636</v>
      </c>
      <c r="I16" s="28">
        <v>495</v>
      </c>
      <c r="J16" s="28">
        <v>539</v>
      </c>
      <c r="K16" s="28">
        <v>306</v>
      </c>
      <c r="L16" s="28">
        <v>468</v>
      </c>
      <c r="M16" s="28">
        <v>638</v>
      </c>
      <c r="N16" s="28" t="s">
        <v>9</v>
      </c>
      <c r="O16" s="28">
        <v>338</v>
      </c>
      <c r="P16" s="28">
        <v>283</v>
      </c>
      <c r="Q16" s="28">
        <v>457</v>
      </c>
      <c r="R16" s="28">
        <v>400</v>
      </c>
      <c r="S16" s="28">
        <v>231</v>
      </c>
      <c r="T16" s="28">
        <v>532</v>
      </c>
      <c r="U16" s="28" t="s">
        <v>9</v>
      </c>
      <c r="V16" s="28">
        <v>449</v>
      </c>
      <c r="W16" s="28">
        <v>439</v>
      </c>
      <c r="X16" s="28">
        <v>497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5">
        <f t="shared" si="0"/>
        <v>6708</v>
      </c>
    </row>
    <row r="17" spans="3:36">
      <c r="C17" s="87">
        <v>8</v>
      </c>
      <c r="D17" s="90" t="s">
        <v>17</v>
      </c>
      <c r="E17" s="91">
        <v>1000</v>
      </c>
      <c r="F17" s="28">
        <v>15</v>
      </c>
      <c r="G17" s="28">
        <v>1</v>
      </c>
      <c r="H17" s="28">
        <v>572</v>
      </c>
      <c r="I17" s="28">
        <v>181</v>
      </c>
      <c r="J17" s="28">
        <v>88</v>
      </c>
      <c r="K17" s="28">
        <v>175</v>
      </c>
      <c r="L17" s="28">
        <v>466</v>
      </c>
      <c r="M17" s="28">
        <v>272</v>
      </c>
      <c r="N17" s="28">
        <v>4</v>
      </c>
      <c r="O17" s="28">
        <v>354</v>
      </c>
      <c r="P17" s="28">
        <v>190</v>
      </c>
      <c r="Q17" s="28">
        <v>379</v>
      </c>
      <c r="R17" s="28">
        <v>231</v>
      </c>
      <c r="S17" s="28">
        <v>250</v>
      </c>
      <c r="T17" s="28">
        <v>278</v>
      </c>
      <c r="U17" s="28">
        <v>6</v>
      </c>
      <c r="V17" s="28">
        <v>200</v>
      </c>
      <c r="W17" s="28">
        <v>413</v>
      </c>
      <c r="X17" s="28">
        <v>447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5">
        <f t="shared" si="0"/>
        <v>4522</v>
      </c>
    </row>
    <row r="18" spans="3:36">
      <c r="C18" s="87">
        <v>9</v>
      </c>
      <c r="D18" s="90" t="s">
        <v>18</v>
      </c>
      <c r="E18" s="91">
        <v>1000</v>
      </c>
      <c r="F18" s="28">
        <v>3</v>
      </c>
      <c r="G18" s="28" t="s">
        <v>9</v>
      </c>
      <c r="H18" s="28">
        <v>721</v>
      </c>
      <c r="I18" s="28">
        <v>336</v>
      </c>
      <c r="J18" s="28">
        <v>146</v>
      </c>
      <c r="K18" s="28">
        <v>203</v>
      </c>
      <c r="L18" s="28">
        <v>380</v>
      </c>
      <c r="M18" s="28">
        <v>777</v>
      </c>
      <c r="N18" s="28">
        <v>1</v>
      </c>
      <c r="O18" s="28">
        <v>471</v>
      </c>
      <c r="P18" s="28">
        <v>366</v>
      </c>
      <c r="Q18" s="28">
        <v>417</v>
      </c>
      <c r="R18" s="28">
        <v>449</v>
      </c>
      <c r="S18" s="28">
        <v>486</v>
      </c>
      <c r="T18" s="28">
        <v>310</v>
      </c>
      <c r="U18" s="28" t="s">
        <v>9</v>
      </c>
      <c r="V18" s="28">
        <v>231</v>
      </c>
      <c r="W18" s="28">
        <v>683</v>
      </c>
      <c r="X18" s="28">
        <v>518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5">
        <f t="shared" si="0"/>
        <v>6498</v>
      </c>
    </row>
    <row r="19" spans="3:36">
      <c r="C19" s="87">
        <v>10</v>
      </c>
      <c r="D19" s="90" t="s">
        <v>19</v>
      </c>
      <c r="E19" s="91">
        <v>1000</v>
      </c>
      <c r="F19" s="28" t="s">
        <v>9</v>
      </c>
      <c r="G19" s="28" t="s">
        <v>9</v>
      </c>
      <c r="H19" s="28" t="s">
        <v>9</v>
      </c>
      <c r="I19" s="28" t="s">
        <v>9</v>
      </c>
      <c r="J19" s="28" t="s">
        <v>9</v>
      </c>
      <c r="K19" s="28">
        <v>4</v>
      </c>
      <c r="L19" s="28" t="s">
        <v>9</v>
      </c>
      <c r="M19" s="28" t="s">
        <v>9</v>
      </c>
      <c r="N19" s="28" t="s">
        <v>9</v>
      </c>
      <c r="O19" s="28" t="s">
        <v>9</v>
      </c>
      <c r="P19" s="28" t="s">
        <v>9</v>
      </c>
      <c r="Q19" s="28" t="s">
        <v>9</v>
      </c>
      <c r="R19" s="28" t="s">
        <v>9</v>
      </c>
      <c r="S19" s="28" t="s">
        <v>9</v>
      </c>
      <c r="T19" s="28" t="s">
        <v>9</v>
      </c>
      <c r="U19" s="28" t="s">
        <v>9</v>
      </c>
      <c r="V19" s="28" t="s">
        <v>9</v>
      </c>
      <c r="W19" s="28" t="s">
        <v>9</v>
      </c>
      <c r="X19" s="28" t="s">
        <v>9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5">
        <f t="shared" si="0"/>
        <v>4</v>
      </c>
    </row>
    <row r="20" spans="3:36">
      <c r="C20" s="87">
        <v>11</v>
      </c>
      <c r="D20" s="90" t="s">
        <v>20</v>
      </c>
      <c r="E20" s="91">
        <v>1000</v>
      </c>
      <c r="F20" s="28">
        <v>6</v>
      </c>
      <c r="G20" s="28" t="s">
        <v>9</v>
      </c>
      <c r="H20" s="28">
        <v>488</v>
      </c>
      <c r="I20" s="28">
        <v>295</v>
      </c>
      <c r="J20" s="28">
        <v>380</v>
      </c>
      <c r="K20" s="28">
        <v>142</v>
      </c>
      <c r="L20" s="28">
        <v>363</v>
      </c>
      <c r="M20" s="28">
        <v>342</v>
      </c>
      <c r="N20" s="28">
        <v>1</v>
      </c>
      <c r="O20" s="28">
        <v>567</v>
      </c>
      <c r="P20" s="28">
        <v>472</v>
      </c>
      <c r="Q20" s="28">
        <v>262</v>
      </c>
      <c r="R20" s="28">
        <v>525</v>
      </c>
      <c r="S20" s="28">
        <v>264</v>
      </c>
      <c r="T20" s="28">
        <v>353</v>
      </c>
      <c r="U20" s="28" t="s">
        <v>9</v>
      </c>
      <c r="V20" s="28">
        <v>213</v>
      </c>
      <c r="W20" s="28">
        <v>10</v>
      </c>
      <c r="X20" s="28" t="s">
        <v>9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5">
        <f t="shared" si="0"/>
        <v>4683</v>
      </c>
    </row>
    <row r="21" spans="3:36">
      <c r="C21" s="87">
        <v>13</v>
      </c>
      <c r="D21" s="90" t="s">
        <v>21</v>
      </c>
      <c r="E21" s="91">
        <v>1000</v>
      </c>
      <c r="F21" s="28">
        <v>122</v>
      </c>
      <c r="G21" s="28" t="s">
        <v>9</v>
      </c>
      <c r="H21" s="28">
        <v>540</v>
      </c>
      <c r="I21" s="28">
        <v>518</v>
      </c>
      <c r="J21" s="28">
        <v>542</v>
      </c>
      <c r="K21" s="28">
        <v>417</v>
      </c>
      <c r="L21" s="28">
        <v>379</v>
      </c>
      <c r="M21" s="28">
        <v>485</v>
      </c>
      <c r="N21" s="28">
        <v>4</v>
      </c>
      <c r="O21" s="28">
        <v>489</v>
      </c>
      <c r="P21" s="28">
        <v>293</v>
      </c>
      <c r="Q21" s="28">
        <v>460</v>
      </c>
      <c r="R21" s="28">
        <v>388</v>
      </c>
      <c r="S21" s="28">
        <v>258</v>
      </c>
      <c r="T21" s="28">
        <v>491</v>
      </c>
      <c r="U21" s="28">
        <v>1</v>
      </c>
      <c r="V21" s="28">
        <v>287</v>
      </c>
      <c r="W21" s="28">
        <v>397</v>
      </c>
      <c r="X21" s="28">
        <v>389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5">
        <f t="shared" si="0"/>
        <v>6460</v>
      </c>
    </row>
    <row r="22" spans="3:36">
      <c r="C22" s="87">
        <v>14</v>
      </c>
      <c r="D22" s="90" t="s">
        <v>22</v>
      </c>
      <c r="E22" s="91">
        <v>1000</v>
      </c>
      <c r="F22" s="28" t="s">
        <v>9</v>
      </c>
      <c r="G22" s="28" t="s">
        <v>9</v>
      </c>
      <c r="H22" s="28">
        <v>735</v>
      </c>
      <c r="I22" s="28">
        <v>684</v>
      </c>
      <c r="J22" s="28">
        <v>420</v>
      </c>
      <c r="K22" s="28">
        <v>469</v>
      </c>
      <c r="L22" s="28">
        <v>686</v>
      </c>
      <c r="M22" s="28">
        <v>651</v>
      </c>
      <c r="N22" s="28" t="s">
        <v>9</v>
      </c>
      <c r="O22" s="28">
        <v>700</v>
      </c>
      <c r="P22" s="28">
        <v>434</v>
      </c>
      <c r="Q22" s="28">
        <v>800</v>
      </c>
      <c r="R22" s="28">
        <v>716</v>
      </c>
      <c r="S22" s="28">
        <v>390</v>
      </c>
      <c r="T22" s="28">
        <v>630</v>
      </c>
      <c r="U22" s="28">
        <v>3</v>
      </c>
      <c r="V22" s="28">
        <v>294</v>
      </c>
      <c r="W22" s="28">
        <v>674</v>
      </c>
      <c r="X22" s="28">
        <v>428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5">
        <f t="shared" si="0"/>
        <v>8714</v>
      </c>
    </row>
    <row r="23" spans="3:36">
      <c r="C23" s="87">
        <v>15</v>
      </c>
      <c r="D23" s="90" t="s">
        <v>23</v>
      </c>
      <c r="E23" s="91">
        <v>1000</v>
      </c>
      <c r="F23" s="28">
        <v>205</v>
      </c>
      <c r="G23" s="28" t="s">
        <v>9</v>
      </c>
      <c r="H23" s="28">
        <v>702</v>
      </c>
      <c r="I23" s="28">
        <v>621</v>
      </c>
      <c r="J23" s="28">
        <v>502</v>
      </c>
      <c r="K23" s="28">
        <v>557</v>
      </c>
      <c r="L23" s="28">
        <v>502</v>
      </c>
      <c r="M23" s="28">
        <v>647</v>
      </c>
      <c r="N23" s="28" t="s">
        <v>9</v>
      </c>
      <c r="O23" s="28">
        <v>549</v>
      </c>
      <c r="P23" s="28">
        <v>348</v>
      </c>
      <c r="Q23" s="28">
        <v>572</v>
      </c>
      <c r="R23" s="28">
        <v>376</v>
      </c>
      <c r="S23" s="28">
        <v>422</v>
      </c>
      <c r="T23" s="28">
        <v>610</v>
      </c>
      <c r="U23" s="28" t="s">
        <v>9</v>
      </c>
      <c r="V23" s="28">
        <v>536</v>
      </c>
      <c r="W23" s="28">
        <v>571</v>
      </c>
      <c r="X23" s="28">
        <v>616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5">
        <f t="shared" si="0"/>
        <v>8336</v>
      </c>
    </row>
    <row r="24" spans="3:36">
      <c r="C24" s="87">
        <v>16</v>
      </c>
      <c r="D24" s="90" t="s">
        <v>24</v>
      </c>
      <c r="E24" s="91">
        <v>1000</v>
      </c>
      <c r="F24" s="28">
        <v>235</v>
      </c>
      <c r="G24" s="28">
        <v>43</v>
      </c>
      <c r="H24" s="28">
        <v>595</v>
      </c>
      <c r="I24" s="28">
        <v>551</v>
      </c>
      <c r="J24" s="28">
        <v>836</v>
      </c>
      <c r="K24" s="28">
        <v>639</v>
      </c>
      <c r="L24" s="28">
        <v>760</v>
      </c>
      <c r="M24" s="28">
        <v>816</v>
      </c>
      <c r="N24" s="28">
        <v>253</v>
      </c>
      <c r="O24" s="28">
        <v>551</v>
      </c>
      <c r="P24" s="28">
        <v>187</v>
      </c>
      <c r="Q24" s="28">
        <v>528</v>
      </c>
      <c r="R24" s="28">
        <v>201</v>
      </c>
      <c r="S24" s="28">
        <v>108</v>
      </c>
      <c r="T24" s="28">
        <v>262</v>
      </c>
      <c r="U24" s="28">
        <v>7</v>
      </c>
      <c r="V24" s="28">
        <v>19</v>
      </c>
      <c r="W24" s="28">
        <v>44</v>
      </c>
      <c r="X24" s="28">
        <v>2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5">
        <f t="shared" si="0"/>
        <v>6637</v>
      </c>
    </row>
    <row r="25" spans="3:36">
      <c r="C25" s="87">
        <v>17</v>
      </c>
      <c r="D25" s="90" t="s">
        <v>25</v>
      </c>
      <c r="E25" s="91">
        <v>1000</v>
      </c>
      <c r="F25" s="28" t="s">
        <v>9</v>
      </c>
      <c r="G25" s="28" t="s">
        <v>9</v>
      </c>
      <c r="H25" s="28">
        <v>542</v>
      </c>
      <c r="I25" s="28">
        <v>357</v>
      </c>
      <c r="J25" s="28">
        <v>302</v>
      </c>
      <c r="K25" s="28">
        <v>301</v>
      </c>
      <c r="L25" s="28">
        <v>201</v>
      </c>
      <c r="M25" s="28">
        <v>393</v>
      </c>
      <c r="N25" s="28" t="s">
        <v>9</v>
      </c>
      <c r="O25" s="28">
        <v>291</v>
      </c>
      <c r="P25" s="28">
        <v>285</v>
      </c>
      <c r="Q25" s="28">
        <v>347</v>
      </c>
      <c r="R25" s="28">
        <v>253</v>
      </c>
      <c r="S25" s="28">
        <v>262</v>
      </c>
      <c r="T25" s="28">
        <v>249</v>
      </c>
      <c r="U25" s="28" t="s">
        <v>9</v>
      </c>
      <c r="V25" s="28">
        <v>224</v>
      </c>
      <c r="W25" s="28">
        <v>329</v>
      </c>
      <c r="X25" s="28">
        <v>419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5">
        <f t="shared" si="0"/>
        <v>4755</v>
      </c>
    </row>
    <row r="26" spans="3:36">
      <c r="C26" s="87">
        <v>18</v>
      </c>
      <c r="D26" s="90" t="s">
        <v>26</v>
      </c>
      <c r="E26" s="91">
        <v>1000</v>
      </c>
      <c r="F26" s="28">
        <v>45</v>
      </c>
      <c r="G26" s="28" t="s">
        <v>9</v>
      </c>
      <c r="H26" s="28">
        <v>539</v>
      </c>
      <c r="I26" s="28">
        <v>568</v>
      </c>
      <c r="J26" s="28">
        <v>479</v>
      </c>
      <c r="K26" s="28">
        <v>535</v>
      </c>
      <c r="L26" s="28" t="s">
        <v>9</v>
      </c>
      <c r="M26" s="28">
        <v>581</v>
      </c>
      <c r="N26" s="28" t="s">
        <v>9</v>
      </c>
      <c r="O26" s="28">
        <v>396</v>
      </c>
      <c r="P26" s="28">
        <v>366</v>
      </c>
      <c r="Q26" s="28">
        <v>464</v>
      </c>
      <c r="R26" s="28">
        <v>640</v>
      </c>
      <c r="S26" s="28">
        <v>303</v>
      </c>
      <c r="T26" s="28">
        <v>554</v>
      </c>
      <c r="U26" s="28" t="s">
        <v>9</v>
      </c>
      <c r="V26" s="28">
        <v>435</v>
      </c>
      <c r="W26" s="28">
        <v>523</v>
      </c>
      <c r="X26" s="28">
        <v>535</v>
      </c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5">
        <f t="shared" si="0"/>
        <v>6963</v>
      </c>
    </row>
    <row r="27" spans="3:36">
      <c r="C27" s="108" t="s">
        <v>27</v>
      </c>
      <c r="D27" s="108"/>
      <c r="E27" s="92">
        <f t="shared" ref="E27:AJ27" si="1">SUM(E6:E26)</f>
        <v>20000</v>
      </c>
      <c r="F27" s="92">
        <f t="shared" si="1"/>
        <v>938</v>
      </c>
      <c r="G27" s="92">
        <f t="shared" si="1"/>
        <v>130</v>
      </c>
      <c r="H27" s="92">
        <f t="shared" si="1"/>
        <v>8984</v>
      </c>
      <c r="I27" s="92">
        <f t="shared" si="1"/>
        <v>7610</v>
      </c>
      <c r="J27" s="92">
        <f t="shared" si="1"/>
        <v>7076</v>
      </c>
      <c r="K27" s="92">
        <f t="shared" si="1"/>
        <v>6807</v>
      </c>
      <c r="L27" s="92">
        <f t="shared" si="1"/>
        <v>7330</v>
      </c>
      <c r="M27" s="92">
        <f t="shared" si="1"/>
        <v>9236</v>
      </c>
      <c r="N27" s="92">
        <f t="shared" si="1"/>
        <v>281</v>
      </c>
      <c r="O27" s="92">
        <f t="shared" si="1"/>
        <v>8172</v>
      </c>
      <c r="P27" s="92">
        <f t="shared" si="1"/>
        <v>5509</v>
      </c>
      <c r="Q27" s="92">
        <f t="shared" si="1"/>
        <v>8141</v>
      </c>
      <c r="R27" s="92">
        <f t="shared" si="1"/>
        <v>7006</v>
      </c>
      <c r="S27" s="92">
        <f t="shared" si="1"/>
        <v>5262</v>
      </c>
      <c r="T27" s="92">
        <f t="shared" si="1"/>
        <v>6959</v>
      </c>
      <c r="U27" s="92">
        <f t="shared" si="1"/>
        <v>44</v>
      </c>
      <c r="V27" s="92">
        <f t="shared" si="1"/>
        <v>4764</v>
      </c>
      <c r="W27" s="92">
        <f t="shared" si="1"/>
        <v>6486</v>
      </c>
      <c r="X27" s="92">
        <f t="shared" si="1"/>
        <v>5676</v>
      </c>
      <c r="Y27" s="92">
        <f t="shared" si="1"/>
        <v>0</v>
      </c>
      <c r="Z27" s="92">
        <f t="shared" si="1"/>
        <v>0</v>
      </c>
      <c r="AA27" s="92">
        <f t="shared" si="1"/>
        <v>0</v>
      </c>
      <c r="AB27" s="92">
        <f t="shared" si="1"/>
        <v>0</v>
      </c>
      <c r="AC27" s="92">
        <f t="shared" si="1"/>
        <v>0</v>
      </c>
      <c r="AD27" s="92">
        <f t="shared" si="1"/>
        <v>0</v>
      </c>
      <c r="AE27" s="92">
        <f t="shared" si="1"/>
        <v>0</v>
      </c>
      <c r="AF27" s="92">
        <f t="shared" si="1"/>
        <v>0</v>
      </c>
      <c r="AG27" s="92">
        <f t="shared" si="1"/>
        <v>0</v>
      </c>
      <c r="AH27" s="92">
        <f t="shared" si="1"/>
        <v>0</v>
      </c>
      <c r="AI27" s="92">
        <f t="shared" si="1"/>
        <v>0</v>
      </c>
      <c r="AJ27" s="92">
        <f t="shared" si="1"/>
        <v>106410</v>
      </c>
    </row>
  </sheetData>
  <mergeCells count="7">
    <mergeCell ref="C3:AJ3"/>
    <mergeCell ref="F4:AI4"/>
    <mergeCell ref="C27:D27"/>
    <mergeCell ref="C4:C5"/>
    <mergeCell ref="D4:D5"/>
    <mergeCell ref="E4:E5"/>
    <mergeCell ref="AJ4:AJ5"/>
  </mergeCells>
  <conditionalFormatting sqref="C8:C9">
    <cfRule type="expression" dxfId="434" priority="67">
      <formula>IF(ISBLANK($C$8),"",C8)</formula>
    </cfRule>
  </conditionalFormatting>
  <conditionalFormatting sqref="F6:S26">
    <cfRule type="expression" dxfId="433" priority="29">
      <formula>AND(ISNUMBER(F6),F6&gt;=1000)</formula>
    </cfRule>
    <cfRule type="expression" dxfId="432" priority="30">
      <formula>AND(ISNUMBER(F6),F6&lt;=1000)</formula>
    </cfRule>
  </conditionalFormatting>
  <conditionalFormatting sqref="T6:T8 T10:T26">
    <cfRule type="expression" dxfId="431" priority="11">
      <formula>AND(ISNUMBER(T6),T6&gt;=1000)</formula>
    </cfRule>
    <cfRule type="expression" dxfId="430" priority="12">
      <formula>AND(ISNUMBER(T6),T6&lt;=1000)</formula>
    </cfRule>
  </conditionalFormatting>
  <conditionalFormatting sqref="U6:V26">
    <cfRule type="expression" dxfId="429" priority="9">
      <formula>AND(ISNUMBER(U6),U6&gt;=1000)</formula>
    </cfRule>
    <cfRule type="expression" dxfId="428" priority="10">
      <formula>AND(ISNUMBER(U6),U6&lt;=1000)</formula>
    </cfRule>
  </conditionalFormatting>
  <conditionalFormatting sqref="W10:W26">
    <cfRule type="expression" dxfId="427" priority="3">
      <formula>AND(ISNUMBER(W10),W10&gt;=1000)</formula>
    </cfRule>
    <cfRule type="expression" dxfId="426" priority="4">
      <formula>AND(ISNUMBER(W10),W10&lt;=1000)</formula>
    </cfRule>
  </conditionalFormatting>
  <conditionalFormatting sqref="W6:W8">
    <cfRule type="expression" dxfId="425" priority="5">
      <formula>AND(ISNUMBER(W6),W6&gt;=1000)</formula>
    </cfRule>
    <cfRule type="expression" dxfId="424" priority="6">
      <formula>AND(ISNUMBER(W6),W6&lt;=1000)</formula>
    </cfRule>
  </conditionalFormatting>
  <conditionalFormatting sqref="X6:X26">
    <cfRule type="expression" dxfId="160" priority="1">
      <formula>AND(ISNUMBER(X6),X6&gt;=1000)</formula>
    </cfRule>
    <cfRule type="expression" dxfId="159" priority="2">
      <formula>AND(ISNUMBER(X6),X6&lt;=1000)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3:AS43"/>
  <sheetViews>
    <sheetView showGridLines="0" topLeftCell="A9" zoomScale="78" zoomScaleNormal="78" workbookViewId="0">
      <selection activeCell="B2" sqref="B2:AK44"/>
    </sheetView>
  </sheetViews>
  <sheetFormatPr defaultColWidth="5" defaultRowHeight="15"/>
  <cols>
    <col min="1" max="2" width="5" style="56"/>
    <col min="3" max="3" width="3.85546875" style="56" bestFit="1" customWidth="1"/>
    <col min="4" max="4" width="15.140625" style="56" bestFit="1" customWidth="1"/>
    <col min="5" max="5" width="15.42578125" style="56" bestFit="1" customWidth="1"/>
    <col min="6" max="7" width="3.42578125" style="56" bestFit="1" customWidth="1"/>
    <col min="8" max="13" width="4.5703125" style="56" bestFit="1" customWidth="1"/>
    <col min="14" max="14" width="3.42578125" style="56" bestFit="1" customWidth="1"/>
    <col min="15" max="20" width="4.5703125" style="56" bestFit="1" customWidth="1"/>
    <col min="21" max="21" width="3.42578125" style="56" bestFit="1" customWidth="1"/>
    <col min="22" max="24" width="4.5703125" style="56" bestFit="1" customWidth="1"/>
    <col min="25" max="35" width="3.42578125" style="56" bestFit="1" customWidth="1"/>
    <col min="36" max="36" width="13.7109375" style="56" bestFit="1" customWidth="1"/>
    <col min="37" max="16384" width="5" style="56"/>
  </cols>
  <sheetData>
    <row r="3" spans="3:40" ht="26.25">
      <c r="C3" s="111" t="s">
        <v>0</v>
      </c>
      <c r="D3" s="111"/>
      <c r="E3" s="112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3:40">
      <c r="C4" s="115" t="s">
        <v>1</v>
      </c>
      <c r="D4" s="115" t="s">
        <v>2</v>
      </c>
      <c r="E4" s="115" t="s">
        <v>3</v>
      </c>
      <c r="F4" s="113" t="s">
        <v>4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6" t="s">
        <v>5</v>
      </c>
      <c r="AM4" s="96"/>
      <c r="AN4" s="96"/>
    </row>
    <row r="5" spans="3:40">
      <c r="C5" s="115"/>
      <c r="D5" s="115"/>
      <c r="E5" s="115"/>
      <c r="F5" s="57">
        <v>1</v>
      </c>
      <c r="G5" s="57">
        <v>2</v>
      </c>
      <c r="H5" s="57">
        <v>3</v>
      </c>
      <c r="I5" s="57">
        <v>4</v>
      </c>
      <c r="J5" s="57">
        <v>5</v>
      </c>
      <c r="K5" s="57">
        <v>6</v>
      </c>
      <c r="L5" s="57">
        <v>7</v>
      </c>
      <c r="M5" s="57">
        <v>8</v>
      </c>
      <c r="N5" s="57">
        <v>9</v>
      </c>
      <c r="O5" s="57">
        <v>10</v>
      </c>
      <c r="P5" s="57">
        <v>11</v>
      </c>
      <c r="Q5" s="57">
        <v>12</v>
      </c>
      <c r="R5" s="57">
        <v>13</v>
      </c>
      <c r="S5" s="57">
        <v>14</v>
      </c>
      <c r="T5" s="57">
        <v>15</v>
      </c>
      <c r="U5" s="57">
        <v>16</v>
      </c>
      <c r="V5" s="57">
        <v>17</v>
      </c>
      <c r="W5" s="57">
        <v>18</v>
      </c>
      <c r="X5" s="57">
        <v>19</v>
      </c>
      <c r="Y5" s="57">
        <v>20</v>
      </c>
      <c r="Z5" s="57">
        <v>21</v>
      </c>
      <c r="AA5" s="57">
        <v>22</v>
      </c>
      <c r="AB5" s="57">
        <v>23</v>
      </c>
      <c r="AC5" s="57">
        <v>24</v>
      </c>
      <c r="AD5" s="57">
        <v>25</v>
      </c>
      <c r="AE5" s="57">
        <v>26</v>
      </c>
      <c r="AF5" s="57">
        <v>27</v>
      </c>
      <c r="AG5" s="57">
        <v>28</v>
      </c>
      <c r="AH5" s="57">
        <v>29</v>
      </c>
      <c r="AI5" s="57">
        <v>30</v>
      </c>
      <c r="AJ5" s="116"/>
      <c r="AM5" s="96"/>
      <c r="AN5" s="96"/>
    </row>
    <row r="6" spans="3:40">
      <c r="C6" s="58">
        <v>1</v>
      </c>
      <c r="D6" s="59" t="s">
        <v>28</v>
      </c>
      <c r="E6" s="60">
        <v>50</v>
      </c>
      <c r="F6" s="28">
        <v>2</v>
      </c>
      <c r="G6" s="28" t="s">
        <v>9</v>
      </c>
      <c r="H6" s="28" t="s">
        <v>9</v>
      </c>
      <c r="I6" s="28" t="s">
        <v>9</v>
      </c>
      <c r="J6" s="28" t="s">
        <v>9</v>
      </c>
      <c r="K6" s="28" t="s">
        <v>9</v>
      </c>
      <c r="L6" s="28" t="s">
        <v>9</v>
      </c>
      <c r="M6" s="28">
        <v>2</v>
      </c>
      <c r="N6" s="28" t="s">
        <v>9</v>
      </c>
      <c r="O6" s="28" t="s">
        <v>9</v>
      </c>
      <c r="P6" s="28">
        <v>3</v>
      </c>
      <c r="Q6" s="28" t="s">
        <v>9</v>
      </c>
      <c r="R6" s="28" t="s">
        <v>9</v>
      </c>
      <c r="S6" s="28" t="s">
        <v>9</v>
      </c>
      <c r="T6" s="28" t="s">
        <v>9</v>
      </c>
      <c r="U6" s="28" t="s">
        <v>9</v>
      </c>
      <c r="V6" s="28" t="s">
        <v>9</v>
      </c>
      <c r="W6" s="28" t="s">
        <v>9</v>
      </c>
      <c r="X6" s="28" t="s">
        <v>9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79">
        <f t="shared" ref="AJ6:AJ17" si="0">SUM(F6:AI6)</f>
        <v>7</v>
      </c>
      <c r="AM6" s="96"/>
      <c r="AN6" s="96"/>
    </row>
    <row r="7" spans="3:40">
      <c r="C7" s="58">
        <v>2</v>
      </c>
      <c r="D7" s="59" t="s">
        <v>30</v>
      </c>
      <c r="E7" s="60">
        <v>50</v>
      </c>
      <c r="F7" s="28" t="s">
        <v>9</v>
      </c>
      <c r="G7" s="28" t="s">
        <v>9</v>
      </c>
      <c r="H7" s="28" t="s">
        <v>9</v>
      </c>
      <c r="I7" s="28" t="s">
        <v>9</v>
      </c>
      <c r="J7" s="28" t="s">
        <v>9</v>
      </c>
      <c r="K7" s="28" t="s">
        <v>9</v>
      </c>
      <c r="L7" s="28" t="s">
        <v>9</v>
      </c>
      <c r="M7" s="28" t="s">
        <v>9</v>
      </c>
      <c r="N7" s="28" t="s">
        <v>9</v>
      </c>
      <c r="O7" s="28" t="s">
        <v>9</v>
      </c>
      <c r="P7" s="28" t="s">
        <v>9</v>
      </c>
      <c r="Q7" s="28" t="s">
        <v>9</v>
      </c>
      <c r="R7" s="28" t="s">
        <v>9</v>
      </c>
      <c r="S7" s="28" t="s">
        <v>9</v>
      </c>
      <c r="T7" s="28" t="s">
        <v>9</v>
      </c>
      <c r="U7" s="28" t="s">
        <v>9</v>
      </c>
      <c r="V7" s="28" t="s">
        <v>9</v>
      </c>
      <c r="W7" s="28" t="s">
        <v>9</v>
      </c>
      <c r="X7" s="28" t="s">
        <v>9</v>
      </c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79">
        <f t="shared" si="0"/>
        <v>0</v>
      </c>
      <c r="AM7" s="96"/>
      <c r="AN7" s="96"/>
    </row>
    <row r="8" spans="3:40">
      <c r="C8" s="58">
        <v>3</v>
      </c>
      <c r="D8" s="59" t="s">
        <v>29</v>
      </c>
      <c r="E8" s="60">
        <v>50</v>
      </c>
      <c r="F8" s="28" t="s">
        <v>9</v>
      </c>
      <c r="G8" s="28" t="s">
        <v>9</v>
      </c>
      <c r="H8" s="28">
        <v>60</v>
      </c>
      <c r="I8" s="28" t="s">
        <v>9</v>
      </c>
      <c r="J8" s="28">
        <v>39</v>
      </c>
      <c r="K8" s="28">
        <v>50</v>
      </c>
      <c r="L8" s="28">
        <v>47</v>
      </c>
      <c r="M8" s="28">
        <v>51</v>
      </c>
      <c r="N8" s="28" t="s">
        <v>9</v>
      </c>
      <c r="O8" s="28" t="s">
        <v>9</v>
      </c>
      <c r="P8" s="28">
        <v>48</v>
      </c>
      <c r="Q8" s="28">
        <v>42</v>
      </c>
      <c r="R8" s="28" t="s">
        <v>9</v>
      </c>
      <c r="S8" s="28" t="s">
        <v>9</v>
      </c>
      <c r="T8" s="28">
        <v>13</v>
      </c>
      <c r="U8" s="28" t="s">
        <v>9</v>
      </c>
      <c r="V8" s="28">
        <v>53</v>
      </c>
      <c r="W8" s="28">
        <v>49</v>
      </c>
      <c r="X8" s="28">
        <v>26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79">
        <f t="shared" si="0"/>
        <v>478</v>
      </c>
      <c r="AM8" s="96"/>
      <c r="AN8" s="96"/>
    </row>
    <row r="9" spans="3:40">
      <c r="C9" s="58">
        <v>4</v>
      </c>
      <c r="D9" s="59" t="s">
        <v>32</v>
      </c>
      <c r="E9" s="60">
        <v>50</v>
      </c>
      <c r="F9" s="28" t="s">
        <v>9</v>
      </c>
      <c r="G9" s="28" t="s">
        <v>9</v>
      </c>
      <c r="H9" s="28">
        <v>9</v>
      </c>
      <c r="I9" s="28" t="s">
        <v>9</v>
      </c>
      <c r="J9" s="28">
        <v>71</v>
      </c>
      <c r="K9" s="28">
        <v>59</v>
      </c>
      <c r="L9" s="28">
        <v>41</v>
      </c>
      <c r="M9" s="28">
        <v>22</v>
      </c>
      <c r="N9" s="28" t="s">
        <v>9</v>
      </c>
      <c r="O9" s="28">
        <v>48</v>
      </c>
      <c r="P9" s="28" t="s">
        <v>9</v>
      </c>
      <c r="Q9" s="28">
        <v>59</v>
      </c>
      <c r="R9" s="28">
        <v>21</v>
      </c>
      <c r="S9" s="28">
        <v>51</v>
      </c>
      <c r="T9" s="28">
        <v>9</v>
      </c>
      <c r="U9" s="28" t="s">
        <v>9</v>
      </c>
      <c r="V9" s="28">
        <v>57</v>
      </c>
      <c r="W9" s="28">
        <v>70</v>
      </c>
      <c r="X9" s="28">
        <v>18</v>
      </c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79">
        <f t="shared" si="0"/>
        <v>535</v>
      </c>
      <c r="AM9" s="96"/>
      <c r="AN9" s="96"/>
    </row>
    <row r="10" spans="3:40">
      <c r="C10" s="58">
        <v>5</v>
      </c>
      <c r="D10" s="59" t="s">
        <v>34</v>
      </c>
      <c r="E10" s="60">
        <v>50</v>
      </c>
      <c r="F10" s="28" t="s">
        <v>9</v>
      </c>
      <c r="G10" s="28" t="s">
        <v>9</v>
      </c>
      <c r="H10" s="28" t="s">
        <v>9</v>
      </c>
      <c r="I10" s="28" t="s">
        <v>9</v>
      </c>
      <c r="J10" s="28">
        <v>2</v>
      </c>
      <c r="K10" s="28">
        <v>97</v>
      </c>
      <c r="L10" s="28">
        <v>54</v>
      </c>
      <c r="M10" s="28">
        <v>5</v>
      </c>
      <c r="N10" s="28" t="s">
        <v>9</v>
      </c>
      <c r="O10" s="28">
        <v>69</v>
      </c>
      <c r="P10" s="28">
        <v>15</v>
      </c>
      <c r="Q10" s="28">
        <v>58</v>
      </c>
      <c r="R10" s="28">
        <v>38</v>
      </c>
      <c r="S10" s="28">
        <v>21</v>
      </c>
      <c r="T10" s="28">
        <v>42</v>
      </c>
      <c r="U10" s="28" t="s">
        <v>9</v>
      </c>
      <c r="V10" s="28">
        <v>71</v>
      </c>
      <c r="W10" s="28">
        <v>8</v>
      </c>
      <c r="X10" s="28">
        <v>35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79">
        <f t="shared" si="0"/>
        <v>515</v>
      </c>
      <c r="AM10" s="96"/>
      <c r="AN10" s="96"/>
    </row>
    <row r="11" spans="3:40">
      <c r="C11" s="58">
        <v>6</v>
      </c>
      <c r="D11" s="59" t="s">
        <v>39</v>
      </c>
      <c r="E11" s="60">
        <v>50</v>
      </c>
      <c r="F11" s="28">
        <v>10</v>
      </c>
      <c r="G11" s="28" t="s">
        <v>9</v>
      </c>
      <c r="H11" s="28">
        <v>66</v>
      </c>
      <c r="I11" s="28" t="s">
        <v>9</v>
      </c>
      <c r="J11" s="28">
        <v>67</v>
      </c>
      <c r="K11" s="28">
        <v>64</v>
      </c>
      <c r="L11" s="28">
        <v>62</v>
      </c>
      <c r="M11" s="28">
        <v>62</v>
      </c>
      <c r="N11" s="28" t="s">
        <v>9</v>
      </c>
      <c r="O11" s="28">
        <v>53</v>
      </c>
      <c r="P11" s="28">
        <v>50</v>
      </c>
      <c r="Q11" s="28">
        <v>21</v>
      </c>
      <c r="R11" s="28" t="s">
        <v>9</v>
      </c>
      <c r="S11" s="28" t="s">
        <v>9</v>
      </c>
      <c r="T11" s="28">
        <v>75</v>
      </c>
      <c r="U11" s="28" t="s">
        <v>9</v>
      </c>
      <c r="V11" s="28">
        <v>71</v>
      </c>
      <c r="W11" s="28">
        <v>88</v>
      </c>
      <c r="X11" s="28">
        <v>1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79">
        <f t="shared" si="0"/>
        <v>690</v>
      </c>
      <c r="AM11" s="96"/>
      <c r="AN11" s="96"/>
    </row>
    <row r="12" spans="3:40">
      <c r="C12" s="58">
        <v>7</v>
      </c>
      <c r="D12" s="59" t="s">
        <v>42</v>
      </c>
      <c r="E12" s="60">
        <v>50</v>
      </c>
      <c r="F12" s="28" t="s">
        <v>9</v>
      </c>
      <c r="G12" s="28" t="s">
        <v>9</v>
      </c>
      <c r="H12" s="28" t="s">
        <v>9</v>
      </c>
      <c r="I12" s="28" t="s">
        <v>9</v>
      </c>
      <c r="J12" s="28" t="s">
        <v>9</v>
      </c>
      <c r="K12" s="28">
        <v>129</v>
      </c>
      <c r="L12" s="28">
        <v>80</v>
      </c>
      <c r="M12" s="28">
        <v>60</v>
      </c>
      <c r="N12" s="28" t="s">
        <v>9</v>
      </c>
      <c r="O12" s="28">
        <v>91</v>
      </c>
      <c r="P12" s="28">
        <v>98</v>
      </c>
      <c r="Q12" s="28">
        <v>59</v>
      </c>
      <c r="R12" s="28">
        <v>13</v>
      </c>
      <c r="S12" s="28" t="s">
        <v>9</v>
      </c>
      <c r="T12" s="28">
        <v>56</v>
      </c>
      <c r="U12" s="28" t="s">
        <v>9</v>
      </c>
      <c r="V12" s="28" t="s">
        <v>9</v>
      </c>
      <c r="W12" s="28">
        <v>81</v>
      </c>
      <c r="X12" s="28" t="s">
        <v>9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79">
        <f t="shared" si="0"/>
        <v>667</v>
      </c>
      <c r="AM12" s="96"/>
      <c r="AN12" s="96"/>
    </row>
    <row r="13" spans="3:40">
      <c r="C13" s="58">
        <v>8</v>
      </c>
      <c r="D13" s="59" t="s">
        <v>36</v>
      </c>
      <c r="E13" s="60">
        <v>50</v>
      </c>
      <c r="F13" s="28" t="s">
        <v>9</v>
      </c>
      <c r="G13" s="28" t="s">
        <v>9</v>
      </c>
      <c r="H13" s="28" t="s">
        <v>9</v>
      </c>
      <c r="I13" s="28">
        <v>5</v>
      </c>
      <c r="J13" s="28">
        <v>6</v>
      </c>
      <c r="K13" s="28">
        <v>36</v>
      </c>
      <c r="L13" s="28">
        <v>84</v>
      </c>
      <c r="M13" s="28">
        <v>58</v>
      </c>
      <c r="N13" s="28">
        <v>2</v>
      </c>
      <c r="O13" s="28">
        <v>74</v>
      </c>
      <c r="P13" s="28">
        <v>55</v>
      </c>
      <c r="Q13" s="28">
        <v>58</v>
      </c>
      <c r="R13" s="28">
        <v>64</v>
      </c>
      <c r="S13" s="28">
        <v>11</v>
      </c>
      <c r="T13" s="28">
        <v>9</v>
      </c>
      <c r="U13" s="28" t="s">
        <v>9</v>
      </c>
      <c r="V13" s="28">
        <v>53</v>
      </c>
      <c r="W13" s="28">
        <v>98</v>
      </c>
      <c r="X13" s="28">
        <v>3</v>
      </c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79">
        <f t="shared" si="0"/>
        <v>616</v>
      </c>
      <c r="AM13" s="96"/>
      <c r="AN13" s="96"/>
    </row>
    <row r="14" spans="3:40">
      <c r="C14" s="58">
        <v>9</v>
      </c>
      <c r="D14" s="59" t="s">
        <v>38</v>
      </c>
      <c r="E14" s="60">
        <v>50</v>
      </c>
      <c r="F14" s="28">
        <v>1</v>
      </c>
      <c r="G14" s="28">
        <v>2</v>
      </c>
      <c r="H14" s="28">
        <v>83</v>
      </c>
      <c r="I14" s="28">
        <v>14</v>
      </c>
      <c r="J14" s="28">
        <v>41</v>
      </c>
      <c r="K14" s="28">
        <v>55</v>
      </c>
      <c r="L14" s="28">
        <v>57</v>
      </c>
      <c r="M14" s="28">
        <v>64</v>
      </c>
      <c r="N14" s="28">
        <v>2</v>
      </c>
      <c r="O14" s="28">
        <v>53</v>
      </c>
      <c r="P14" s="28">
        <v>63</v>
      </c>
      <c r="Q14" s="28">
        <v>52</v>
      </c>
      <c r="R14" s="28">
        <v>27</v>
      </c>
      <c r="S14" s="28">
        <v>49</v>
      </c>
      <c r="T14" s="28">
        <v>20</v>
      </c>
      <c r="U14" s="28" t="s">
        <v>9</v>
      </c>
      <c r="V14" s="28">
        <v>42</v>
      </c>
      <c r="W14" s="28">
        <v>49</v>
      </c>
      <c r="X14" s="28">
        <v>1</v>
      </c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79">
        <f t="shared" si="0"/>
        <v>675</v>
      </c>
      <c r="AM14" s="96"/>
      <c r="AN14" s="96"/>
    </row>
    <row r="15" spans="3:40">
      <c r="C15" s="58">
        <v>10</v>
      </c>
      <c r="D15" s="59" t="s">
        <v>31</v>
      </c>
      <c r="E15" s="60">
        <v>50</v>
      </c>
      <c r="F15" s="28" t="s">
        <v>9</v>
      </c>
      <c r="G15" s="28" t="s">
        <v>9</v>
      </c>
      <c r="H15" s="28">
        <v>2</v>
      </c>
      <c r="I15" s="28">
        <v>7</v>
      </c>
      <c r="J15" s="28">
        <v>39</v>
      </c>
      <c r="K15" s="28">
        <v>73</v>
      </c>
      <c r="L15" s="28">
        <v>73</v>
      </c>
      <c r="M15" s="28">
        <v>20</v>
      </c>
      <c r="N15" s="28" t="s">
        <v>9</v>
      </c>
      <c r="O15" s="28">
        <v>70</v>
      </c>
      <c r="P15" s="28">
        <v>15</v>
      </c>
      <c r="Q15" s="28">
        <v>74</v>
      </c>
      <c r="R15" s="28" t="s">
        <v>9</v>
      </c>
      <c r="S15" s="28" t="s">
        <v>9</v>
      </c>
      <c r="T15" s="28" t="s">
        <v>9</v>
      </c>
      <c r="U15" s="28" t="s">
        <v>9</v>
      </c>
      <c r="V15" s="28">
        <v>61</v>
      </c>
      <c r="W15" s="28">
        <v>60</v>
      </c>
      <c r="X15" s="28">
        <v>41</v>
      </c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79">
        <f t="shared" si="0"/>
        <v>535</v>
      </c>
      <c r="AM15" s="96"/>
      <c r="AN15" s="96"/>
    </row>
    <row r="16" spans="3:40">
      <c r="C16" s="58">
        <v>11</v>
      </c>
      <c r="D16" s="59" t="s">
        <v>33</v>
      </c>
      <c r="E16" s="60">
        <v>50</v>
      </c>
      <c r="F16" s="28"/>
      <c r="G16" s="28"/>
      <c r="H16" s="28"/>
      <c r="I16" s="28">
        <v>4</v>
      </c>
      <c r="J16" s="28">
        <v>37</v>
      </c>
      <c r="K16" s="28">
        <v>51</v>
      </c>
      <c r="L16" s="28">
        <v>4</v>
      </c>
      <c r="M16" s="28">
        <v>21</v>
      </c>
      <c r="N16" s="28" t="s">
        <v>9</v>
      </c>
      <c r="O16" s="28">
        <v>18</v>
      </c>
      <c r="P16" s="28">
        <v>25</v>
      </c>
      <c r="Q16" s="28">
        <v>10</v>
      </c>
      <c r="R16" s="28">
        <v>7</v>
      </c>
      <c r="S16" s="28">
        <v>10</v>
      </c>
      <c r="T16" s="28" t="s">
        <v>9</v>
      </c>
      <c r="U16" s="28">
        <v>41</v>
      </c>
      <c r="V16" s="28" t="s">
        <v>9</v>
      </c>
      <c r="W16" s="28">
        <v>16</v>
      </c>
      <c r="X16" s="28" t="s">
        <v>9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79">
        <f t="shared" si="0"/>
        <v>244</v>
      </c>
      <c r="AM16" s="96"/>
      <c r="AN16" s="96"/>
    </row>
    <row r="17" spans="3:45">
      <c r="C17" s="61">
        <v>12</v>
      </c>
      <c r="D17" s="62" t="s">
        <v>48</v>
      </c>
      <c r="E17" s="63">
        <v>50</v>
      </c>
      <c r="F17" s="28" t="s">
        <v>9</v>
      </c>
      <c r="G17" s="28" t="s">
        <v>9</v>
      </c>
      <c r="H17" s="28">
        <v>7</v>
      </c>
      <c r="I17" s="28">
        <v>42</v>
      </c>
      <c r="J17" s="28">
        <v>23</v>
      </c>
      <c r="K17" s="28" t="s">
        <v>9</v>
      </c>
      <c r="L17" s="28">
        <v>28</v>
      </c>
      <c r="M17" s="28" t="s">
        <v>9</v>
      </c>
      <c r="N17" s="28" t="s">
        <v>9</v>
      </c>
      <c r="O17" s="28">
        <v>36</v>
      </c>
      <c r="P17" s="28">
        <v>4</v>
      </c>
      <c r="Q17" s="28">
        <v>8</v>
      </c>
      <c r="R17" s="28" t="s">
        <v>9</v>
      </c>
      <c r="S17" s="28">
        <v>8</v>
      </c>
      <c r="T17" s="28" t="s">
        <v>9</v>
      </c>
      <c r="U17" s="28">
        <v>4</v>
      </c>
      <c r="V17" s="28">
        <v>25</v>
      </c>
      <c r="W17" s="28">
        <v>5</v>
      </c>
      <c r="X17" s="28">
        <v>5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79">
        <f t="shared" si="0"/>
        <v>195</v>
      </c>
      <c r="AN17" s="96"/>
      <c r="AO17" s="96"/>
      <c r="AP17" s="96"/>
      <c r="AQ17" s="96"/>
      <c r="AR17" s="96"/>
      <c r="AS17" s="96"/>
    </row>
    <row r="18" spans="3:45">
      <c r="C18" s="58"/>
      <c r="D18" s="64"/>
      <c r="E18" s="65"/>
      <c r="F18" s="33"/>
      <c r="G18" s="33"/>
      <c r="H18" s="33"/>
      <c r="I18" s="33" t="s">
        <v>9</v>
      </c>
      <c r="J18" s="33" t="s">
        <v>9</v>
      </c>
      <c r="K18" s="33" t="s">
        <v>9</v>
      </c>
      <c r="L18" s="33" t="s">
        <v>9</v>
      </c>
      <c r="M18" s="33" t="s">
        <v>9</v>
      </c>
      <c r="N18" s="33" t="s">
        <v>9</v>
      </c>
      <c r="O18" s="33" t="s">
        <v>9</v>
      </c>
      <c r="P18" s="33" t="s">
        <v>9</v>
      </c>
      <c r="Q18" s="33" t="s">
        <v>9</v>
      </c>
      <c r="R18" s="33" t="s">
        <v>9</v>
      </c>
      <c r="S18" s="33" t="s">
        <v>9</v>
      </c>
      <c r="T18" s="49" t="s">
        <v>9</v>
      </c>
      <c r="U18" s="33" t="s">
        <v>9</v>
      </c>
      <c r="V18" s="33" t="s">
        <v>9</v>
      </c>
      <c r="W18" s="33" t="s">
        <v>9</v>
      </c>
      <c r="X18" s="33" t="s">
        <v>9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79"/>
    </row>
    <row r="19" spans="3:45">
      <c r="C19" s="58">
        <v>1</v>
      </c>
      <c r="D19" s="66" t="s">
        <v>49</v>
      </c>
      <c r="E19" s="67">
        <v>50</v>
      </c>
      <c r="F19" s="28">
        <v>29</v>
      </c>
      <c r="G19" s="28" t="s">
        <v>9</v>
      </c>
      <c r="H19" s="28">
        <v>77</v>
      </c>
      <c r="I19" s="28">
        <v>4</v>
      </c>
      <c r="J19" s="28">
        <v>117</v>
      </c>
      <c r="K19" s="28">
        <v>83</v>
      </c>
      <c r="L19" s="28">
        <v>51</v>
      </c>
      <c r="M19" s="28">
        <v>75</v>
      </c>
      <c r="N19" s="28" t="s">
        <v>9</v>
      </c>
      <c r="O19" s="28">
        <v>55</v>
      </c>
      <c r="P19" s="28">
        <v>49</v>
      </c>
      <c r="Q19" s="28">
        <v>160</v>
      </c>
      <c r="R19" s="28">
        <v>89</v>
      </c>
      <c r="S19" s="28">
        <v>117</v>
      </c>
      <c r="T19" s="28">
        <v>83</v>
      </c>
      <c r="U19" s="28" t="s">
        <v>9</v>
      </c>
      <c r="V19" s="28">
        <v>41</v>
      </c>
      <c r="W19" s="28">
        <v>123</v>
      </c>
      <c r="X19" s="28">
        <v>76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79">
        <f t="shared" ref="AJ19:AJ25" si="1">SUM(F19:AI19)</f>
        <v>1229</v>
      </c>
    </row>
    <row r="20" spans="3:45">
      <c r="C20" s="58">
        <v>2</v>
      </c>
      <c r="D20" s="66" t="s">
        <v>41</v>
      </c>
      <c r="E20" s="67">
        <v>50</v>
      </c>
      <c r="F20" s="28">
        <v>2</v>
      </c>
      <c r="G20" s="28" t="s">
        <v>9</v>
      </c>
      <c r="H20" s="28" t="s">
        <v>9</v>
      </c>
      <c r="I20" s="28" t="s">
        <v>9</v>
      </c>
      <c r="J20" s="28">
        <v>4</v>
      </c>
      <c r="K20" s="28">
        <v>22</v>
      </c>
      <c r="L20" s="28">
        <v>1</v>
      </c>
      <c r="M20" s="28">
        <v>11</v>
      </c>
      <c r="N20" s="28" t="s">
        <v>9</v>
      </c>
      <c r="O20" s="28">
        <v>9</v>
      </c>
      <c r="P20" s="28">
        <v>25</v>
      </c>
      <c r="Q20" s="28">
        <v>17</v>
      </c>
      <c r="R20" s="28" t="s">
        <v>9</v>
      </c>
      <c r="S20" s="28">
        <v>1</v>
      </c>
      <c r="T20" s="28">
        <v>1</v>
      </c>
      <c r="U20" s="28" t="s">
        <v>9</v>
      </c>
      <c r="V20" s="28">
        <v>35</v>
      </c>
      <c r="W20" s="28">
        <v>28</v>
      </c>
      <c r="X20" s="28">
        <v>17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79">
        <f t="shared" si="1"/>
        <v>173</v>
      </c>
    </row>
    <row r="21" spans="3:45">
      <c r="C21" s="58">
        <v>3</v>
      </c>
      <c r="D21" s="66" t="s">
        <v>44</v>
      </c>
      <c r="E21" s="67">
        <v>50</v>
      </c>
      <c r="F21" s="28" t="s">
        <v>9</v>
      </c>
      <c r="G21" s="28">
        <v>1</v>
      </c>
      <c r="H21" s="28">
        <v>21</v>
      </c>
      <c r="I21" s="28" t="s">
        <v>9</v>
      </c>
      <c r="J21" s="28">
        <v>33</v>
      </c>
      <c r="K21" s="28">
        <v>41</v>
      </c>
      <c r="L21" s="28">
        <v>61</v>
      </c>
      <c r="M21" s="28">
        <v>73</v>
      </c>
      <c r="N21" s="28">
        <v>5</v>
      </c>
      <c r="O21" s="28">
        <v>1</v>
      </c>
      <c r="P21" s="28">
        <v>7</v>
      </c>
      <c r="Q21" s="28">
        <v>72</v>
      </c>
      <c r="R21" s="28">
        <v>16</v>
      </c>
      <c r="S21" s="28">
        <v>4</v>
      </c>
      <c r="T21" s="28">
        <v>1</v>
      </c>
      <c r="U21" s="28" t="s">
        <v>9</v>
      </c>
      <c r="V21" s="28">
        <v>61</v>
      </c>
      <c r="W21" s="28">
        <v>51</v>
      </c>
      <c r="X21" s="28" t="s">
        <v>9</v>
      </c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79">
        <f t="shared" si="1"/>
        <v>448</v>
      </c>
    </row>
    <row r="22" spans="3:45">
      <c r="C22" s="58">
        <v>4</v>
      </c>
      <c r="D22" s="66" t="s">
        <v>35</v>
      </c>
      <c r="E22" s="67">
        <v>50</v>
      </c>
      <c r="F22" s="28" t="s">
        <v>9</v>
      </c>
      <c r="G22" s="28" t="s">
        <v>9</v>
      </c>
      <c r="H22" s="28">
        <v>1</v>
      </c>
      <c r="I22" s="28" t="s">
        <v>9</v>
      </c>
      <c r="J22" s="28" t="s">
        <v>9</v>
      </c>
      <c r="K22" s="28" t="s">
        <v>9</v>
      </c>
      <c r="L22" s="28">
        <v>84</v>
      </c>
      <c r="M22" s="28">
        <v>2</v>
      </c>
      <c r="N22" s="28" t="s">
        <v>9</v>
      </c>
      <c r="O22" s="28">
        <v>21</v>
      </c>
      <c r="P22" s="28">
        <v>3</v>
      </c>
      <c r="Q22" s="28" t="s">
        <v>9</v>
      </c>
      <c r="R22" s="28" t="s">
        <v>9</v>
      </c>
      <c r="S22" s="28" t="s">
        <v>9</v>
      </c>
      <c r="T22" s="28" t="s">
        <v>9</v>
      </c>
      <c r="U22" s="28" t="s">
        <v>9</v>
      </c>
      <c r="V22" s="28">
        <v>9</v>
      </c>
      <c r="W22" s="28">
        <v>52</v>
      </c>
      <c r="X22" s="28" t="s">
        <v>9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79">
        <f t="shared" si="1"/>
        <v>172</v>
      </c>
    </row>
    <row r="23" spans="3:45">
      <c r="C23" s="58">
        <v>5</v>
      </c>
      <c r="D23" s="68" t="s">
        <v>50</v>
      </c>
      <c r="E23" s="69">
        <v>50</v>
      </c>
      <c r="F23" s="28" t="s">
        <v>9</v>
      </c>
      <c r="G23" s="28" t="s">
        <v>9</v>
      </c>
      <c r="H23" s="28" t="s">
        <v>9</v>
      </c>
      <c r="I23" s="28" t="s">
        <v>9</v>
      </c>
      <c r="J23" s="28" t="s">
        <v>9</v>
      </c>
      <c r="K23" s="28" t="s">
        <v>9</v>
      </c>
      <c r="L23" s="28" t="s">
        <v>9</v>
      </c>
      <c r="M23" s="28" t="s">
        <v>9</v>
      </c>
      <c r="N23" s="28" t="s">
        <v>9</v>
      </c>
      <c r="O23" s="28" t="s">
        <v>9</v>
      </c>
      <c r="P23" s="28" t="s">
        <v>9</v>
      </c>
      <c r="Q23" s="28" t="s">
        <v>9</v>
      </c>
      <c r="R23" s="28" t="s">
        <v>9</v>
      </c>
      <c r="S23" s="28" t="s">
        <v>9</v>
      </c>
      <c r="T23" s="28">
        <v>1</v>
      </c>
      <c r="U23" s="28" t="s">
        <v>9</v>
      </c>
      <c r="V23" s="28" t="s">
        <v>9</v>
      </c>
      <c r="W23" s="28" t="s">
        <v>9</v>
      </c>
      <c r="X23" s="28" t="s">
        <v>9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79">
        <f t="shared" si="1"/>
        <v>1</v>
      </c>
    </row>
    <row r="24" spans="3:45">
      <c r="C24" s="58">
        <v>2</v>
      </c>
      <c r="D24" s="66" t="s">
        <v>46</v>
      </c>
      <c r="E24" s="67">
        <v>50</v>
      </c>
      <c r="F24" s="28" t="s">
        <v>9</v>
      </c>
      <c r="G24" s="28" t="s">
        <v>9</v>
      </c>
      <c r="H24" s="28">
        <v>3</v>
      </c>
      <c r="I24" s="28" t="s">
        <v>9</v>
      </c>
      <c r="J24" s="28">
        <v>1</v>
      </c>
      <c r="K24" s="28">
        <v>7</v>
      </c>
      <c r="L24" s="28">
        <v>3</v>
      </c>
      <c r="M24" s="28" t="s">
        <v>9</v>
      </c>
      <c r="N24" s="28" t="s">
        <v>9</v>
      </c>
      <c r="O24" s="28">
        <v>52</v>
      </c>
      <c r="P24" s="28">
        <v>2</v>
      </c>
      <c r="Q24" s="28">
        <v>59</v>
      </c>
      <c r="R24" s="28">
        <v>7</v>
      </c>
      <c r="S24" s="28">
        <v>59</v>
      </c>
      <c r="T24" s="28">
        <v>1</v>
      </c>
      <c r="U24" s="28" t="s">
        <v>9</v>
      </c>
      <c r="V24" s="28">
        <v>19</v>
      </c>
      <c r="W24" s="28">
        <v>93</v>
      </c>
      <c r="X24" s="28">
        <v>3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79">
        <f t="shared" si="1"/>
        <v>309</v>
      </c>
    </row>
    <row r="25" spans="3:45">
      <c r="C25" s="70"/>
      <c r="D25" s="70"/>
      <c r="E25" s="61"/>
      <c r="F25" s="33" t="s">
        <v>9</v>
      </c>
      <c r="G25" s="33" t="s">
        <v>9</v>
      </c>
      <c r="H25" s="33" t="s">
        <v>9</v>
      </c>
      <c r="I25" s="33" t="s">
        <v>9</v>
      </c>
      <c r="J25" s="33" t="s">
        <v>9</v>
      </c>
      <c r="K25" s="33" t="s">
        <v>9</v>
      </c>
      <c r="L25" s="33" t="s">
        <v>9</v>
      </c>
      <c r="M25" s="33" t="s">
        <v>9</v>
      </c>
      <c r="N25" s="33" t="s">
        <v>9</v>
      </c>
      <c r="O25" s="33" t="s">
        <v>9</v>
      </c>
      <c r="P25" s="33" t="s">
        <v>9</v>
      </c>
      <c r="Q25" s="33" t="s">
        <v>9</v>
      </c>
      <c r="R25" s="33" t="s">
        <v>9</v>
      </c>
      <c r="S25" s="33" t="s">
        <v>9</v>
      </c>
      <c r="T25" s="49" t="s">
        <v>9</v>
      </c>
      <c r="U25" s="33" t="s">
        <v>9</v>
      </c>
      <c r="V25" s="33" t="s">
        <v>9</v>
      </c>
      <c r="W25" s="33" t="s">
        <v>9</v>
      </c>
      <c r="X25" s="33" t="s">
        <v>9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79">
        <f t="shared" si="1"/>
        <v>0</v>
      </c>
    </row>
    <row r="26" spans="3:45">
      <c r="C26" s="58">
        <v>2</v>
      </c>
      <c r="D26" s="71" t="s">
        <v>37</v>
      </c>
      <c r="E26" s="72">
        <v>15</v>
      </c>
      <c r="F26" s="28" t="s">
        <v>9</v>
      </c>
      <c r="G26" s="28" t="s">
        <v>9</v>
      </c>
      <c r="H26" s="28" t="s">
        <v>9</v>
      </c>
      <c r="I26" s="28">
        <v>1</v>
      </c>
      <c r="J26" s="28" t="s">
        <v>9</v>
      </c>
      <c r="K26" s="28" t="s">
        <v>9</v>
      </c>
      <c r="L26" s="28">
        <v>19</v>
      </c>
      <c r="M26" s="28" t="s">
        <v>9</v>
      </c>
      <c r="N26" s="28">
        <v>4</v>
      </c>
      <c r="O26" s="28">
        <v>2</v>
      </c>
      <c r="P26" s="28" t="s">
        <v>9</v>
      </c>
      <c r="Q26" s="28" t="s">
        <v>9</v>
      </c>
      <c r="R26" s="28" t="s">
        <v>9</v>
      </c>
      <c r="S26" s="28" t="s">
        <v>9</v>
      </c>
      <c r="T26" s="28" t="s">
        <v>9</v>
      </c>
      <c r="U26" s="28" t="s">
        <v>9</v>
      </c>
      <c r="V26" s="28" t="s">
        <v>9</v>
      </c>
      <c r="W26" s="28" t="s">
        <v>9</v>
      </c>
      <c r="X26" s="28" t="s">
        <v>9</v>
      </c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79">
        <f t="shared" ref="AJ26:AJ42" si="2">SUM(F26:AI26)</f>
        <v>26</v>
      </c>
    </row>
    <row r="27" spans="3:45">
      <c r="C27" s="58">
        <v>3</v>
      </c>
      <c r="D27" s="71" t="s">
        <v>40</v>
      </c>
      <c r="E27" s="72">
        <v>15</v>
      </c>
      <c r="F27" s="28" t="s">
        <v>9</v>
      </c>
      <c r="G27" s="28" t="s">
        <v>9</v>
      </c>
      <c r="H27" s="28" t="s">
        <v>9</v>
      </c>
      <c r="I27" s="28">
        <v>16</v>
      </c>
      <c r="J27" s="28" t="s">
        <v>9</v>
      </c>
      <c r="K27" s="28" t="s">
        <v>9</v>
      </c>
      <c r="L27" s="28" t="s">
        <v>9</v>
      </c>
      <c r="M27" s="28" t="s">
        <v>9</v>
      </c>
      <c r="N27" s="28" t="s">
        <v>9</v>
      </c>
      <c r="O27" s="28">
        <v>35</v>
      </c>
      <c r="P27" s="28" t="s">
        <v>9</v>
      </c>
      <c r="Q27" s="28" t="s">
        <v>9</v>
      </c>
      <c r="R27" s="28" t="s">
        <v>9</v>
      </c>
      <c r="S27" s="28" t="s">
        <v>9</v>
      </c>
      <c r="T27" s="28" t="s">
        <v>9</v>
      </c>
      <c r="U27" s="28" t="s">
        <v>9</v>
      </c>
      <c r="V27" s="28" t="s">
        <v>9</v>
      </c>
      <c r="W27" s="28" t="s">
        <v>9</v>
      </c>
      <c r="X27" s="28" t="s">
        <v>9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79">
        <f t="shared" si="2"/>
        <v>51</v>
      </c>
    </row>
    <row r="28" spans="3:45">
      <c r="C28" s="58">
        <v>4</v>
      </c>
      <c r="D28" s="71" t="s">
        <v>43</v>
      </c>
      <c r="E28" s="72">
        <v>15</v>
      </c>
      <c r="F28" s="28" t="s">
        <v>9</v>
      </c>
      <c r="G28" s="28">
        <v>5</v>
      </c>
      <c r="H28" s="28">
        <v>17</v>
      </c>
      <c r="I28" s="28" t="s">
        <v>9</v>
      </c>
      <c r="J28" s="28">
        <v>17</v>
      </c>
      <c r="K28" s="28" t="s">
        <v>9</v>
      </c>
      <c r="L28" s="28">
        <v>5</v>
      </c>
      <c r="M28" s="28">
        <v>1</v>
      </c>
      <c r="N28" s="28">
        <v>10</v>
      </c>
      <c r="O28" s="28" t="s">
        <v>9</v>
      </c>
      <c r="P28" s="28" t="s">
        <v>9</v>
      </c>
      <c r="Q28" s="28" t="s">
        <v>9</v>
      </c>
      <c r="R28" s="28" t="s">
        <v>9</v>
      </c>
      <c r="S28" s="28" t="s">
        <v>9</v>
      </c>
      <c r="T28" s="28" t="s">
        <v>9</v>
      </c>
      <c r="U28" s="28" t="s">
        <v>9</v>
      </c>
      <c r="V28" s="28" t="s">
        <v>9</v>
      </c>
      <c r="W28" s="28" t="s">
        <v>9</v>
      </c>
      <c r="X28" s="28" t="s">
        <v>9</v>
      </c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79">
        <f t="shared" si="2"/>
        <v>55</v>
      </c>
    </row>
    <row r="29" spans="3:45">
      <c r="C29" s="58">
        <v>5</v>
      </c>
      <c r="D29" s="71" t="s">
        <v>45</v>
      </c>
      <c r="E29" s="72">
        <v>15</v>
      </c>
      <c r="F29" s="28" t="s">
        <v>9</v>
      </c>
      <c r="G29" s="28">
        <v>1</v>
      </c>
      <c r="H29" s="28">
        <v>18</v>
      </c>
      <c r="I29" s="28" t="s">
        <v>9</v>
      </c>
      <c r="J29" s="28" t="s">
        <v>9</v>
      </c>
      <c r="K29" s="28">
        <v>33</v>
      </c>
      <c r="L29" s="28">
        <v>4</v>
      </c>
      <c r="M29" s="28">
        <v>2</v>
      </c>
      <c r="N29" s="28" t="s">
        <v>9</v>
      </c>
      <c r="O29" s="28" t="s">
        <v>9</v>
      </c>
      <c r="P29" s="28" t="s">
        <v>9</v>
      </c>
      <c r="Q29" s="28" t="s">
        <v>9</v>
      </c>
      <c r="R29" s="28" t="s">
        <v>9</v>
      </c>
      <c r="S29" s="28">
        <v>21</v>
      </c>
      <c r="T29" s="28" t="s">
        <v>9</v>
      </c>
      <c r="U29" s="28" t="s">
        <v>9</v>
      </c>
      <c r="V29" s="28">
        <v>3</v>
      </c>
      <c r="W29" s="28" t="s">
        <v>9</v>
      </c>
      <c r="X29" s="28" t="s">
        <v>9</v>
      </c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79">
        <f t="shared" si="2"/>
        <v>82</v>
      </c>
    </row>
    <row r="30" spans="3:45">
      <c r="C30" s="58">
        <v>6</v>
      </c>
      <c r="D30" s="71" t="s">
        <v>47</v>
      </c>
      <c r="E30" s="72">
        <v>15</v>
      </c>
      <c r="F30" s="28" t="s">
        <v>9</v>
      </c>
      <c r="G30" s="28" t="s">
        <v>9</v>
      </c>
      <c r="H30" s="28" t="s">
        <v>9</v>
      </c>
      <c r="I30" s="28" t="s">
        <v>9</v>
      </c>
      <c r="J30" s="28" t="s">
        <v>9</v>
      </c>
      <c r="K30" s="28" t="s">
        <v>9</v>
      </c>
      <c r="L30" s="28" t="s">
        <v>9</v>
      </c>
      <c r="M30" s="28" t="s">
        <v>9</v>
      </c>
      <c r="N30" s="28" t="s">
        <v>9</v>
      </c>
      <c r="O30" s="28" t="s">
        <v>9</v>
      </c>
      <c r="P30" s="28" t="s">
        <v>9</v>
      </c>
      <c r="Q30" s="28" t="s">
        <v>9</v>
      </c>
      <c r="R30" s="28" t="s">
        <v>9</v>
      </c>
      <c r="S30" s="28" t="s">
        <v>9</v>
      </c>
      <c r="T30" s="28" t="s">
        <v>9</v>
      </c>
      <c r="U30" s="28" t="s">
        <v>9</v>
      </c>
      <c r="V30" s="28" t="s">
        <v>9</v>
      </c>
      <c r="W30" s="28" t="s">
        <v>9</v>
      </c>
      <c r="X30" s="28" t="s">
        <v>9</v>
      </c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79">
        <f t="shared" si="2"/>
        <v>0</v>
      </c>
    </row>
    <row r="31" spans="3:45">
      <c r="C31" s="58">
        <v>7</v>
      </c>
      <c r="D31" s="73" t="s">
        <v>51</v>
      </c>
      <c r="E31" s="74">
        <v>15</v>
      </c>
      <c r="F31" s="28">
        <v>2</v>
      </c>
      <c r="G31" s="28" t="s">
        <v>9</v>
      </c>
      <c r="H31" s="28" t="s">
        <v>9</v>
      </c>
      <c r="I31" s="28">
        <v>22</v>
      </c>
      <c r="J31" s="28">
        <v>6</v>
      </c>
      <c r="K31" s="28" t="s">
        <v>9</v>
      </c>
      <c r="L31" s="28" t="s">
        <v>9</v>
      </c>
      <c r="M31" s="28">
        <v>48</v>
      </c>
      <c r="N31" s="28" t="s">
        <v>9</v>
      </c>
      <c r="O31" s="28">
        <v>2</v>
      </c>
      <c r="P31" s="28" t="s">
        <v>9</v>
      </c>
      <c r="Q31" s="28" t="s">
        <v>9</v>
      </c>
      <c r="R31" s="28">
        <v>1</v>
      </c>
      <c r="S31" s="28" t="s">
        <v>9</v>
      </c>
      <c r="T31" s="28">
        <v>15</v>
      </c>
      <c r="U31" s="28" t="s">
        <v>9</v>
      </c>
      <c r="V31" s="28" t="s">
        <v>9</v>
      </c>
      <c r="W31" s="28" t="s">
        <v>9</v>
      </c>
      <c r="X31" s="28" t="s">
        <v>9</v>
      </c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79">
        <f t="shared" si="2"/>
        <v>96</v>
      </c>
    </row>
    <row r="32" spans="3:45">
      <c r="C32" s="70"/>
      <c r="D32" s="70"/>
      <c r="E32" s="61"/>
      <c r="F32" s="33" t="s">
        <v>9</v>
      </c>
      <c r="G32" s="33" t="s">
        <v>9</v>
      </c>
      <c r="H32" s="33" t="s">
        <v>9</v>
      </c>
      <c r="I32" s="33" t="s">
        <v>9</v>
      </c>
      <c r="J32" s="33" t="s">
        <v>9</v>
      </c>
      <c r="K32" s="33" t="s">
        <v>9</v>
      </c>
      <c r="L32" s="33" t="s">
        <v>9</v>
      </c>
      <c r="M32" s="33" t="s">
        <v>9</v>
      </c>
      <c r="N32" s="33" t="s">
        <v>9</v>
      </c>
      <c r="O32" s="33" t="s">
        <v>9</v>
      </c>
      <c r="P32" s="33" t="s">
        <v>9</v>
      </c>
      <c r="Q32" s="33" t="s">
        <v>9</v>
      </c>
      <c r="R32" s="33" t="s">
        <v>9</v>
      </c>
      <c r="S32" s="33" t="s">
        <v>9</v>
      </c>
      <c r="T32" s="49" t="s">
        <v>9</v>
      </c>
      <c r="U32" s="33" t="s">
        <v>9</v>
      </c>
      <c r="V32" s="33" t="s">
        <v>9</v>
      </c>
      <c r="W32" s="33" t="s">
        <v>9</v>
      </c>
      <c r="X32" s="33" t="s">
        <v>9</v>
      </c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79">
        <f t="shared" si="2"/>
        <v>0</v>
      </c>
    </row>
    <row r="33" spans="3:36">
      <c r="C33" s="58">
        <v>1</v>
      </c>
      <c r="D33" s="75" t="s">
        <v>52</v>
      </c>
      <c r="E33" s="76">
        <v>15</v>
      </c>
      <c r="F33" s="28">
        <v>5</v>
      </c>
      <c r="G33" s="28" t="s">
        <v>9</v>
      </c>
      <c r="H33" s="28">
        <v>4</v>
      </c>
      <c r="I33" s="28">
        <v>8</v>
      </c>
      <c r="J33" s="28">
        <v>6</v>
      </c>
      <c r="K33" s="28">
        <v>4</v>
      </c>
      <c r="L33" s="28">
        <v>2</v>
      </c>
      <c r="M33" s="28">
        <v>8</v>
      </c>
      <c r="N33" s="28">
        <v>3</v>
      </c>
      <c r="O33" s="28">
        <v>39</v>
      </c>
      <c r="P33" s="28">
        <v>16</v>
      </c>
      <c r="Q33" s="28">
        <v>9</v>
      </c>
      <c r="R33" s="28">
        <v>3</v>
      </c>
      <c r="S33" s="28">
        <v>3</v>
      </c>
      <c r="T33" s="28">
        <v>4</v>
      </c>
      <c r="U33" s="28" t="s">
        <v>9</v>
      </c>
      <c r="V33" s="28">
        <v>6</v>
      </c>
      <c r="W33" s="28">
        <v>9</v>
      </c>
      <c r="X33" s="28">
        <v>3</v>
      </c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79">
        <f t="shared" si="2"/>
        <v>132</v>
      </c>
    </row>
    <row r="34" spans="3:36">
      <c r="C34" s="58">
        <v>2</v>
      </c>
      <c r="D34" s="75" t="s">
        <v>53</v>
      </c>
      <c r="E34" s="76">
        <v>15</v>
      </c>
      <c r="F34" s="28">
        <v>19</v>
      </c>
      <c r="G34" s="28" t="s">
        <v>9</v>
      </c>
      <c r="H34" s="28">
        <v>22</v>
      </c>
      <c r="I34" s="28">
        <v>5</v>
      </c>
      <c r="J34" s="28">
        <v>32</v>
      </c>
      <c r="K34" s="28" t="s">
        <v>9</v>
      </c>
      <c r="L34" s="28">
        <v>47</v>
      </c>
      <c r="M34" s="28">
        <v>5</v>
      </c>
      <c r="N34" s="28">
        <v>6</v>
      </c>
      <c r="O34" s="28">
        <v>1</v>
      </c>
      <c r="P34" s="28" t="s">
        <v>9</v>
      </c>
      <c r="Q34" s="28">
        <v>26</v>
      </c>
      <c r="R34" s="28" t="s">
        <v>9</v>
      </c>
      <c r="S34" s="28" t="s">
        <v>9</v>
      </c>
      <c r="T34" s="28" t="s">
        <v>9</v>
      </c>
      <c r="U34" s="28">
        <v>2</v>
      </c>
      <c r="V34" s="28">
        <v>5</v>
      </c>
      <c r="W34" s="28" t="s">
        <v>9</v>
      </c>
      <c r="X34" s="28" t="s">
        <v>9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79">
        <f t="shared" si="2"/>
        <v>170</v>
      </c>
    </row>
    <row r="35" spans="3:36">
      <c r="C35" s="58">
        <v>3</v>
      </c>
      <c r="D35" s="75" t="s">
        <v>54</v>
      </c>
      <c r="E35" s="76">
        <v>15</v>
      </c>
      <c r="F35" s="28" t="s">
        <v>9</v>
      </c>
      <c r="G35" s="28">
        <v>20</v>
      </c>
      <c r="H35" s="28">
        <v>32</v>
      </c>
      <c r="I35" s="28">
        <v>17</v>
      </c>
      <c r="J35" s="28">
        <v>16</v>
      </c>
      <c r="K35" s="28" t="s">
        <v>9</v>
      </c>
      <c r="L35" s="28" t="s">
        <v>9</v>
      </c>
      <c r="M35" s="28" t="s">
        <v>9</v>
      </c>
      <c r="N35" s="28">
        <v>4</v>
      </c>
      <c r="O35" s="28" t="s">
        <v>9</v>
      </c>
      <c r="P35" s="28">
        <v>8</v>
      </c>
      <c r="Q35" s="28">
        <v>21</v>
      </c>
      <c r="R35" s="28" t="s">
        <v>9</v>
      </c>
      <c r="S35" s="28" t="s">
        <v>9</v>
      </c>
      <c r="T35" s="28">
        <v>22</v>
      </c>
      <c r="U35" s="28">
        <v>31</v>
      </c>
      <c r="V35" s="28" t="s">
        <v>9</v>
      </c>
      <c r="W35" s="28" t="s">
        <v>9</v>
      </c>
      <c r="X35" s="28" t="s">
        <v>9</v>
      </c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79">
        <f t="shared" si="2"/>
        <v>171</v>
      </c>
    </row>
    <row r="36" spans="3:36">
      <c r="C36" s="58">
        <v>4</v>
      </c>
      <c r="D36" s="75" t="s">
        <v>55</v>
      </c>
      <c r="E36" s="76">
        <v>15</v>
      </c>
      <c r="F36" s="28" t="s">
        <v>9</v>
      </c>
      <c r="G36" s="28" t="s">
        <v>9</v>
      </c>
      <c r="H36" s="28">
        <v>2</v>
      </c>
      <c r="I36" s="28">
        <v>1</v>
      </c>
      <c r="J36" s="28">
        <v>2</v>
      </c>
      <c r="K36" s="28" t="s">
        <v>9</v>
      </c>
      <c r="L36" s="28">
        <v>27</v>
      </c>
      <c r="M36" s="28" t="s">
        <v>9</v>
      </c>
      <c r="N36" s="28">
        <v>9</v>
      </c>
      <c r="O36" s="28" t="s">
        <v>9</v>
      </c>
      <c r="P36" s="28" t="s">
        <v>9</v>
      </c>
      <c r="Q36" s="28">
        <v>1</v>
      </c>
      <c r="R36" s="28" t="s">
        <v>9</v>
      </c>
      <c r="S36" s="28">
        <v>3</v>
      </c>
      <c r="T36" s="28" t="s">
        <v>9</v>
      </c>
      <c r="U36" s="28" t="s">
        <v>9</v>
      </c>
      <c r="V36" s="28">
        <v>1</v>
      </c>
      <c r="W36" s="28" t="s">
        <v>9</v>
      </c>
      <c r="X36" s="28">
        <v>3</v>
      </c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79">
        <f t="shared" si="2"/>
        <v>49</v>
      </c>
    </row>
    <row r="37" spans="3:36">
      <c r="C37" s="58">
        <v>5</v>
      </c>
      <c r="D37" s="75" t="s">
        <v>56</v>
      </c>
      <c r="E37" s="76">
        <v>15</v>
      </c>
      <c r="F37" s="28">
        <v>5</v>
      </c>
      <c r="G37" s="28" t="s">
        <v>9</v>
      </c>
      <c r="H37" s="28">
        <v>4</v>
      </c>
      <c r="I37" s="28">
        <v>3</v>
      </c>
      <c r="J37" s="28">
        <v>1</v>
      </c>
      <c r="K37" s="28">
        <v>7</v>
      </c>
      <c r="L37" s="28">
        <v>6</v>
      </c>
      <c r="M37" s="28">
        <v>9</v>
      </c>
      <c r="N37" s="28" t="s">
        <v>9</v>
      </c>
      <c r="O37" s="28">
        <v>2</v>
      </c>
      <c r="P37" s="28">
        <v>37</v>
      </c>
      <c r="Q37" s="28">
        <v>17</v>
      </c>
      <c r="R37" s="28">
        <v>49</v>
      </c>
      <c r="S37" s="28">
        <v>22</v>
      </c>
      <c r="T37" s="28">
        <v>2</v>
      </c>
      <c r="U37" s="28" t="s">
        <v>9</v>
      </c>
      <c r="V37" s="28" t="s">
        <v>9</v>
      </c>
      <c r="W37" s="28">
        <v>3</v>
      </c>
      <c r="X37" s="28" t="s">
        <v>9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79">
        <f t="shared" si="2"/>
        <v>167</v>
      </c>
    </row>
    <row r="38" spans="3:36">
      <c r="C38" s="70"/>
      <c r="D38" s="70"/>
      <c r="E38" s="61"/>
      <c r="F38" s="33" t="s">
        <v>9</v>
      </c>
      <c r="G38" s="33" t="s">
        <v>9</v>
      </c>
      <c r="H38" s="33" t="s">
        <v>9</v>
      </c>
      <c r="I38" s="33" t="s">
        <v>9</v>
      </c>
      <c r="J38" s="33" t="s">
        <v>9</v>
      </c>
      <c r="K38" s="33" t="s">
        <v>9</v>
      </c>
      <c r="L38" s="33" t="s">
        <v>9</v>
      </c>
      <c r="M38" s="33" t="s">
        <v>9</v>
      </c>
      <c r="N38" s="33" t="s">
        <v>9</v>
      </c>
      <c r="O38" s="33" t="s">
        <v>9</v>
      </c>
      <c r="P38" s="33" t="s">
        <v>9</v>
      </c>
      <c r="Q38" s="33" t="s">
        <v>9</v>
      </c>
      <c r="R38" s="33" t="s">
        <v>9</v>
      </c>
      <c r="S38" s="33" t="s">
        <v>9</v>
      </c>
      <c r="T38" s="49" t="s">
        <v>9</v>
      </c>
      <c r="U38" s="33" t="s">
        <v>9</v>
      </c>
      <c r="V38" s="33" t="s">
        <v>9</v>
      </c>
      <c r="W38" s="33" t="s">
        <v>9</v>
      </c>
      <c r="X38" s="33" t="s">
        <v>9</v>
      </c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79">
        <f t="shared" si="2"/>
        <v>0</v>
      </c>
    </row>
    <row r="39" spans="3:36">
      <c r="C39" s="58">
        <v>1</v>
      </c>
      <c r="D39" s="75" t="s">
        <v>57</v>
      </c>
      <c r="E39" s="76">
        <v>15</v>
      </c>
      <c r="F39" s="28" t="s">
        <v>9</v>
      </c>
      <c r="G39" s="28" t="s">
        <v>9</v>
      </c>
      <c r="H39" s="28" t="s">
        <v>9</v>
      </c>
      <c r="I39" s="28" t="s">
        <v>9</v>
      </c>
      <c r="J39" s="28" t="s">
        <v>9</v>
      </c>
      <c r="K39" s="28" t="s">
        <v>9</v>
      </c>
      <c r="L39" s="28" t="s">
        <v>9</v>
      </c>
      <c r="M39" s="28" t="s">
        <v>9</v>
      </c>
      <c r="N39" s="28" t="s">
        <v>9</v>
      </c>
      <c r="O39" s="28" t="s">
        <v>9</v>
      </c>
      <c r="P39" s="28" t="s">
        <v>9</v>
      </c>
      <c r="Q39" s="28" t="s">
        <v>9</v>
      </c>
      <c r="R39" s="28" t="s">
        <v>9</v>
      </c>
      <c r="S39" s="28" t="s">
        <v>9</v>
      </c>
      <c r="T39" s="28" t="s">
        <v>9</v>
      </c>
      <c r="U39" s="28" t="s">
        <v>9</v>
      </c>
      <c r="V39" s="28" t="s">
        <v>9</v>
      </c>
      <c r="W39" s="28" t="s">
        <v>9</v>
      </c>
      <c r="X39" s="28" t="s">
        <v>9</v>
      </c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79">
        <f t="shared" si="2"/>
        <v>0</v>
      </c>
    </row>
    <row r="40" spans="3:36">
      <c r="C40" s="58">
        <v>2</v>
      </c>
      <c r="D40" s="75" t="s">
        <v>58</v>
      </c>
      <c r="E40" s="76">
        <v>50</v>
      </c>
      <c r="F40" s="28" t="s">
        <v>9</v>
      </c>
      <c r="G40" s="28" t="s">
        <v>9</v>
      </c>
      <c r="H40" s="28" t="s">
        <v>9</v>
      </c>
      <c r="I40" s="28" t="s">
        <v>9</v>
      </c>
      <c r="J40" s="28">
        <v>50</v>
      </c>
      <c r="K40" s="28">
        <v>50</v>
      </c>
      <c r="L40" s="28" t="s">
        <v>9</v>
      </c>
      <c r="M40" s="28" t="s">
        <v>9</v>
      </c>
      <c r="N40" s="28" t="s">
        <v>9</v>
      </c>
      <c r="O40" s="28">
        <v>52</v>
      </c>
      <c r="P40" s="28" t="s">
        <v>9</v>
      </c>
      <c r="Q40" s="28" t="s">
        <v>9</v>
      </c>
      <c r="R40" s="28">
        <v>55</v>
      </c>
      <c r="S40" s="28" t="s">
        <v>9</v>
      </c>
      <c r="T40" s="28" t="s">
        <v>9</v>
      </c>
      <c r="U40" s="28" t="s">
        <v>9</v>
      </c>
      <c r="V40" s="28" t="s">
        <v>9</v>
      </c>
      <c r="W40" s="28" t="s">
        <v>9</v>
      </c>
      <c r="X40" s="28" t="s">
        <v>9</v>
      </c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79">
        <f t="shared" si="2"/>
        <v>207</v>
      </c>
    </row>
    <row r="41" spans="3:36">
      <c r="C41" s="58">
        <v>3</v>
      </c>
      <c r="D41" s="75" t="s">
        <v>59</v>
      </c>
      <c r="E41" s="76">
        <v>50</v>
      </c>
      <c r="F41" s="28" t="s">
        <v>9</v>
      </c>
      <c r="G41" s="28" t="s">
        <v>9</v>
      </c>
      <c r="H41" s="28" t="s">
        <v>9</v>
      </c>
      <c r="I41" s="28" t="s">
        <v>9</v>
      </c>
      <c r="J41" s="28" t="s">
        <v>9</v>
      </c>
      <c r="K41" s="28" t="s">
        <v>9</v>
      </c>
      <c r="L41" s="28" t="s">
        <v>9</v>
      </c>
      <c r="M41" s="28" t="s">
        <v>9</v>
      </c>
      <c r="N41" s="28" t="s">
        <v>9</v>
      </c>
      <c r="O41" s="28" t="s">
        <v>9</v>
      </c>
      <c r="P41" s="28" t="s">
        <v>9</v>
      </c>
      <c r="Q41" s="28" t="s">
        <v>9</v>
      </c>
      <c r="R41" s="28" t="s">
        <v>9</v>
      </c>
      <c r="S41" s="28" t="s">
        <v>9</v>
      </c>
      <c r="T41" s="28" t="s">
        <v>9</v>
      </c>
      <c r="U41" s="28" t="s">
        <v>9</v>
      </c>
      <c r="V41" s="28" t="s">
        <v>9</v>
      </c>
      <c r="W41" s="28" t="s">
        <v>9</v>
      </c>
      <c r="X41" s="28" t="s">
        <v>9</v>
      </c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79">
        <f t="shared" si="2"/>
        <v>0</v>
      </c>
    </row>
    <row r="42" spans="3:36">
      <c r="C42" s="58">
        <v>4</v>
      </c>
      <c r="D42" s="75" t="s">
        <v>60</v>
      </c>
      <c r="E42" s="76">
        <v>50</v>
      </c>
      <c r="F42" s="28" t="s">
        <v>9</v>
      </c>
      <c r="G42" s="28" t="s">
        <v>9</v>
      </c>
      <c r="H42" s="28" t="s">
        <v>9</v>
      </c>
      <c r="I42" s="28" t="s">
        <v>9</v>
      </c>
      <c r="J42" s="28" t="s">
        <v>9</v>
      </c>
      <c r="K42" s="28">
        <v>8</v>
      </c>
      <c r="L42" s="28">
        <v>9</v>
      </c>
      <c r="M42" s="28" t="s">
        <v>9</v>
      </c>
      <c r="N42" s="28" t="s">
        <v>9</v>
      </c>
      <c r="O42" s="28">
        <v>6</v>
      </c>
      <c r="P42" s="28">
        <v>14</v>
      </c>
      <c r="Q42" s="28">
        <v>4</v>
      </c>
      <c r="R42" s="28" t="s">
        <v>9</v>
      </c>
      <c r="S42" s="28" t="s">
        <v>9</v>
      </c>
      <c r="T42" s="28" t="s">
        <v>9</v>
      </c>
      <c r="U42" s="28" t="s">
        <v>9</v>
      </c>
      <c r="V42" s="28">
        <v>21</v>
      </c>
      <c r="W42" s="28">
        <v>9</v>
      </c>
      <c r="X42" s="28">
        <v>6</v>
      </c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79">
        <f t="shared" si="2"/>
        <v>77</v>
      </c>
    </row>
    <row r="43" spans="3:36">
      <c r="C43" s="114" t="s">
        <v>27</v>
      </c>
      <c r="D43" s="114"/>
      <c r="E43" s="77">
        <f t="shared" ref="E43:AJ43" si="3">SUM(E6:E42)</f>
        <v>1230</v>
      </c>
      <c r="F43" s="78">
        <f t="shared" si="3"/>
        <v>75</v>
      </c>
      <c r="G43" s="78">
        <f t="shared" si="3"/>
        <v>29</v>
      </c>
      <c r="H43" s="78">
        <f t="shared" si="3"/>
        <v>428</v>
      </c>
      <c r="I43" s="78">
        <f t="shared" si="3"/>
        <v>149</v>
      </c>
      <c r="J43" s="78">
        <f t="shared" si="3"/>
        <v>610</v>
      </c>
      <c r="K43" s="78">
        <f t="shared" si="3"/>
        <v>869</v>
      </c>
      <c r="L43" s="78">
        <f t="shared" si="3"/>
        <v>849</v>
      </c>
      <c r="M43" s="78">
        <f t="shared" si="3"/>
        <v>599</v>
      </c>
      <c r="N43" s="78">
        <f t="shared" si="3"/>
        <v>45</v>
      </c>
      <c r="O43" s="78">
        <f t="shared" si="3"/>
        <v>789</v>
      </c>
      <c r="P43" s="78">
        <f t="shared" si="3"/>
        <v>537</v>
      </c>
      <c r="Q43" s="78">
        <f t="shared" si="3"/>
        <v>827</v>
      </c>
      <c r="R43" s="78">
        <f t="shared" si="3"/>
        <v>390</v>
      </c>
      <c r="S43" s="78">
        <f t="shared" si="3"/>
        <v>380</v>
      </c>
      <c r="T43" s="78">
        <f t="shared" si="3"/>
        <v>354</v>
      </c>
      <c r="U43" s="78">
        <f t="shared" si="3"/>
        <v>78</v>
      </c>
      <c r="V43" s="78">
        <f t="shared" si="3"/>
        <v>634</v>
      </c>
      <c r="W43" s="78">
        <f t="shared" si="3"/>
        <v>892</v>
      </c>
      <c r="X43" s="78">
        <f t="shared" si="3"/>
        <v>238</v>
      </c>
      <c r="Y43" s="78">
        <f t="shared" si="3"/>
        <v>0</v>
      </c>
      <c r="Z43" s="78">
        <f t="shared" si="3"/>
        <v>0</v>
      </c>
      <c r="AA43" s="78">
        <f t="shared" si="3"/>
        <v>0</v>
      </c>
      <c r="AB43" s="78">
        <f t="shared" si="3"/>
        <v>0</v>
      </c>
      <c r="AC43" s="78">
        <f t="shared" si="3"/>
        <v>0</v>
      </c>
      <c r="AD43" s="78">
        <f t="shared" si="3"/>
        <v>0</v>
      </c>
      <c r="AE43" s="78">
        <f t="shared" si="3"/>
        <v>0</v>
      </c>
      <c r="AF43" s="78">
        <f t="shared" si="3"/>
        <v>0</v>
      </c>
      <c r="AG43" s="78">
        <f t="shared" si="3"/>
        <v>0</v>
      </c>
      <c r="AH43" s="78">
        <f t="shared" si="3"/>
        <v>0</v>
      </c>
      <c r="AI43" s="78">
        <f t="shared" si="3"/>
        <v>0</v>
      </c>
      <c r="AJ43" s="79">
        <f t="shared" si="3"/>
        <v>8772</v>
      </c>
    </row>
  </sheetData>
  <mergeCells count="7">
    <mergeCell ref="C3:AJ3"/>
    <mergeCell ref="F4:AI4"/>
    <mergeCell ref="C43:D43"/>
    <mergeCell ref="C4:C5"/>
    <mergeCell ref="D4:D5"/>
    <mergeCell ref="E4:E5"/>
    <mergeCell ref="AJ4:AJ5"/>
  </mergeCells>
  <conditionalFormatting sqref="F26:F38">
    <cfRule type="expression" dxfId="423" priority="65">
      <formula>AND(ISNUMBER(F26),F26&lt;=15)</formula>
    </cfRule>
    <cfRule type="expression" dxfId="422" priority="66">
      <formula>AND(ISNUMBER(F26),F26&gt;=15)</formula>
    </cfRule>
  </conditionalFormatting>
  <conditionalFormatting sqref="F39:F41">
    <cfRule type="expression" dxfId="421" priority="61">
      <formula>AND(ISNUMBER(F39),F39&gt;50)</formula>
    </cfRule>
    <cfRule type="expression" dxfId="420" priority="62">
      <formula>AND(ISNUMBER(F39),F39&lt;=50)</formula>
    </cfRule>
  </conditionalFormatting>
  <conditionalFormatting sqref="G6:G24">
    <cfRule type="expression" dxfId="419" priority="57">
      <formula>AND(ISNUMBER(G6),G6&gt;=50)</formula>
    </cfRule>
    <cfRule type="expression" dxfId="418" priority="58">
      <formula>AND(ISNUMBER(G6),G6&lt;=50)</formula>
    </cfRule>
  </conditionalFormatting>
  <conditionalFormatting sqref="G26:G38">
    <cfRule type="expression" dxfId="417" priority="59">
      <formula>AND(ISNUMBER(G26),G26&lt;=15)</formula>
    </cfRule>
    <cfRule type="expression" dxfId="416" priority="60">
      <formula>AND(ISNUMBER(G26),G26&gt;=15)</formula>
    </cfRule>
  </conditionalFormatting>
  <conditionalFormatting sqref="G39:G41">
    <cfRule type="expression" dxfId="415" priority="55">
      <formula>AND(ISNUMBER(G39),G39&gt;50)</formula>
    </cfRule>
    <cfRule type="expression" dxfId="414" priority="56">
      <formula>AND(ISNUMBER(G39),G39&lt;=50)</formula>
    </cfRule>
  </conditionalFormatting>
  <conditionalFormatting sqref="H39:H41">
    <cfRule type="expression" dxfId="413" priority="49">
      <formula>AND(ISNUMBER(H39),H39&gt;50)</formula>
    </cfRule>
    <cfRule type="expression" dxfId="412" priority="50">
      <formula>AND(ISNUMBER(H39),H39&lt;=50)</formula>
    </cfRule>
  </conditionalFormatting>
  <conditionalFormatting sqref="J39:J41">
    <cfRule type="expression" dxfId="411" priority="43">
      <formula>AND(ISNUMBER(J39),J39&gt;50)</formula>
    </cfRule>
    <cfRule type="expression" dxfId="410" priority="44">
      <formula>AND(ISNUMBER(J39),J39&lt;=50)</formula>
    </cfRule>
  </conditionalFormatting>
  <conditionalFormatting sqref="K39:K41">
    <cfRule type="expression" dxfId="409" priority="37">
      <formula>AND(ISNUMBER(K39),K39&gt;50)</formula>
    </cfRule>
    <cfRule type="expression" dxfId="408" priority="38">
      <formula>AND(ISNUMBER(K39),K39&lt;=50)</formula>
    </cfRule>
  </conditionalFormatting>
  <conditionalFormatting sqref="L39:L41">
    <cfRule type="expression" dxfId="407" priority="31">
      <formula>AND(ISNUMBER(L39),L39&gt;50)</formula>
    </cfRule>
    <cfRule type="expression" dxfId="406" priority="32">
      <formula>AND(ISNUMBER(L39),L39&lt;=50)</formula>
    </cfRule>
  </conditionalFormatting>
  <conditionalFormatting sqref="S6:S42">
    <cfRule type="expression" dxfId="405" priority="15">
      <formula>AND(ISNUMBER(S6),S6&gt;50)</formula>
    </cfRule>
    <cfRule type="expression" dxfId="404" priority="16">
      <formula>AND(ISNUMBER(S6),S6&lt;=50)</formula>
    </cfRule>
    <cfRule type="expression" dxfId="403" priority="17">
      <formula>AND(ISNUMBER(S6),S6&gt;50)</formula>
    </cfRule>
    <cfRule type="expression" dxfId="402" priority="18">
      <formula>AND(ISNUMBER(S6),S6&lt;=50)</formula>
    </cfRule>
  </conditionalFormatting>
  <conditionalFormatting sqref="T6:T42">
    <cfRule type="expression" dxfId="401" priority="13">
      <formula>AND(ISNUMBER(T6),T6&gt;=50)</formula>
    </cfRule>
    <cfRule type="expression" dxfId="400" priority="14">
      <formula>AND(ISNUMBER(T6),T6&lt;=50)</formula>
    </cfRule>
  </conditionalFormatting>
  <conditionalFormatting sqref="F6:R42">
    <cfRule type="expression" dxfId="331" priority="63">
      <formula>AND(ISNUMBER(F6),F6&gt;=50)</formula>
    </cfRule>
    <cfRule type="expression" dxfId="330" priority="64">
      <formula>AND(ISNUMBER(F6),F6&lt;=50)</formula>
    </cfRule>
  </conditionalFormatting>
  <conditionalFormatting sqref="M39:R41">
    <cfRule type="expression" dxfId="329" priority="19">
      <formula>AND(ISNUMBER(M39),M39&gt;50)</formula>
    </cfRule>
    <cfRule type="expression" dxfId="328" priority="20">
      <formula>AND(ISNUMBER(M39),M39&lt;=50)</formula>
    </cfRule>
  </conditionalFormatting>
  <conditionalFormatting sqref="U6:V42">
    <cfRule type="expression" dxfId="327" priority="7">
      <formula>AND(ISNUMBER(U6),U6&gt;=50)</formula>
    </cfRule>
    <cfRule type="expression" dxfId="326" priority="8">
      <formula>AND(ISNUMBER(U6),U6&lt;=50)</formula>
    </cfRule>
  </conditionalFormatting>
  <conditionalFormatting sqref="W6:W42">
    <cfRule type="expression" dxfId="325" priority="5">
      <formula>AND(ISNUMBER(W6),W6&gt;=50)</formula>
    </cfRule>
    <cfRule type="expression" dxfId="324" priority="6">
      <formula>AND(ISNUMBER(W6),W6&lt;=50)</formula>
    </cfRule>
  </conditionalFormatting>
  <conditionalFormatting sqref="X6:X42">
    <cfRule type="expression" dxfId="156" priority="3">
      <formula>AND(ISNUMBER(X6),X6&gt;=50)</formula>
    </cfRule>
    <cfRule type="expression" dxfId="155" priority="4">
      <formula>AND(ISNUMBER(X6),X6&lt;=50)</formula>
    </cfRule>
  </conditionalFormatting>
  <conditionalFormatting sqref="Y6:AI42">
    <cfRule type="expression" dxfId="154" priority="1">
      <formula>AND(ISNUMBER(Y6),Y6&gt;=50)</formula>
    </cfRule>
    <cfRule type="expression" dxfId="153" priority="2">
      <formula>AND(ISNUMBER(Y6),Y6&lt;=50)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J65"/>
  <sheetViews>
    <sheetView showGridLines="0" topLeftCell="A5" zoomScale="92" zoomScaleNormal="92" workbookViewId="0">
      <selection activeCell="X42" sqref="X6:X42"/>
    </sheetView>
  </sheetViews>
  <sheetFormatPr defaultColWidth="3.28515625" defaultRowHeight="12.95" customHeight="1"/>
  <cols>
    <col min="1" max="2" width="3.28515625" customWidth="1"/>
    <col min="3" max="3" width="3.85546875" customWidth="1"/>
    <col min="4" max="4" width="16.7109375" customWidth="1"/>
    <col min="5" max="5" width="15.42578125" customWidth="1"/>
    <col min="6" max="6" width="5.42578125" customWidth="1"/>
    <col min="7" max="7" width="4.28515625" customWidth="1"/>
    <col min="8" max="13" width="5.42578125" customWidth="1"/>
    <col min="14" max="14" width="4.28515625" customWidth="1"/>
    <col min="15" max="17" width="5.42578125" customWidth="1"/>
    <col min="18" max="18" width="5.42578125" bestFit="1" customWidth="1"/>
    <col min="19" max="20" width="5.42578125" customWidth="1"/>
    <col min="21" max="21" width="4.28515625" bestFit="1" customWidth="1"/>
    <col min="22" max="24" width="5.42578125" bestFit="1" customWidth="1"/>
    <col min="25" max="35" width="3.28515625" customWidth="1"/>
    <col min="36" max="36" width="13.7109375" customWidth="1"/>
    <col min="37" max="37" width="3.28515625" customWidth="1"/>
  </cols>
  <sheetData>
    <row r="1" spans="3:36" ht="12.95" customHeight="1"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3:36" ht="12.95" customHeight="1">
      <c r="C2" s="119" t="s">
        <v>0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</row>
    <row r="3" spans="3:36" ht="12.95" customHeight="1"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4" spans="3:36" ht="12.95" customHeight="1">
      <c r="C4" s="123" t="s">
        <v>1</v>
      </c>
      <c r="D4" s="123" t="s">
        <v>2</v>
      </c>
      <c r="E4" s="123" t="s">
        <v>3</v>
      </c>
      <c r="F4" s="121" t="s">
        <v>4</v>
      </c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17" t="s">
        <v>5</v>
      </c>
    </row>
    <row r="5" spans="3:36" ht="12.95" customHeight="1">
      <c r="C5" s="124"/>
      <c r="D5" s="124"/>
      <c r="E5" s="124"/>
      <c r="F5" s="15">
        <v>1</v>
      </c>
      <c r="G5" s="15">
        <v>2</v>
      </c>
      <c r="H5" s="15">
        <v>3</v>
      </c>
      <c r="I5" s="15">
        <v>4</v>
      </c>
      <c r="J5" s="15">
        <v>5</v>
      </c>
      <c r="K5" s="15">
        <v>6</v>
      </c>
      <c r="L5" s="15">
        <v>7</v>
      </c>
      <c r="M5" s="15">
        <v>8</v>
      </c>
      <c r="N5" s="15">
        <v>9</v>
      </c>
      <c r="O5" s="15">
        <v>10</v>
      </c>
      <c r="P5" s="15">
        <v>11</v>
      </c>
      <c r="Q5" s="15">
        <v>12</v>
      </c>
      <c r="R5" s="15">
        <v>13</v>
      </c>
      <c r="S5" s="15">
        <v>14</v>
      </c>
      <c r="T5" s="15">
        <v>15</v>
      </c>
      <c r="U5" s="15">
        <v>16</v>
      </c>
      <c r="V5" s="15">
        <v>17</v>
      </c>
      <c r="W5" s="15">
        <v>18</v>
      </c>
      <c r="X5" s="15">
        <v>19</v>
      </c>
      <c r="Y5" s="15">
        <v>20</v>
      </c>
      <c r="Z5" s="15">
        <v>21</v>
      </c>
      <c r="AA5" s="15">
        <v>22</v>
      </c>
      <c r="AB5" s="15">
        <v>23</v>
      </c>
      <c r="AC5" s="15">
        <v>24</v>
      </c>
      <c r="AD5" s="15">
        <v>25</v>
      </c>
      <c r="AE5" s="15">
        <v>26</v>
      </c>
      <c r="AF5" s="15">
        <v>27</v>
      </c>
      <c r="AG5" s="15">
        <v>28</v>
      </c>
      <c r="AH5" s="15">
        <v>29</v>
      </c>
      <c r="AI5" s="15">
        <v>30</v>
      </c>
      <c r="AJ5" s="118"/>
    </row>
    <row r="6" spans="3:36" ht="12.95" customHeight="1">
      <c r="C6" s="25">
        <v>1</v>
      </c>
      <c r="D6" s="26" t="s">
        <v>28</v>
      </c>
      <c r="E6" s="27">
        <v>50</v>
      </c>
      <c r="F6" s="28">
        <v>2</v>
      </c>
      <c r="G6" s="28" t="s">
        <v>9</v>
      </c>
      <c r="H6" s="28" t="s">
        <v>9</v>
      </c>
      <c r="I6" s="28" t="s">
        <v>9</v>
      </c>
      <c r="J6" s="28" t="s">
        <v>9</v>
      </c>
      <c r="K6" s="28" t="s">
        <v>9</v>
      </c>
      <c r="L6" s="28" t="s">
        <v>9</v>
      </c>
      <c r="M6" s="28">
        <v>2</v>
      </c>
      <c r="N6" s="28" t="s">
        <v>9</v>
      </c>
      <c r="O6" s="28" t="s">
        <v>9</v>
      </c>
      <c r="P6" s="28">
        <v>3</v>
      </c>
      <c r="Q6" s="28" t="s">
        <v>9</v>
      </c>
      <c r="R6" s="28">
        <v>3</v>
      </c>
      <c r="S6" s="28" t="s">
        <v>9</v>
      </c>
      <c r="T6" s="28" t="s">
        <v>9</v>
      </c>
      <c r="U6" s="28" t="s">
        <v>9</v>
      </c>
      <c r="V6" s="28" t="s">
        <v>9</v>
      </c>
      <c r="W6" s="28" t="s">
        <v>9</v>
      </c>
      <c r="X6" s="28" t="s">
        <v>9</v>
      </c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52">
        <f>SUM(F6:AI6)</f>
        <v>10</v>
      </c>
    </row>
    <row r="7" spans="3:36" ht="12.95" customHeight="1">
      <c r="C7" s="25">
        <v>2</v>
      </c>
      <c r="D7" s="26" t="s">
        <v>30</v>
      </c>
      <c r="E7" s="27">
        <v>50</v>
      </c>
      <c r="F7" s="28" t="s">
        <v>9</v>
      </c>
      <c r="G7" s="28" t="s">
        <v>9</v>
      </c>
      <c r="H7" s="28" t="s">
        <v>9</v>
      </c>
      <c r="I7" s="28" t="s">
        <v>9</v>
      </c>
      <c r="J7" s="28" t="s">
        <v>9</v>
      </c>
      <c r="K7" s="28" t="s">
        <v>9</v>
      </c>
      <c r="L7" s="28" t="s">
        <v>9</v>
      </c>
      <c r="M7" s="28" t="s">
        <v>9</v>
      </c>
      <c r="N7" s="28" t="s">
        <v>9</v>
      </c>
      <c r="O7" s="28" t="s">
        <v>9</v>
      </c>
      <c r="P7" s="28" t="s">
        <v>9</v>
      </c>
      <c r="Q7" s="28" t="s">
        <v>9</v>
      </c>
      <c r="R7" s="28" t="s">
        <v>9</v>
      </c>
      <c r="S7" s="28" t="s">
        <v>9</v>
      </c>
      <c r="T7" s="28" t="s">
        <v>9</v>
      </c>
      <c r="U7" s="28" t="s">
        <v>9</v>
      </c>
      <c r="V7" s="28" t="s">
        <v>9</v>
      </c>
      <c r="W7" s="28" t="s">
        <v>9</v>
      </c>
      <c r="X7" s="28" t="s">
        <v>9</v>
      </c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52">
        <f t="shared" ref="AJ7:AJ64" si="0">SUM(F7:AI7)</f>
        <v>0</v>
      </c>
    </row>
    <row r="8" spans="3:36" ht="12.95" customHeight="1">
      <c r="C8" s="25">
        <v>3</v>
      </c>
      <c r="D8" s="26" t="s">
        <v>29</v>
      </c>
      <c r="E8" s="27">
        <v>50</v>
      </c>
      <c r="F8" s="28" t="s">
        <v>9</v>
      </c>
      <c r="G8" s="28" t="s">
        <v>9</v>
      </c>
      <c r="H8" s="28">
        <v>60</v>
      </c>
      <c r="I8" s="28" t="s">
        <v>9</v>
      </c>
      <c r="J8" s="28">
        <v>39</v>
      </c>
      <c r="K8" s="28">
        <v>50</v>
      </c>
      <c r="L8" s="28">
        <v>47</v>
      </c>
      <c r="M8" s="28">
        <v>51</v>
      </c>
      <c r="N8" s="28" t="s">
        <v>9</v>
      </c>
      <c r="O8" s="28" t="s">
        <v>9</v>
      </c>
      <c r="P8" s="28">
        <v>48</v>
      </c>
      <c r="Q8" s="28">
        <v>42</v>
      </c>
      <c r="R8" s="28" t="s">
        <v>9</v>
      </c>
      <c r="S8" s="28" t="s">
        <v>9</v>
      </c>
      <c r="T8" s="28">
        <v>13</v>
      </c>
      <c r="U8" s="28" t="s">
        <v>9</v>
      </c>
      <c r="V8" s="28">
        <v>53</v>
      </c>
      <c r="W8" s="28">
        <v>49</v>
      </c>
      <c r="X8" s="28">
        <v>26</v>
      </c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52">
        <f t="shared" si="0"/>
        <v>478</v>
      </c>
    </row>
    <row r="9" spans="3:36" ht="12.95" customHeight="1">
      <c r="C9" s="25">
        <v>4</v>
      </c>
      <c r="D9" s="26" t="s">
        <v>32</v>
      </c>
      <c r="E9" s="27">
        <v>50</v>
      </c>
      <c r="F9" s="28" t="s">
        <v>9</v>
      </c>
      <c r="G9" s="28" t="s">
        <v>9</v>
      </c>
      <c r="H9" s="28">
        <v>9</v>
      </c>
      <c r="I9" s="28" t="s">
        <v>9</v>
      </c>
      <c r="J9" s="28">
        <v>71</v>
      </c>
      <c r="K9" s="28">
        <v>59</v>
      </c>
      <c r="L9" s="28">
        <v>41</v>
      </c>
      <c r="M9" s="28">
        <v>22</v>
      </c>
      <c r="N9" s="28" t="s">
        <v>9</v>
      </c>
      <c r="O9" s="28">
        <v>48</v>
      </c>
      <c r="P9" s="28" t="s">
        <v>9</v>
      </c>
      <c r="Q9" s="28">
        <v>59</v>
      </c>
      <c r="R9" s="28">
        <v>21</v>
      </c>
      <c r="S9" s="28">
        <v>51</v>
      </c>
      <c r="T9" s="28">
        <v>9</v>
      </c>
      <c r="U9" s="28" t="s">
        <v>9</v>
      </c>
      <c r="V9" s="28">
        <v>57</v>
      </c>
      <c r="W9" s="28">
        <v>70</v>
      </c>
      <c r="X9" s="28">
        <v>18</v>
      </c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52">
        <f t="shared" si="0"/>
        <v>535</v>
      </c>
    </row>
    <row r="10" spans="3:36" ht="12.95" customHeight="1">
      <c r="C10" s="25">
        <v>5</v>
      </c>
      <c r="D10" s="26" t="s">
        <v>34</v>
      </c>
      <c r="E10" s="27">
        <v>50</v>
      </c>
      <c r="F10" s="28" t="s">
        <v>9</v>
      </c>
      <c r="G10" s="28" t="s">
        <v>9</v>
      </c>
      <c r="H10" s="28" t="s">
        <v>9</v>
      </c>
      <c r="I10" s="28" t="s">
        <v>9</v>
      </c>
      <c r="J10" s="28">
        <v>2</v>
      </c>
      <c r="K10" s="28">
        <v>97</v>
      </c>
      <c r="L10" s="28">
        <v>54</v>
      </c>
      <c r="M10" s="28">
        <v>5</v>
      </c>
      <c r="N10" s="28" t="s">
        <v>9</v>
      </c>
      <c r="O10" s="28">
        <v>69</v>
      </c>
      <c r="P10" s="28">
        <v>15</v>
      </c>
      <c r="Q10" s="28">
        <v>58</v>
      </c>
      <c r="R10" s="28">
        <v>63</v>
      </c>
      <c r="S10" s="28">
        <v>21</v>
      </c>
      <c r="T10" s="28">
        <v>42</v>
      </c>
      <c r="U10" s="28" t="s">
        <v>9</v>
      </c>
      <c r="V10" s="28">
        <v>71</v>
      </c>
      <c r="W10" s="28">
        <v>8</v>
      </c>
      <c r="X10" s="28">
        <v>35</v>
      </c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52">
        <f t="shared" si="0"/>
        <v>540</v>
      </c>
    </row>
    <row r="11" spans="3:36" ht="12.95" customHeight="1">
      <c r="C11" s="25">
        <v>6</v>
      </c>
      <c r="D11" s="26" t="s">
        <v>39</v>
      </c>
      <c r="E11" s="27">
        <v>50</v>
      </c>
      <c r="F11" s="28">
        <v>10</v>
      </c>
      <c r="G11" s="28" t="s">
        <v>9</v>
      </c>
      <c r="H11" s="28">
        <v>66</v>
      </c>
      <c r="I11" s="28" t="s">
        <v>9</v>
      </c>
      <c r="J11" s="28">
        <v>67</v>
      </c>
      <c r="K11" s="28">
        <v>64</v>
      </c>
      <c r="L11" s="28">
        <v>62</v>
      </c>
      <c r="M11" s="28">
        <v>62</v>
      </c>
      <c r="N11" s="28" t="s">
        <v>9</v>
      </c>
      <c r="O11" s="28">
        <v>53</v>
      </c>
      <c r="P11" s="28">
        <v>50</v>
      </c>
      <c r="Q11" s="28">
        <v>21</v>
      </c>
      <c r="R11" s="28">
        <v>52</v>
      </c>
      <c r="S11" s="28" t="s">
        <v>9</v>
      </c>
      <c r="T11" s="28">
        <v>75</v>
      </c>
      <c r="U11" s="28" t="s">
        <v>9</v>
      </c>
      <c r="V11" s="28">
        <v>71</v>
      </c>
      <c r="W11" s="28">
        <v>88</v>
      </c>
      <c r="X11" s="28">
        <v>1</v>
      </c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52">
        <f t="shared" si="0"/>
        <v>742</v>
      </c>
    </row>
    <row r="12" spans="3:36" ht="12.95" customHeight="1">
      <c r="C12" s="25">
        <v>7</v>
      </c>
      <c r="D12" s="26" t="s">
        <v>42</v>
      </c>
      <c r="E12" s="27">
        <v>50</v>
      </c>
      <c r="F12" s="28" t="s">
        <v>9</v>
      </c>
      <c r="G12" s="28" t="s">
        <v>9</v>
      </c>
      <c r="H12" s="28" t="s">
        <v>9</v>
      </c>
      <c r="I12" s="28" t="s">
        <v>9</v>
      </c>
      <c r="J12" s="28" t="s">
        <v>9</v>
      </c>
      <c r="K12" s="28">
        <v>129</v>
      </c>
      <c r="L12" s="28">
        <v>80</v>
      </c>
      <c r="M12" s="28">
        <v>60</v>
      </c>
      <c r="N12" s="28" t="s">
        <v>9</v>
      </c>
      <c r="O12" s="28">
        <v>91</v>
      </c>
      <c r="P12" s="28">
        <v>98</v>
      </c>
      <c r="Q12" s="28">
        <v>59</v>
      </c>
      <c r="R12" s="28">
        <v>13</v>
      </c>
      <c r="S12" s="28" t="s">
        <v>9</v>
      </c>
      <c r="T12" s="28">
        <v>56</v>
      </c>
      <c r="U12" s="28" t="s">
        <v>9</v>
      </c>
      <c r="V12" s="28" t="s">
        <v>9</v>
      </c>
      <c r="W12" s="28">
        <v>81</v>
      </c>
      <c r="X12" s="28" t="s">
        <v>9</v>
      </c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2">
        <f t="shared" si="0"/>
        <v>667</v>
      </c>
    </row>
    <row r="13" spans="3:36" ht="12.95" customHeight="1">
      <c r="C13" s="25">
        <v>8</v>
      </c>
      <c r="D13" s="26" t="s">
        <v>36</v>
      </c>
      <c r="E13" s="27">
        <v>50</v>
      </c>
      <c r="F13" s="28" t="s">
        <v>9</v>
      </c>
      <c r="G13" s="28" t="s">
        <v>9</v>
      </c>
      <c r="H13" s="28" t="s">
        <v>9</v>
      </c>
      <c r="I13" s="28">
        <v>5</v>
      </c>
      <c r="J13" s="28">
        <v>6</v>
      </c>
      <c r="K13" s="28">
        <v>36</v>
      </c>
      <c r="L13" s="28">
        <v>84</v>
      </c>
      <c r="M13" s="28">
        <v>58</v>
      </c>
      <c r="N13" s="28">
        <v>2</v>
      </c>
      <c r="O13" s="28">
        <v>74</v>
      </c>
      <c r="P13" s="28">
        <v>55</v>
      </c>
      <c r="Q13" s="28">
        <v>58</v>
      </c>
      <c r="R13" s="28">
        <v>64</v>
      </c>
      <c r="S13" s="28">
        <v>11</v>
      </c>
      <c r="T13" s="28">
        <v>9</v>
      </c>
      <c r="U13" s="28" t="s">
        <v>9</v>
      </c>
      <c r="V13" s="28">
        <v>53</v>
      </c>
      <c r="W13" s="28">
        <v>98</v>
      </c>
      <c r="X13" s="28">
        <v>3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52">
        <f t="shared" si="0"/>
        <v>616</v>
      </c>
    </row>
    <row r="14" spans="3:36" ht="12.95" customHeight="1">
      <c r="C14" s="25">
        <v>9</v>
      </c>
      <c r="D14" s="26" t="s">
        <v>38</v>
      </c>
      <c r="E14" s="27">
        <v>50</v>
      </c>
      <c r="F14" s="28">
        <v>1</v>
      </c>
      <c r="G14" s="28">
        <v>2</v>
      </c>
      <c r="H14" s="28">
        <v>83</v>
      </c>
      <c r="I14" s="28">
        <v>14</v>
      </c>
      <c r="J14" s="28">
        <v>41</v>
      </c>
      <c r="K14" s="28">
        <v>55</v>
      </c>
      <c r="L14" s="28">
        <v>57</v>
      </c>
      <c r="M14" s="28">
        <v>64</v>
      </c>
      <c r="N14" s="28">
        <v>2</v>
      </c>
      <c r="O14" s="28">
        <v>53</v>
      </c>
      <c r="P14" s="28">
        <v>63</v>
      </c>
      <c r="Q14" s="28">
        <v>52</v>
      </c>
      <c r="R14" s="28">
        <v>54</v>
      </c>
      <c r="S14" s="28">
        <v>49</v>
      </c>
      <c r="T14" s="28">
        <v>20</v>
      </c>
      <c r="U14" s="28" t="s">
        <v>9</v>
      </c>
      <c r="V14" s="28">
        <v>42</v>
      </c>
      <c r="W14" s="28">
        <v>49</v>
      </c>
      <c r="X14" s="28">
        <v>1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52">
        <f t="shared" si="0"/>
        <v>702</v>
      </c>
    </row>
    <row r="15" spans="3:36" ht="12.95" customHeight="1">
      <c r="C15" s="25">
        <v>10</v>
      </c>
      <c r="D15" s="26" t="s">
        <v>31</v>
      </c>
      <c r="E15" s="27">
        <v>50</v>
      </c>
      <c r="F15" s="28" t="s">
        <v>9</v>
      </c>
      <c r="G15" s="28" t="s">
        <v>9</v>
      </c>
      <c r="H15" s="28">
        <v>2</v>
      </c>
      <c r="I15" s="28">
        <v>7</v>
      </c>
      <c r="J15" s="28">
        <v>39</v>
      </c>
      <c r="K15" s="28">
        <v>73</v>
      </c>
      <c r="L15" s="28">
        <v>73</v>
      </c>
      <c r="M15" s="28">
        <v>20</v>
      </c>
      <c r="N15" s="28" t="s">
        <v>9</v>
      </c>
      <c r="O15" s="28">
        <v>70</v>
      </c>
      <c r="P15" s="28">
        <v>15</v>
      </c>
      <c r="Q15" s="28">
        <v>74</v>
      </c>
      <c r="R15" s="28" t="s">
        <v>9</v>
      </c>
      <c r="S15" s="28" t="s">
        <v>9</v>
      </c>
      <c r="T15" s="28" t="s">
        <v>9</v>
      </c>
      <c r="U15" s="28" t="s">
        <v>9</v>
      </c>
      <c r="V15" s="28">
        <v>61</v>
      </c>
      <c r="W15" s="28">
        <v>60</v>
      </c>
      <c r="X15" s="28">
        <v>41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52">
        <f t="shared" si="0"/>
        <v>535</v>
      </c>
    </row>
    <row r="16" spans="3:36" ht="12.95" customHeight="1">
      <c r="C16" s="25">
        <v>11</v>
      </c>
      <c r="D16" s="29" t="s">
        <v>33</v>
      </c>
      <c r="E16" s="27">
        <v>50</v>
      </c>
      <c r="F16" s="28"/>
      <c r="G16" s="28"/>
      <c r="H16" s="28"/>
      <c r="I16" s="28">
        <v>4</v>
      </c>
      <c r="J16" s="28">
        <v>37</v>
      </c>
      <c r="K16" s="28">
        <v>51</v>
      </c>
      <c r="L16" s="28">
        <v>4</v>
      </c>
      <c r="M16" s="28">
        <v>21</v>
      </c>
      <c r="N16" s="28" t="s">
        <v>9</v>
      </c>
      <c r="O16" s="28">
        <v>18</v>
      </c>
      <c r="P16" s="28">
        <v>25</v>
      </c>
      <c r="Q16" s="28">
        <v>10</v>
      </c>
      <c r="R16" s="28">
        <v>7</v>
      </c>
      <c r="S16" s="28">
        <v>10</v>
      </c>
      <c r="T16" s="28" t="s">
        <v>9</v>
      </c>
      <c r="U16" s="28">
        <v>41</v>
      </c>
      <c r="V16" s="28" t="s">
        <v>9</v>
      </c>
      <c r="W16" s="28">
        <v>16</v>
      </c>
      <c r="X16" s="28" t="s">
        <v>9</v>
      </c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52">
        <f t="shared" si="0"/>
        <v>244</v>
      </c>
    </row>
    <row r="17" spans="3:36" ht="12.95" customHeight="1">
      <c r="C17" s="25">
        <v>12</v>
      </c>
      <c r="D17" s="30" t="s">
        <v>48</v>
      </c>
      <c r="E17" s="31">
        <v>50</v>
      </c>
      <c r="F17" s="28" t="s">
        <v>9</v>
      </c>
      <c r="G17" s="28" t="s">
        <v>9</v>
      </c>
      <c r="H17" s="28">
        <v>7</v>
      </c>
      <c r="I17" s="28">
        <v>42</v>
      </c>
      <c r="J17" s="28">
        <v>23</v>
      </c>
      <c r="K17" s="28" t="s">
        <v>9</v>
      </c>
      <c r="L17" s="28">
        <v>28</v>
      </c>
      <c r="M17" s="28" t="s">
        <v>9</v>
      </c>
      <c r="N17" s="28" t="s">
        <v>9</v>
      </c>
      <c r="O17" s="28">
        <v>36</v>
      </c>
      <c r="P17" s="28">
        <v>4</v>
      </c>
      <c r="Q17" s="28">
        <v>8</v>
      </c>
      <c r="R17" s="28">
        <v>4</v>
      </c>
      <c r="S17" s="28">
        <v>8</v>
      </c>
      <c r="T17" s="28" t="s">
        <v>9</v>
      </c>
      <c r="U17" s="28">
        <v>4</v>
      </c>
      <c r="V17" s="28">
        <v>25</v>
      </c>
      <c r="W17" s="28">
        <v>5</v>
      </c>
      <c r="X17" s="28">
        <v>5</v>
      </c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52">
        <f t="shared" si="0"/>
        <v>199</v>
      </c>
    </row>
    <row r="18" spans="3:36" ht="12.95" customHeight="1">
      <c r="C18" s="32"/>
      <c r="D18" s="32"/>
      <c r="E18" s="32"/>
      <c r="F18" s="33" t="s">
        <v>9</v>
      </c>
      <c r="G18" s="33" t="s">
        <v>9</v>
      </c>
      <c r="H18" s="33" t="s">
        <v>9</v>
      </c>
      <c r="I18" s="33" t="s">
        <v>9</v>
      </c>
      <c r="J18" s="33" t="s">
        <v>9</v>
      </c>
      <c r="K18" s="33" t="s">
        <v>9</v>
      </c>
      <c r="L18" s="33" t="s">
        <v>9</v>
      </c>
      <c r="M18" s="33" t="s">
        <v>9</v>
      </c>
      <c r="N18" s="33" t="s">
        <v>9</v>
      </c>
      <c r="O18" s="33" t="s">
        <v>9</v>
      </c>
      <c r="P18" s="33" t="s">
        <v>9</v>
      </c>
      <c r="Q18" s="33" t="s">
        <v>9</v>
      </c>
      <c r="R18" s="33" t="s">
        <v>9</v>
      </c>
      <c r="S18" s="33" t="s">
        <v>9</v>
      </c>
      <c r="T18" t="s">
        <v>9</v>
      </c>
      <c r="U18" s="33" t="s">
        <v>9</v>
      </c>
      <c r="V18" s="33" t="s">
        <v>9</v>
      </c>
      <c r="W18" s="103" t="s">
        <v>9</v>
      </c>
      <c r="X18" s="33" t="s">
        <v>9</v>
      </c>
      <c r="Y18" s="49"/>
      <c r="Z18" s="49"/>
      <c r="AA18" s="50"/>
      <c r="AB18" s="49"/>
      <c r="AC18" s="49"/>
      <c r="AD18" s="49"/>
      <c r="AE18" s="49"/>
      <c r="AF18" s="49"/>
      <c r="AG18" s="49"/>
      <c r="AH18" s="49"/>
      <c r="AI18" s="49"/>
      <c r="AJ18" s="52">
        <f t="shared" si="0"/>
        <v>0</v>
      </c>
    </row>
    <row r="19" spans="3:36" ht="12.95" customHeight="1">
      <c r="C19" s="25">
        <v>1</v>
      </c>
      <c r="D19" s="34" t="s">
        <v>49</v>
      </c>
      <c r="E19" s="35">
        <v>50</v>
      </c>
      <c r="F19" s="28">
        <v>29</v>
      </c>
      <c r="G19" s="28" t="s">
        <v>9</v>
      </c>
      <c r="H19" s="28">
        <v>77</v>
      </c>
      <c r="I19" s="28">
        <v>4</v>
      </c>
      <c r="J19" s="28">
        <v>117</v>
      </c>
      <c r="K19" s="28">
        <v>83</v>
      </c>
      <c r="L19" s="28">
        <v>51</v>
      </c>
      <c r="M19" s="28">
        <v>75</v>
      </c>
      <c r="N19" s="28" t="s">
        <v>9</v>
      </c>
      <c r="O19" s="28">
        <v>55</v>
      </c>
      <c r="P19" s="28">
        <v>49</v>
      </c>
      <c r="Q19" s="28">
        <v>160</v>
      </c>
      <c r="R19" s="28">
        <v>95</v>
      </c>
      <c r="S19" s="28">
        <v>117</v>
      </c>
      <c r="T19" s="28">
        <v>83</v>
      </c>
      <c r="U19" s="28" t="s">
        <v>9</v>
      </c>
      <c r="V19" s="28">
        <v>41</v>
      </c>
      <c r="W19" s="28">
        <v>123</v>
      </c>
      <c r="X19" s="28">
        <v>76</v>
      </c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52">
        <f t="shared" si="0"/>
        <v>1235</v>
      </c>
    </row>
    <row r="20" spans="3:36" ht="12.95" customHeight="1">
      <c r="C20" s="25">
        <v>2</v>
      </c>
      <c r="D20" s="34" t="s">
        <v>41</v>
      </c>
      <c r="E20" s="35">
        <v>50</v>
      </c>
      <c r="F20" s="28">
        <v>2</v>
      </c>
      <c r="G20" s="28" t="s">
        <v>9</v>
      </c>
      <c r="H20" s="28" t="s">
        <v>9</v>
      </c>
      <c r="I20" s="28" t="s">
        <v>9</v>
      </c>
      <c r="J20" s="28">
        <v>4</v>
      </c>
      <c r="K20" s="28">
        <v>22</v>
      </c>
      <c r="L20" s="28">
        <v>1</v>
      </c>
      <c r="M20" s="28">
        <v>11</v>
      </c>
      <c r="N20" s="28" t="s">
        <v>9</v>
      </c>
      <c r="O20" s="28">
        <v>9</v>
      </c>
      <c r="P20" s="28">
        <v>25</v>
      </c>
      <c r="Q20" s="28">
        <v>17</v>
      </c>
      <c r="R20" s="28" t="s">
        <v>9</v>
      </c>
      <c r="S20" s="28">
        <v>1</v>
      </c>
      <c r="T20" s="28">
        <v>1</v>
      </c>
      <c r="U20" s="28" t="s">
        <v>9</v>
      </c>
      <c r="V20" s="28">
        <v>35</v>
      </c>
      <c r="W20" s="28">
        <v>28</v>
      </c>
      <c r="X20" s="28">
        <v>17</v>
      </c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52">
        <f t="shared" si="0"/>
        <v>173</v>
      </c>
    </row>
    <row r="21" spans="3:36" ht="12.95" customHeight="1">
      <c r="C21" s="25">
        <v>3</v>
      </c>
      <c r="D21" s="34" t="s">
        <v>44</v>
      </c>
      <c r="E21" s="35">
        <v>50</v>
      </c>
      <c r="F21" s="28" t="s">
        <v>9</v>
      </c>
      <c r="G21" s="28">
        <v>1</v>
      </c>
      <c r="H21" s="28">
        <v>21</v>
      </c>
      <c r="I21" s="28" t="s">
        <v>9</v>
      </c>
      <c r="J21" s="28">
        <v>33</v>
      </c>
      <c r="K21" s="28">
        <v>41</v>
      </c>
      <c r="L21" s="28">
        <v>61</v>
      </c>
      <c r="M21" s="28">
        <v>73</v>
      </c>
      <c r="N21" s="28">
        <v>5</v>
      </c>
      <c r="O21" s="28">
        <v>1</v>
      </c>
      <c r="P21" s="28">
        <v>7</v>
      </c>
      <c r="Q21" s="28">
        <v>72</v>
      </c>
      <c r="R21" s="28">
        <v>21</v>
      </c>
      <c r="S21" s="28">
        <v>4</v>
      </c>
      <c r="T21" s="28">
        <v>1</v>
      </c>
      <c r="U21" s="28" t="s">
        <v>9</v>
      </c>
      <c r="V21" s="28">
        <v>61</v>
      </c>
      <c r="W21" s="28">
        <v>51</v>
      </c>
      <c r="X21" s="28" t="s">
        <v>9</v>
      </c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52">
        <f t="shared" si="0"/>
        <v>453</v>
      </c>
    </row>
    <row r="22" spans="3:36" ht="12.95" customHeight="1">
      <c r="C22" s="25">
        <v>4</v>
      </c>
      <c r="D22" s="34" t="s">
        <v>35</v>
      </c>
      <c r="E22" s="35">
        <v>50</v>
      </c>
      <c r="F22" s="28" t="s">
        <v>9</v>
      </c>
      <c r="G22" s="28" t="s">
        <v>9</v>
      </c>
      <c r="H22" s="28">
        <v>1</v>
      </c>
      <c r="I22" s="28" t="s">
        <v>9</v>
      </c>
      <c r="J22" s="28" t="s">
        <v>9</v>
      </c>
      <c r="K22" s="28" t="s">
        <v>9</v>
      </c>
      <c r="L22" s="28">
        <v>84</v>
      </c>
      <c r="M22" s="28">
        <v>2</v>
      </c>
      <c r="N22" s="28" t="s">
        <v>9</v>
      </c>
      <c r="O22" s="28">
        <v>21</v>
      </c>
      <c r="P22" s="28">
        <v>3</v>
      </c>
      <c r="Q22" s="28" t="s">
        <v>9</v>
      </c>
      <c r="R22" s="28" t="s">
        <v>9</v>
      </c>
      <c r="S22" s="28" t="s">
        <v>9</v>
      </c>
      <c r="T22" s="28" t="s">
        <v>9</v>
      </c>
      <c r="U22" s="28" t="s">
        <v>9</v>
      </c>
      <c r="V22" s="28">
        <v>9</v>
      </c>
      <c r="W22" s="28">
        <v>52</v>
      </c>
      <c r="X22" s="28" t="s">
        <v>9</v>
      </c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52">
        <f t="shared" si="0"/>
        <v>172</v>
      </c>
    </row>
    <row r="23" spans="3:36" ht="12.95" customHeight="1">
      <c r="C23" s="25">
        <v>5</v>
      </c>
      <c r="D23" s="34" t="s">
        <v>50</v>
      </c>
      <c r="E23" s="35">
        <v>50</v>
      </c>
      <c r="F23" s="28" t="s">
        <v>9</v>
      </c>
      <c r="G23" s="28" t="s">
        <v>9</v>
      </c>
      <c r="H23" s="28" t="s">
        <v>9</v>
      </c>
      <c r="I23" s="28" t="s">
        <v>9</v>
      </c>
      <c r="J23" s="28" t="s">
        <v>9</v>
      </c>
      <c r="K23" s="28" t="s">
        <v>9</v>
      </c>
      <c r="L23" s="28" t="s">
        <v>9</v>
      </c>
      <c r="M23" s="28" t="s">
        <v>9</v>
      </c>
      <c r="N23" s="28" t="s">
        <v>9</v>
      </c>
      <c r="O23" s="28" t="s">
        <v>9</v>
      </c>
      <c r="P23" s="28" t="s">
        <v>9</v>
      </c>
      <c r="Q23" s="28" t="s">
        <v>9</v>
      </c>
      <c r="R23" s="28" t="s">
        <v>9</v>
      </c>
      <c r="S23" s="28" t="s">
        <v>9</v>
      </c>
      <c r="T23" s="28">
        <v>1</v>
      </c>
      <c r="U23" s="28" t="s">
        <v>9</v>
      </c>
      <c r="V23" s="28" t="s">
        <v>9</v>
      </c>
      <c r="W23" s="28" t="s">
        <v>9</v>
      </c>
      <c r="X23" s="28" t="s">
        <v>9</v>
      </c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52">
        <f t="shared" si="0"/>
        <v>1</v>
      </c>
    </row>
    <row r="24" spans="3:36" ht="12.95" customHeight="1">
      <c r="C24" s="25">
        <v>2</v>
      </c>
      <c r="D24" s="34" t="s">
        <v>46</v>
      </c>
      <c r="E24" s="35">
        <v>50</v>
      </c>
      <c r="F24" s="28" t="s">
        <v>9</v>
      </c>
      <c r="G24" s="28" t="s">
        <v>9</v>
      </c>
      <c r="H24" s="28">
        <v>3</v>
      </c>
      <c r="I24" s="28" t="s">
        <v>9</v>
      </c>
      <c r="J24" s="28">
        <v>1</v>
      </c>
      <c r="K24" s="28">
        <v>7</v>
      </c>
      <c r="L24" s="28">
        <v>3</v>
      </c>
      <c r="M24" s="28" t="s">
        <v>9</v>
      </c>
      <c r="N24" s="28" t="s">
        <v>9</v>
      </c>
      <c r="O24" s="28">
        <v>52</v>
      </c>
      <c r="P24" s="28">
        <v>2</v>
      </c>
      <c r="Q24" s="28">
        <v>59</v>
      </c>
      <c r="R24" s="28">
        <v>7</v>
      </c>
      <c r="S24" s="28">
        <v>59</v>
      </c>
      <c r="T24" s="28">
        <v>1</v>
      </c>
      <c r="U24" s="28" t="s">
        <v>9</v>
      </c>
      <c r="V24" s="28">
        <v>19</v>
      </c>
      <c r="W24" s="28">
        <v>93</v>
      </c>
      <c r="X24" s="28">
        <v>3</v>
      </c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52">
        <f t="shared" si="0"/>
        <v>309</v>
      </c>
    </row>
    <row r="25" spans="3:36" ht="12.95" customHeight="1">
      <c r="C25" s="32"/>
      <c r="D25" s="32"/>
      <c r="E25" s="32"/>
      <c r="F25" s="33" t="s">
        <v>9</v>
      </c>
      <c r="G25" s="33" t="s">
        <v>9</v>
      </c>
      <c r="H25" s="33" t="s">
        <v>9</v>
      </c>
      <c r="I25" s="33" t="s">
        <v>9</v>
      </c>
      <c r="J25" s="33" t="s">
        <v>9</v>
      </c>
      <c r="K25" s="33" t="s">
        <v>9</v>
      </c>
      <c r="L25" s="33" t="s">
        <v>9</v>
      </c>
      <c r="M25" s="33" t="s">
        <v>9</v>
      </c>
      <c r="N25" s="33" t="s">
        <v>9</v>
      </c>
      <c r="O25" s="33" t="s">
        <v>9</v>
      </c>
      <c r="P25" s="33" t="s">
        <v>9</v>
      </c>
      <c r="Q25" s="33" t="s">
        <v>9</v>
      </c>
      <c r="R25" s="33" t="s">
        <v>9</v>
      </c>
      <c r="S25" s="33" t="s">
        <v>9</v>
      </c>
      <c r="T25" t="s">
        <v>9</v>
      </c>
      <c r="U25" s="33" t="s">
        <v>9</v>
      </c>
      <c r="V25" s="33" t="s">
        <v>9</v>
      </c>
      <c r="W25" s="103" t="s">
        <v>9</v>
      </c>
      <c r="X25" s="33" t="s">
        <v>9</v>
      </c>
      <c r="Y25" s="49"/>
      <c r="Z25" s="49"/>
      <c r="AA25" s="50"/>
      <c r="AB25" s="49"/>
      <c r="AC25" s="49"/>
      <c r="AD25" s="49"/>
      <c r="AE25" s="49"/>
      <c r="AF25" s="49"/>
      <c r="AG25" s="49"/>
      <c r="AH25" s="49"/>
      <c r="AI25" s="49"/>
      <c r="AJ25" s="52">
        <f t="shared" si="0"/>
        <v>0</v>
      </c>
    </row>
    <row r="26" spans="3:36" ht="12.95" customHeight="1">
      <c r="C26" s="25">
        <v>2</v>
      </c>
      <c r="D26" s="36" t="s">
        <v>37</v>
      </c>
      <c r="E26" s="37">
        <v>15</v>
      </c>
      <c r="F26" s="28" t="s">
        <v>9</v>
      </c>
      <c r="G26" s="28" t="s">
        <v>9</v>
      </c>
      <c r="H26" s="28" t="s">
        <v>9</v>
      </c>
      <c r="I26" s="28">
        <v>1</v>
      </c>
      <c r="J26" s="28" t="s">
        <v>9</v>
      </c>
      <c r="K26" s="28" t="s">
        <v>9</v>
      </c>
      <c r="L26" s="28">
        <v>19</v>
      </c>
      <c r="M26" s="28" t="s">
        <v>9</v>
      </c>
      <c r="N26" s="28">
        <v>4</v>
      </c>
      <c r="O26" s="28">
        <v>2</v>
      </c>
      <c r="P26" s="28" t="s">
        <v>9</v>
      </c>
      <c r="Q26" s="28" t="s">
        <v>9</v>
      </c>
      <c r="R26" s="28" t="s">
        <v>9</v>
      </c>
      <c r="S26" s="28" t="s">
        <v>9</v>
      </c>
      <c r="T26" s="28" t="s">
        <v>9</v>
      </c>
      <c r="U26" s="28" t="s">
        <v>9</v>
      </c>
      <c r="V26" s="28" t="s">
        <v>9</v>
      </c>
      <c r="W26" s="28" t="s">
        <v>9</v>
      </c>
      <c r="X26" s="28" t="s">
        <v>9</v>
      </c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52">
        <f t="shared" si="0"/>
        <v>26</v>
      </c>
    </row>
    <row r="27" spans="3:36" ht="12.95" customHeight="1">
      <c r="C27" s="25">
        <v>3</v>
      </c>
      <c r="D27" s="36" t="s">
        <v>40</v>
      </c>
      <c r="E27" s="37">
        <v>15</v>
      </c>
      <c r="F27" s="28" t="s">
        <v>9</v>
      </c>
      <c r="G27" s="28" t="s">
        <v>9</v>
      </c>
      <c r="H27" s="28" t="s">
        <v>9</v>
      </c>
      <c r="I27" s="28">
        <v>16</v>
      </c>
      <c r="J27" s="28" t="s">
        <v>9</v>
      </c>
      <c r="K27" s="28" t="s">
        <v>9</v>
      </c>
      <c r="L27" s="28" t="s">
        <v>9</v>
      </c>
      <c r="M27" s="28" t="s">
        <v>9</v>
      </c>
      <c r="N27" s="28" t="s">
        <v>9</v>
      </c>
      <c r="O27" s="28">
        <v>35</v>
      </c>
      <c r="P27" s="28" t="s">
        <v>9</v>
      </c>
      <c r="Q27" s="28" t="s">
        <v>9</v>
      </c>
      <c r="R27" s="28" t="s">
        <v>9</v>
      </c>
      <c r="S27" s="28" t="s">
        <v>9</v>
      </c>
      <c r="T27" s="28" t="s">
        <v>9</v>
      </c>
      <c r="U27" s="28" t="s">
        <v>9</v>
      </c>
      <c r="V27" s="28" t="s">
        <v>9</v>
      </c>
      <c r="W27" s="28" t="s">
        <v>9</v>
      </c>
      <c r="X27" s="28" t="s">
        <v>9</v>
      </c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52">
        <f t="shared" si="0"/>
        <v>51</v>
      </c>
    </row>
    <row r="28" spans="3:36" ht="12.95" customHeight="1">
      <c r="C28" s="25">
        <v>4</v>
      </c>
      <c r="D28" s="36" t="s">
        <v>43</v>
      </c>
      <c r="E28" s="37">
        <v>15</v>
      </c>
      <c r="F28" s="28" t="s">
        <v>9</v>
      </c>
      <c r="G28" s="28">
        <v>5</v>
      </c>
      <c r="H28" s="28">
        <v>17</v>
      </c>
      <c r="I28" s="28" t="s">
        <v>9</v>
      </c>
      <c r="J28" s="28">
        <v>17</v>
      </c>
      <c r="K28" s="28" t="s">
        <v>9</v>
      </c>
      <c r="L28" s="28">
        <v>5</v>
      </c>
      <c r="M28" s="28">
        <v>1</v>
      </c>
      <c r="N28" s="28">
        <v>10</v>
      </c>
      <c r="O28" s="28" t="s">
        <v>9</v>
      </c>
      <c r="P28" s="28" t="s">
        <v>9</v>
      </c>
      <c r="Q28" s="28" t="s">
        <v>9</v>
      </c>
      <c r="R28" s="28" t="s">
        <v>9</v>
      </c>
      <c r="S28" s="28" t="s">
        <v>9</v>
      </c>
      <c r="T28" s="28" t="s">
        <v>9</v>
      </c>
      <c r="U28" s="28" t="s">
        <v>9</v>
      </c>
      <c r="V28" s="28" t="s">
        <v>9</v>
      </c>
      <c r="W28" s="28" t="s">
        <v>9</v>
      </c>
      <c r="X28" s="28" t="s">
        <v>9</v>
      </c>
      <c r="Y28" s="49"/>
      <c r="Z28" s="49"/>
      <c r="AA28" s="51"/>
      <c r="AB28" s="49"/>
      <c r="AC28" s="49"/>
      <c r="AD28" s="49"/>
      <c r="AE28" s="49"/>
      <c r="AF28" s="49"/>
      <c r="AG28" s="49"/>
      <c r="AH28" s="49"/>
      <c r="AI28" s="49"/>
      <c r="AJ28" s="52">
        <f t="shared" si="0"/>
        <v>55</v>
      </c>
    </row>
    <row r="29" spans="3:36" ht="12.95" customHeight="1">
      <c r="C29" s="25">
        <v>5</v>
      </c>
      <c r="D29" s="36" t="s">
        <v>45</v>
      </c>
      <c r="E29" s="37">
        <v>15</v>
      </c>
      <c r="F29" s="28" t="s">
        <v>9</v>
      </c>
      <c r="G29" s="28">
        <v>1</v>
      </c>
      <c r="H29" s="28">
        <v>18</v>
      </c>
      <c r="I29" s="28" t="s">
        <v>9</v>
      </c>
      <c r="J29" s="28" t="s">
        <v>9</v>
      </c>
      <c r="K29" s="28">
        <v>33</v>
      </c>
      <c r="L29" s="28">
        <v>4</v>
      </c>
      <c r="M29" s="28">
        <v>2</v>
      </c>
      <c r="N29" s="28" t="s">
        <v>9</v>
      </c>
      <c r="O29" s="28" t="s">
        <v>9</v>
      </c>
      <c r="P29" s="28" t="s">
        <v>9</v>
      </c>
      <c r="Q29" s="28" t="s">
        <v>9</v>
      </c>
      <c r="R29" s="28" t="s">
        <v>9</v>
      </c>
      <c r="S29" s="28">
        <v>21</v>
      </c>
      <c r="T29" s="28" t="s">
        <v>9</v>
      </c>
      <c r="U29" s="28" t="s">
        <v>9</v>
      </c>
      <c r="V29" s="28">
        <v>3</v>
      </c>
      <c r="W29" s="28" t="s">
        <v>9</v>
      </c>
      <c r="X29" s="28" t="s">
        <v>9</v>
      </c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52">
        <f t="shared" si="0"/>
        <v>82</v>
      </c>
    </row>
    <row r="30" spans="3:36" ht="12.95" customHeight="1">
      <c r="C30" s="25">
        <v>6</v>
      </c>
      <c r="D30" s="36" t="s">
        <v>47</v>
      </c>
      <c r="E30" s="37">
        <v>15</v>
      </c>
      <c r="F30" s="28" t="s">
        <v>9</v>
      </c>
      <c r="G30" s="28" t="s">
        <v>9</v>
      </c>
      <c r="H30" s="28" t="s">
        <v>9</v>
      </c>
      <c r="I30" s="28" t="s">
        <v>9</v>
      </c>
      <c r="J30" s="28" t="s">
        <v>9</v>
      </c>
      <c r="K30" s="28" t="s">
        <v>9</v>
      </c>
      <c r="L30" s="28" t="s">
        <v>9</v>
      </c>
      <c r="M30" s="28" t="s">
        <v>9</v>
      </c>
      <c r="N30" s="28" t="s">
        <v>9</v>
      </c>
      <c r="O30" s="28" t="s">
        <v>9</v>
      </c>
      <c r="P30" s="28" t="s">
        <v>9</v>
      </c>
      <c r="Q30" s="28" t="s">
        <v>9</v>
      </c>
      <c r="R30" s="28" t="s">
        <v>9</v>
      </c>
      <c r="S30" s="28" t="s">
        <v>9</v>
      </c>
      <c r="T30" s="28" t="s">
        <v>9</v>
      </c>
      <c r="U30" s="28" t="s">
        <v>9</v>
      </c>
      <c r="V30" s="28" t="s">
        <v>9</v>
      </c>
      <c r="W30" s="28" t="s">
        <v>9</v>
      </c>
      <c r="X30" s="28" t="s">
        <v>9</v>
      </c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52">
        <f t="shared" si="0"/>
        <v>0</v>
      </c>
    </row>
    <row r="31" spans="3:36" ht="12.95" customHeight="1">
      <c r="C31" s="25">
        <v>7</v>
      </c>
      <c r="D31" s="38" t="s">
        <v>51</v>
      </c>
      <c r="E31" s="39">
        <v>15</v>
      </c>
      <c r="F31" s="28">
        <v>2</v>
      </c>
      <c r="G31" s="28" t="s">
        <v>9</v>
      </c>
      <c r="H31" s="28" t="s">
        <v>9</v>
      </c>
      <c r="I31" s="28">
        <v>22</v>
      </c>
      <c r="J31" s="28" t="s">
        <v>61</v>
      </c>
      <c r="K31" s="28" t="s">
        <v>9</v>
      </c>
      <c r="L31" s="28" t="s">
        <v>9</v>
      </c>
      <c r="M31" s="28">
        <v>48</v>
      </c>
      <c r="N31" s="28" t="s">
        <v>9</v>
      </c>
      <c r="O31" s="28">
        <v>2</v>
      </c>
      <c r="P31" s="28" t="s">
        <v>9</v>
      </c>
      <c r="Q31" s="28" t="s">
        <v>9</v>
      </c>
      <c r="R31" s="28">
        <v>1</v>
      </c>
      <c r="S31" s="28" t="s">
        <v>9</v>
      </c>
      <c r="T31" s="28">
        <v>15</v>
      </c>
      <c r="U31" s="28" t="s">
        <v>9</v>
      </c>
      <c r="V31" s="28" t="s">
        <v>9</v>
      </c>
      <c r="W31" s="28" t="s">
        <v>9</v>
      </c>
      <c r="X31" s="28" t="s">
        <v>9</v>
      </c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52">
        <f t="shared" si="0"/>
        <v>90</v>
      </c>
    </row>
    <row r="32" spans="3:36" ht="12.95" customHeight="1">
      <c r="C32" s="32"/>
      <c r="D32" s="32"/>
      <c r="E32" s="32"/>
      <c r="F32" s="33" t="s">
        <v>9</v>
      </c>
      <c r="G32" s="33" t="s">
        <v>9</v>
      </c>
      <c r="H32" s="33" t="s">
        <v>9</v>
      </c>
      <c r="I32" s="33" t="s">
        <v>9</v>
      </c>
      <c r="J32" s="33" t="s">
        <v>9</v>
      </c>
      <c r="K32" s="33" t="s">
        <v>9</v>
      </c>
      <c r="L32" s="33" t="s">
        <v>9</v>
      </c>
      <c r="M32" s="33" t="s">
        <v>9</v>
      </c>
      <c r="N32" s="33" t="s">
        <v>9</v>
      </c>
      <c r="O32" s="33" t="s">
        <v>9</v>
      </c>
      <c r="P32" s="33" t="s">
        <v>9</v>
      </c>
      <c r="Q32" s="33" t="s">
        <v>9</v>
      </c>
      <c r="R32" s="33" t="s">
        <v>9</v>
      </c>
      <c r="S32" s="33" t="s">
        <v>9</v>
      </c>
      <c r="T32" t="s">
        <v>9</v>
      </c>
      <c r="U32" s="33" t="s">
        <v>9</v>
      </c>
      <c r="V32" s="33" t="s">
        <v>9</v>
      </c>
      <c r="W32" s="103" t="s">
        <v>9</v>
      </c>
      <c r="X32" s="33" t="s">
        <v>9</v>
      </c>
      <c r="Y32" s="49"/>
      <c r="Z32" s="49"/>
      <c r="AA32" s="50"/>
      <c r="AB32" s="49"/>
      <c r="AC32" s="49"/>
      <c r="AD32" s="49"/>
      <c r="AE32" s="49"/>
      <c r="AF32" s="49"/>
      <c r="AG32" s="49"/>
      <c r="AH32" s="49"/>
      <c r="AI32" s="49"/>
      <c r="AJ32" s="52">
        <f t="shared" si="0"/>
        <v>0</v>
      </c>
    </row>
    <row r="33" spans="3:36" ht="12.95" customHeight="1">
      <c r="C33" s="25">
        <v>1</v>
      </c>
      <c r="D33" s="40" t="s">
        <v>52</v>
      </c>
      <c r="E33" s="41">
        <v>15</v>
      </c>
      <c r="F33" s="28">
        <v>5</v>
      </c>
      <c r="G33" s="28" t="s">
        <v>9</v>
      </c>
      <c r="H33" s="28">
        <v>4</v>
      </c>
      <c r="I33" s="28">
        <v>8</v>
      </c>
      <c r="J33" s="28">
        <v>6</v>
      </c>
      <c r="K33" s="28">
        <v>4</v>
      </c>
      <c r="L33" s="28">
        <v>2</v>
      </c>
      <c r="M33" s="28">
        <v>8</v>
      </c>
      <c r="N33" s="28">
        <v>3</v>
      </c>
      <c r="O33" s="28">
        <v>39</v>
      </c>
      <c r="P33" s="28">
        <v>16</v>
      </c>
      <c r="Q33" s="28">
        <v>9</v>
      </c>
      <c r="R33" s="28">
        <v>4</v>
      </c>
      <c r="S33" s="28">
        <v>3</v>
      </c>
      <c r="T33" s="28">
        <v>4</v>
      </c>
      <c r="U33" s="28" t="s">
        <v>9</v>
      </c>
      <c r="V33" s="28">
        <v>6</v>
      </c>
      <c r="W33" s="28">
        <v>9</v>
      </c>
      <c r="X33" s="28">
        <v>3</v>
      </c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52">
        <f t="shared" si="0"/>
        <v>133</v>
      </c>
    </row>
    <row r="34" spans="3:36" ht="12.95" customHeight="1">
      <c r="C34" s="25">
        <v>2</v>
      </c>
      <c r="D34" s="40" t="s">
        <v>53</v>
      </c>
      <c r="E34" s="41">
        <v>15</v>
      </c>
      <c r="F34" s="28">
        <v>19</v>
      </c>
      <c r="G34" s="28" t="s">
        <v>9</v>
      </c>
      <c r="H34" s="28">
        <v>22</v>
      </c>
      <c r="I34" s="28">
        <v>5</v>
      </c>
      <c r="J34" s="28">
        <v>32</v>
      </c>
      <c r="K34" s="28" t="s">
        <v>9</v>
      </c>
      <c r="L34" s="28">
        <v>47</v>
      </c>
      <c r="M34" s="28">
        <v>5</v>
      </c>
      <c r="N34" s="28">
        <v>6</v>
      </c>
      <c r="O34" s="28">
        <v>1</v>
      </c>
      <c r="P34" s="28" t="s">
        <v>9</v>
      </c>
      <c r="Q34" s="28">
        <v>26</v>
      </c>
      <c r="R34" s="28" t="s">
        <v>9</v>
      </c>
      <c r="S34" s="28" t="s">
        <v>9</v>
      </c>
      <c r="T34" s="28" t="s">
        <v>9</v>
      </c>
      <c r="U34" s="28">
        <v>2</v>
      </c>
      <c r="V34" s="28">
        <v>5</v>
      </c>
      <c r="W34" s="28" t="s">
        <v>9</v>
      </c>
      <c r="X34" s="28" t="s">
        <v>9</v>
      </c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52">
        <f t="shared" si="0"/>
        <v>170</v>
      </c>
    </row>
    <row r="35" spans="3:36" ht="12.95" customHeight="1">
      <c r="C35" s="25">
        <v>3</v>
      </c>
      <c r="D35" s="40" t="s">
        <v>54</v>
      </c>
      <c r="E35" s="41">
        <v>15</v>
      </c>
      <c r="F35" s="28" t="s">
        <v>9</v>
      </c>
      <c r="G35" s="28">
        <v>20</v>
      </c>
      <c r="H35" s="28">
        <v>32</v>
      </c>
      <c r="I35" s="28">
        <v>17</v>
      </c>
      <c r="J35" s="28">
        <v>16</v>
      </c>
      <c r="K35" s="28" t="s">
        <v>9</v>
      </c>
      <c r="L35" s="28" t="s">
        <v>9</v>
      </c>
      <c r="M35" s="28" t="s">
        <v>9</v>
      </c>
      <c r="N35" s="28">
        <v>4</v>
      </c>
      <c r="O35" s="28" t="s">
        <v>9</v>
      </c>
      <c r="P35" s="28">
        <v>8</v>
      </c>
      <c r="Q35" s="28">
        <v>21</v>
      </c>
      <c r="R35" s="28" t="s">
        <v>9</v>
      </c>
      <c r="S35" s="28" t="s">
        <v>9</v>
      </c>
      <c r="T35" s="28">
        <v>22</v>
      </c>
      <c r="U35" s="28">
        <v>31</v>
      </c>
      <c r="V35" s="28" t="s">
        <v>9</v>
      </c>
      <c r="W35" s="28" t="s">
        <v>9</v>
      </c>
      <c r="X35" s="28" t="s">
        <v>9</v>
      </c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52">
        <f t="shared" si="0"/>
        <v>171</v>
      </c>
    </row>
    <row r="36" spans="3:36" ht="12.95" customHeight="1">
      <c r="C36" s="25">
        <v>4</v>
      </c>
      <c r="D36" s="40" t="s">
        <v>55</v>
      </c>
      <c r="E36" s="41">
        <v>15</v>
      </c>
      <c r="F36" s="28" t="s">
        <v>9</v>
      </c>
      <c r="G36" s="28" t="s">
        <v>9</v>
      </c>
      <c r="H36" s="28">
        <v>2</v>
      </c>
      <c r="I36" s="28">
        <v>1</v>
      </c>
      <c r="J36" s="28">
        <v>2</v>
      </c>
      <c r="K36" s="28" t="s">
        <v>9</v>
      </c>
      <c r="L36" s="28">
        <v>27</v>
      </c>
      <c r="M36" s="28" t="s">
        <v>9</v>
      </c>
      <c r="N36" s="28">
        <v>9</v>
      </c>
      <c r="O36" s="28" t="s">
        <v>9</v>
      </c>
      <c r="P36" s="28" t="s">
        <v>9</v>
      </c>
      <c r="Q36" s="28">
        <v>1</v>
      </c>
      <c r="R36" s="28" t="s">
        <v>9</v>
      </c>
      <c r="S36" s="28">
        <v>3</v>
      </c>
      <c r="T36" s="28" t="s">
        <v>9</v>
      </c>
      <c r="U36" s="28" t="s">
        <v>9</v>
      </c>
      <c r="V36" s="28">
        <v>1</v>
      </c>
      <c r="W36" s="28" t="s">
        <v>9</v>
      </c>
      <c r="X36" s="28">
        <v>3</v>
      </c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52">
        <f t="shared" si="0"/>
        <v>49</v>
      </c>
    </row>
    <row r="37" spans="3:36" ht="12.95" customHeight="1">
      <c r="C37" s="25">
        <v>5</v>
      </c>
      <c r="D37" s="40" t="s">
        <v>56</v>
      </c>
      <c r="E37" s="41">
        <v>15</v>
      </c>
      <c r="F37" s="28">
        <v>5</v>
      </c>
      <c r="G37" s="28" t="s">
        <v>9</v>
      </c>
      <c r="H37" s="28">
        <v>4</v>
      </c>
      <c r="I37" s="28">
        <v>3</v>
      </c>
      <c r="J37" s="28">
        <v>1</v>
      </c>
      <c r="K37" s="28">
        <v>7</v>
      </c>
      <c r="L37" s="28">
        <v>6</v>
      </c>
      <c r="M37" s="28">
        <v>9</v>
      </c>
      <c r="N37" s="28" t="s">
        <v>9</v>
      </c>
      <c r="O37" s="28">
        <v>2</v>
      </c>
      <c r="P37" s="28">
        <v>37</v>
      </c>
      <c r="Q37" s="28">
        <v>17</v>
      </c>
      <c r="R37" s="28">
        <v>49</v>
      </c>
      <c r="S37" s="28">
        <v>22</v>
      </c>
      <c r="T37" s="28">
        <v>2</v>
      </c>
      <c r="U37" s="28" t="s">
        <v>9</v>
      </c>
      <c r="V37" s="28" t="s">
        <v>9</v>
      </c>
      <c r="W37" s="28">
        <v>3</v>
      </c>
      <c r="X37" s="28" t="s">
        <v>9</v>
      </c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52">
        <f t="shared" si="0"/>
        <v>167</v>
      </c>
    </row>
    <row r="38" spans="3:36" ht="12.95" customHeight="1">
      <c r="C38" s="32"/>
      <c r="D38" s="32"/>
      <c r="E38" s="32"/>
      <c r="F38" s="33" t="s">
        <v>9</v>
      </c>
      <c r="G38" s="33" t="s">
        <v>9</v>
      </c>
      <c r="H38" s="33" t="s">
        <v>9</v>
      </c>
      <c r="I38" s="33" t="s">
        <v>9</v>
      </c>
      <c r="J38" s="33" t="s">
        <v>9</v>
      </c>
      <c r="K38" s="33" t="s">
        <v>9</v>
      </c>
      <c r="L38" s="33" t="s">
        <v>9</v>
      </c>
      <c r="M38" s="33" t="s">
        <v>9</v>
      </c>
      <c r="N38" s="33" t="s">
        <v>9</v>
      </c>
      <c r="O38" s="33" t="s">
        <v>9</v>
      </c>
      <c r="P38" s="33" t="s">
        <v>9</v>
      </c>
      <c r="Q38" s="33" t="s">
        <v>9</v>
      </c>
      <c r="R38" s="33" t="s">
        <v>9</v>
      </c>
      <c r="S38" s="33" t="s">
        <v>9</v>
      </c>
      <c r="T38" t="s">
        <v>9</v>
      </c>
      <c r="U38" s="33" t="s">
        <v>9</v>
      </c>
      <c r="V38" s="33" t="s">
        <v>9</v>
      </c>
      <c r="W38" s="103" t="s">
        <v>9</v>
      </c>
      <c r="X38" s="33" t="s">
        <v>9</v>
      </c>
      <c r="Y38" s="49"/>
      <c r="Z38" s="49"/>
      <c r="AA38" s="50"/>
      <c r="AB38" s="49"/>
      <c r="AC38" s="49"/>
      <c r="AD38" s="49"/>
      <c r="AE38" s="49"/>
      <c r="AF38" s="49"/>
      <c r="AG38" s="49"/>
      <c r="AH38" s="49"/>
      <c r="AI38" s="49"/>
      <c r="AJ38" s="52">
        <f t="shared" si="0"/>
        <v>0</v>
      </c>
    </row>
    <row r="39" spans="3:36" ht="12.95" customHeight="1">
      <c r="C39" s="25">
        <v>1</v>
      </c>
      <c r="D39" s="40" t="s">
        <v>57</v>
      </c>
      <c r="E39" s="41">
        <v>15</v>
      </c>
      <c r="F39" s="28" t="s">
        <v>9</v>
      </c>
      <c r="G39" s="28" t="s">
        <v>9</v>
      </c>
      <c r="H39" s="28" t="s">
        <v>9</v>
      </c>
      <c r="I39" s="28" t="s">
        <v>9</v>
      </c>
      <c r="J39" s="28" t="s">
        <v>9</v>
      </c>
      <c r="K39" s="28" t="s">
        <v>9</v>
      </c>
      <c r="L39" s="28" t="s">
        <v>9</v>
      </c>
      <c r="M39" s="28" t="s">
        <v>9</v>
      </c>
      <c r="N39" s="28" t="s">
        <v>9</v>
      </c>
      <c r="O39" s="28" t="s">
        <v>9</v>
      </c>
      <c r="P39" s="28" t="s">
        <v>9</v>
      </c>
      <c r="Q39" s="28" t="s">
        <v>9</v>
      </c>
      <c r="R39" s="28" t="s">
        <v>9</v>
      </c>
      <c r="S39" s="28" t="s">
        <v>9</v>
      </c>
      <c r="T39" s="28" t="s">
        <v>9</v>
      </c>
      <c r="U39" s="28" t="s">
        <v>9</v>
      </c>
      <c r="V39" s="28" t="s">
        <v>9</v>
      </c>
      <c r="W39" s="28" t="s">
        <v>9</v>
      </c>
      <c r="X39" s="28" t="s">
        <v>9</v>
      </c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52">
        <f t="shared" si="0"/>
        <v>0</v>
      </c>
    </row>
    <row r="40" spans="3:36" ht="12.95" customHeight="1">
      <c r="C40" s="25">
        <v>2</v>
      </c>
      <c r="D40" s="40" t="s">
        <v>58</v>
      </c>
      <c r="E40" s="41">
        <v>50</v>
      </c>
      <c r="F40" s="28" t="s">
        <v>9</v>
      </c>
      <c r="G40" s="28" t="s">
        <v>9</v>
      </c>
      <c r="H40" s="28" t="s">
        <v>9</v>
      </c>
      <c r="I40" s="28" t="s">
        <v>9</v>
      </c>
      <c r="J40" s="28">
        <v>50</v>
      </c>
      <c r="K40" s="28">
        <v>50</v>
      </c>
      <c r="L40" s="28" t="s">
        <v>9</v>
      </c>
      <c r="M40" s="28" t="s">
        <v>9</v>
      </c>
      <c r="N40" s="28" t="s">
        <v>9</v>
      </c>
      <c r="O40" s="28">
        <v>52</v>
      </c>
      <c r="P40" s="28" t="s">
        <v>9</v>
      </c>
      <c r="Q40" s="28" t="s">
        <v>9</v>
      </c>
      <c r="R40" s="28">
        <v>55</v>
      </c>
      <c r="S40" s="28" t="s">
        <v>9</v>
      </c>
      <c r="T40" s="28" t="s">
        <v>9</v>
      </c>
      <c r="U40" s="28" t="s">
        <v>9</v>
      </c>
      <c r="V40" s="28" t="s">
        <v>9</v>
      </c>
      <c r="W40" s="28" t="s">
        <v>9</v>
      </c>
      <c r="X40" s="28" t="s">
        <v>9</v>
      </c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52">
        <f t="shared" si="0"/>
        <v>207</v>
      </c>
    </row>
    <row r="41" spans="3:36" ht="12.95" customHeight="1">
      <c r="C41" s="25">
        <v>3</v>
      </c>
      <c r="D41" s="40" t="s">
        <v>59</v>
      </c>
      <c r="E41" s="41">
        <v>50</v>
      </c>
      <c r="F41" s="28" t="s">
        <v>9</v>
      </c>
      <c r="G41" s="28" t="s">
        <v>9</v>
      </c>
      <c r="H41" s="28" t="s">
        <v>9</v>
      </c>
      <c r="I41" s="28" t="s">
        <v>9</v>
      </c>
      <c r="J41" s="28" t="s">
        <v>9</v>
      </c>
      <c r="K41" s="28" t="s">
        <v>9</v>
      </c>
      <c r="L41" s="28" t="s">
        <v>9</v>
      </c>
      <c r="M41" s="28" t="s">
        <v>9</v>
      </c>
      <c r="N41" s="28" t="s">
        <v>9</v>
      </c>
      <c r="O41" s="28" t="s">
        <v>9</v>
      </c>
      <c r="P41" s="28" t="s">
        <v>9</v>
      </c>
      <c r="Q41" s="28" t="s">
        <v>9</v>
      </c>
      <c r="R41" s="28" t="s">
        <v>9</v>
      </c>
      <c r="S41" s="28" t="s">
        <v>9</v>
      </c>
      <c r="T41" s="28" t="s">
        <v>9</v>
      </c>
      <c r="U41" s="28" t="s">
        <v>9</v>
      </c>
      <c r="V41" s="28" t="s">
        <v>9</v>
      </c>
      <c r="W41" s="28" t="s">
        <v>9</v>
      </c>
      <c r="X41" s="28" t="s">
        <v>9</v>
      </c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52">
        <f t="shared" si="0"/>
        <v>0</v>
      </c>
    </row>
    <row r="42" spans="3:36" ht="12.95" customHeight="1">
      <c r="C42" s="25">
        <v>4</v>
      </c>
      <c r="D42" s="40" t="s">
        <v>60</v>
      </c>
      <c r="E42" s="41">
        <v>50</v>
      </c>
      <c r="F42" s="28" t="s">
        <v>9</v>
      </c>
      <c r="G42" s="28" t="s">
        <v>9</v>
      </c>
      <c r="H42" s="28" t="s">
        <v>9</v>
      </c>
      <c r="I42" s="28" t="s">
        <v>9</v>
      </c>
      <c r="J42" s="28" t="s">
        <v>9</v>
      </c>
      <c r="K42" s="28">
        <v>8</v>
      </c>
      <c r="L42" s="28">
        <v>9</v>
      </c>
      <c r="M42" s="28" t="s">
        <v>9</v>
      </c>
      <c r="N42" s="28" t="s">
        <v>9</v>
      </c>
      <c r="O42" s="28">
        <v>6</v>
      </c>
      <c r="P42" s="28">
        <v>14</v>
      </c>
      <c r="Q42" s="28">
        <v>4</v>
      </c>
      <c r="R42" s="28" t="s">
        <v>9</v>
      </c>
      <c r="S42" s="28" t="s">
        <v>9</v>
      </c>
      <c r="T42" s="28" t="s">
        <v>9</v>
      </c>
      <c r="U42" s="28" t="s">
        <v>9</v>
      </c>
      <c r="V42" s="28">
        <v>21</v>
      </c>
      <c r="W42" s="28">
        <v>9</v>
      </c>
      <c r="X42" s="28">
        <v>6</v>
      </c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52">
        <f t="shared" si="0"/>
        <v>77</v>
      </c>
    </row>
    <row r="43" spans="3:36" ht="12.95" customHeight="1">
      <c r="C43" s="32"/>
      <c r="D43" s="32"/>
      <c r="E43" s="32"/>
      <c r="F43" s="33" t="s">
        <v>9</v>
      </c>
      <c r="G43" s="33" t="s">
        <v>9</v>
      </c>
      <c r="H43" s="33" t="s">
        <v>9</v>
      </c>
      <c r="I43" s="33" t="s">
        <v>9</v>
      </c>
      <c r="J43" s="33" t="s">
        <v>9</v>
      </c>
      <c r="K43" s="33" t="s">
        <v>9</v>
      </c>
      <c r="L43" s="33" t="s">
        <v>9</v>
      </c>
      <c r="M43" s="33" t="s">
        <v>9</v>
      </c>
      <c r="N43" s="33" t="s">
        <v>9</v>
      </c>
      <c r="O43" s="33" t="s">
        <v>9</v>
      </c>
      <c r="P43" s="33" t="s">
        <v>9</v>
      </c>
      <c r="Q43" s="33" t="s">
        <v>9</v>
      </c>
      <c r="R43" s="33" t="s">
        <v>9</v>
      </c>
      <c r="S43" s="33" t="s">
        <v>9</v>
      </c>
      <c r="T43" t="s">
        <v>9</v>
      </c>
      <c r="U43" s="33" t="s">
        <v>9</v>
      </c>
      <c r="V43" s="33" t="s">
        <v>9</v>
      </c>
      <c r="W43" s="103" t="s">
        <v>9</v>
      </c>
      <c r="X43" s="33" t="s">
        <v>9</v>
      </c>
      <c r="Y43" s="49"/>
      <c r="Z43" s="49"/>
      <c r="AA43" s="50"/>
      <c r="AB43" s="49"/>
      <c r="AC43" s="49"/>
      <c r="AD43" s="49"/>
      <c r="AE43" s="49"/>
      <c r="AF43" s="49"/>
      <c r="AG43" s="49"/>
      <c r="AH43" s="49"/>
      <c r="AI43" s="49"/>
      <c r="AJ43" s="52">
        <f t="shared" si="0"/>
        <v>0</v>
      </c>
    </row>
    <row r="44" spans="3:36" ht="12.95" customHeight="1">
      <c r="C44" s="25">
        <v>1</v>
      </c>
      <c r="D44" s="42" t="s">
        <v>6</v>
      </c>
      <c r="E44" s="43">
        <v>1000</v>
      </c>
      <c r="F44" s="28">
        <v>5</v>
      </c>
      <c r="G44" s="28">
        <v>12</v>
      </c>
      <c r="H44" s="28">
        <v>6</v>
      </c>
      <c r="I44" s="28">
        <v>33</v>
      </c>
      <c r="J44" s="28">
        <v>24</v>
      </c>
      <c r="K44" s="28">
        <v>106</v>
      </c>
      <c r="L44" s="28">
        <v>203</v>
      </c>
      <c r="M44" s="28">
        <v>166</v>
      </c>
      <c r="N44" s="28">
        <v>4</v>
      </c>
      <c r="O44" s="28">
        <v>204</v>
      </c>
      <c r="P44" s="28">
        <v>158</v>
      </c>
      <c r="Q44" s="28">
        <v>216</v>
      </c>
      <c r="R44" s="28">
        <v>122</v>
      </c>
      <c r="S44" s="28">
        <v>164</v>
      </c>
      <c r="T44" s="28">
        <v>2</v>
      </c>
      <c r="U44" s="28">
        <v>13</v>
      </c>
      <c r="V44" s="28">
        <v>88</v>
      </c>
      <c r="W44" s="28">
        <v>209</v>
      </c>
      <c r="X44" s="28">
        <v>164</v>
      </c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52">
        <f t="shared" si="0"/>
        <v>1899</v>
      </c>
    </row>
    <row r="45" spans="3:36" ht="12.95" customHeight="1">
      <c r="C45" s="25">
        <v>6</v>
      </c>
      <c r="D45" s="42" t="s">
        <v>7</v>
      </c>
      <c r="E45" s="43">
        <v>1000</v>
      </c>
      <c r="F45" s="28">
        <v>136</v>
      </c>
      <c r="G45" s="28">
        <v>11</v>
      </c>
      <c r="H45" s="28">
        <v>351</v>
      </c>
      <c r="I45" s="28">
        <v>584</v>
      </c>
      <c r="J45" s="28">
        <v>619</v>
      </c>
      <c r="K45" s="28">
        <v>589</v>
      </c>
      <c r="L45" s="28">
        <v>477</v>
      </c>
      <c r="M45" s="28">
        <v>807</v>
      </c>
      <c r="N45" s="28">
        <v>9</v>
      </c>
      <c r="O45" s="28">
        <v>573</v>
      </c>
      <c r="P45" s="28">
        <v>168</v>
      </c>
      <c r="Q45" s="28">
        <v>423</v>
      </c>
      <c r="R45" s="28">
        <v>249</v>
      </c>
      <c r="S45" s="28">
        <v>227</v>
      </c>
      <c r="T45" s="28">
        <v>312</v>
      </c>
      <c r="U45" s="28">
        <v>1</v>
      </c>
      <c r="V45" s="28">
        <v>513</v>
      </c>
      <c r="W45" s="28">
        <v>445</v>
      </c>
      <c r="X45" s="28">
        <v>215</v>
      </c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52">
        <f t="shared" si="0"/>
        <v>6709</v>
      </c>
    </row>
    <row r="46" spans="3:36" ht="12.95" customHeight="1">
      <c r="C46" s="44">
        <v>3</v>
      </c>
      <c r="D46" s="45" t="s">
        <v>8</v>
      </c>
      <c r="E46" s="46">
        <v>50</v>
      </c>
      <c r="F46" s="28">
        <v>1</v>
      </c>
      <c r="G46" s="28" t="s">
        <v>9</v>
      </c>
      <c r="H46" s="28" t="s">
        <v>9</v>
      </c>
      <c r="I46" s="28" t="s">
        <v>9</v>
      </c>
      <c r="J46" s="28">
        <v>144</v>
      </c>
      <c r="K46" s="28">
        <v>246</v>
      </c>
      <c r="L46" s="28">
        <v>471</v>
      </c>
      <c r="M46" s="28">
        <v>557</v>
      </c>
      <c r="N46" s="28" t="s">
        <v>9</v>
      </c>
      <c r="O46" s="28">
        <v>488</v>
      </c>
      <c r="P46" s="28">
        <v>374</v>
      </c>
      <c r="Q46" s="28">
        <v>664</v>
      </c>
      <c r="R46" s="28">
        <v>790</v>
      </c>
      <c r="S46" s="28">
        <v>105</v>
      </c>
      <c r="T46" s="28">
        <v>103</v>
      </c>
      <c r="U46" s="28" t="s">
        <v>9</v>
      </c>
      <c r="V46" s="28">
        <v>265</v>
      </c>
      <c r="W46" s="28">
        <v>340</v>
      </c>
      <c r="X46" s="28">
        <v>255</v>
      </c>
      <c r="Y46" s="49"/>
      <c r="Z46" s="49"/>
      <c r="AA46" s="50"/>
      <c r="AB46" s="49"/>
      <c r="AC46" s="49"/>
      <c r="AD46" s="49"/>
      <c r="AE46" s="49"/>
      <c r="AF46" s="49"/>
      <c r="AG46" s="49"/>
      <c r="AH46" s="49"/>
      <c r="AI46" s="49"/>
      <c r="AJ46" s="52">
        <f t="shared" si="0"/>
        <v>4803</v>
      </c>
    </row>
    <row r="47" spans="3:36" ht="12.95" customHeight="1">
      <c r="C47" s="25"/>
      <c r="D47" s="32"/>
      <c r="E47" s="25"/>
      <c r="F47" s="33"/>
      <c r="G47" s="33"/>
      <c r="H47" s="33"/>
      <c r="I47" s="33" t="s">
        <v>9</v>
      </c>
      <c r="J47" s="33" t="s">
        <v>9</v>
      </c>
      <c r="K47" s="33" t="s">
        <v>9</v>
      </c>
      <c r="L47" s="33" t="s">
        <v>9</v>
      </c>
      <c r="M47" s="33" t="s">
        <v>9</v>
      </c>
      <c r="N47" s="33" t="s">
        <v>9</v>
      </c>
      <c r="O47" s="33" t="s">
        <v>9</v>
      </c>
      <c r="P47" s="33" t="s">
        <v>9</v>
      </c>
      <c r="Q47" s="33" t="s">
        <v>9</v>
      </c>
      <c r="R47" s="33" t="s">
        <v>9</v>
      </c>
      <c r="S47" s="33" t="s">
        <v>9</v>
      </c>
      <c r="T47" t="s">
        <v>9</v>
      </c>
      <c r="U47" s="33" t="s">
        <v>9</v>
      </c>
      <c r="V47" s="33" t="s">
        <v>9</v>
      </c>
      <c r="W47" s="103" t="s">
        <v>9</v>
      </c>
      <c r="X47" s="33" t="s">
        <v>9</v>
      </c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52">
        <f t="shared" si="0"/>
        <v>0</v>
      </c>
    </row>
    <row r="48" spans="3:36" ht="12.95" customHeight="1">
      <c r="C48" s="25">
        <v>1</v>
      </c>
      <c r="D48" s="47" t="s">
        <v>10</v>
      </c>
      <c r="E48" s="48">
        <v>1000</v>
      </c>
      <c r="F48" s="28" t="s">
        <v>9</v>
      </c>
      <c r="G48" s="28" t="s">
        <v>9</v>
      </c>
      <c r="H48" s="28" t="s">
        <v>9</v>
      </c>
      <c r="I48" s="28" t="s">
        <v>9</v>
      </c>
      <c r="J48" s="28" t="s">
        <v>9</v>
      </c>
      <c r="K48" s="28" t="s">
        <v>9</v>
      </c>
      <c r="L48" s="28" t="s">
        <v>9</v>
      </c>
      <c r="M48" s="28" t="s">
        <v>9</v>
      </c>
      <c r="N48" s="28" t="s">
        <v>9</v>
      </c>
      <c r="O48" s="28" t="s">
        <v>9</v>
      </c>
      <c r="P48" s="28" t="s">
        <v>9</v>
      </c>
      <c r="Q48" s="28" t="s">
        <v>9</v>
      </c>
      <c r="R48" s="28" t="s">
        <v>9</v>
      </c>
      <c r="S48" s="28" t="s">
        <v>9</v>
      </c>
      <c r="T48" s="28" t="s">
        <v>9</v>
      </c>
      <c r="U48" s="28" t="s">
        <v>9</v>
      </c>
      <c r="V48" s="28" t="s">
        <v>9</v>
      </c>
      <c r="W48" s="28" t="s">
        <v>9</v>
      </c>
      <c r="X48" s="28" t="s">
        <v>9</v>
      </c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52">
        <f t="shared" si="0"/>
        <v>0</v>
      </c>
    </row>
    <row r="49" spans="3:36" ht="12.95" customHeight="1">
      <c r="C49" s="25">
        <v>2</v>
      </c>
      <c r="D49" s="47" t="s">
        <v>11</v>
      </c>
      <c r="E49" s="48">
        <v>1000</v>
      </c>
      <c r="F49" s="28">
        <v>7</v>
      </c>
      <c r="G49" s="28">
        <v>59</v>
      </c>
      <c r="H49" s="28">
        <v>494</v>
      </c>
      <c r="I49" s="28">
        <v>315</v>
      </c>
      <c r="J49" s="28">
        <v>317</v>
      </c>
      <c r="K49" s="28">
        <v>472</v>
      </c>
      <c r="L49" s="28">
        <v>386</v>
      </c>
      <c r="M49" s="28">
        <v>254</v>
      </c>
      <c r="N49" s="28" t="s">
        <v>9</v>
      </c>
      <c r="O49" s="28">
        <v>343</v>
      </c>
      <c r="P49" s="28">
        <v>272</v>
      </c>
      <c r="Q49" s="28">
        <v>173</v>
      </c>
      <c r="R49" s="28">
        <v>413</v>
      </c>
      <c r="S49" s="28">
        <v>184</v>
      </c>
      <c r="T49" s="28">
        <v>195</v>
      </c>
      <c r="U49" s="28">
        <v>13</v>
      </c>
      <c r="V49" s="28">
        <v>362</v>
      </c>
      <c r="W49" s="28">
        <v>335</v>
      </c>
      <c r="X49" s="28">
        <v>130</v>
      </c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52">
        <f t="shared" si="0"/>
        <v>4724</v>
      </c>
    </row>
    <row r="50" spans="3:36" ht="12.95" customHeight="1">
      <c r="C50" s="25">
        <v>3</v>
      </c>
      <c r="D50" s="47" t="s">
        <v>12</v>
      </c>
      <c r="E50" s="48">
        <v>1000</v>
      </c>
      <c r="F50" s="28" t="s">
        <v>9</v>
      </c>
      <c r="G50" s="28" t="s">
        <v>9</v>
      </c>
      <c r="H50" s="28">
        <v>732</v>
      </c>
      <c r="I50" s="28">
        <v>527</v>
      </c>
      <c r="J50" s="28">
        <v>577</v>
      </c>
      <c r="K50" s="28">
        <v>208</v>
      </c>
      <c r="L50" s="28">
        <v>267</v>
      </c>
      <c r="M50" s="28">
        <v>385</v>
      </c>
      <c r="N50" s="28" t="s">
        <v>9</v>
      </c>
      <c r="O50" s="28">
        <v>348</v>
      </c>
      <c r="P50" s="28">
        <v>270</v>
      </c>
      <c r="Q50" s="28">
        <v>315</v>
      </c>
      <c r="R50" s="28">
        <v>478</v>
      </c>
      <c r="S50" s="28">
        <v>214</v>
      </c>
      <c r="T50" s="28">
        <v>415</v>
      </c>
      <c r="U50" s="28" t="s">
        <v>9</v>
      </c>
      <c r="V50" s="28" t="s">
        <v>9</v>
      </c>
      <c r="W50" s="28" t="s">
        <v>9</v>
      </c>
      <c r="X50" s="28" t="s">
        <v>9</v>
      </c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52">
        <f t="shared" si="0"/>
        <v>4736</v>
      </c>
    </row>
    <row r="51" spans="3:36" ht="12.95" customHeight="1">
      <c r="C51" s="25">
        <v>4</v>
      </c>
      <c r="D51" s="47" t="s">
        <v>13</v>
      </c>
      <c r="E51" s="48">
        <v>1000</v>
      </c>
      <c r="F51" s="28">
        <v>16</v>
      </c>
      <c r="G51" s="28">
        <v>4</v>
      </c>
      <c r="H51" s="28">
        <v>868</v>
      </c>
      <c r="I51" s="28">
        <v>557</v>
      </c>
      <c r="J51" s="28">
        <v>800</v>
      </c>
      <c r="K51" s="28">
        <v>825</v>
      </c>
      <c r="L51" s="28">
        <v>671</v>
      </c>
      <c r="M51" s="28">
        <v>593</v>
      </c>
      <c r="N51" s="28">
        <v>5</v>
      </c>
      <c r="O51" s="28">
        <v>490</v>
      </c>
      <c r="P51" s="28">
        <v>429</v>
      </c>
      <c r="Q51" s="28">
        <v>545</v>
      </c>
      <c r="R51" s="28">
        <v>520</v>
      </c>
      <c r="S51" s="28">
        <v>718</v>
      </c>
      <c r="T51" s="28">
        <v>785</v>
      </c>
      <c r="U51" s="28" t="s">
        <v>9</v>
      </c>
      <c r="V51" s="28">
        <v>194</v>
      </c>
      <c r="W51" s="28">
        <v>698</v>
      </c>
      <c r="X51" s="28">
        <v>515</v>
      </c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52">
        <f t="shared" si="0"/>
        <v>9233</v>
      </c>
    </row>
    <row r="52" spans="3:36" ht="12.95" customHeight="1">
      <c r="C52" s="25">
        <v>5</v>
      </c>
      <c r="D52" s="47" t="s">
        <v>14</v>
      </c>
      <c r="E52" s="48">
        <v>1000</v>
      </c>
      <c r="F52" s="28" t="s">
        <v>9</v>
      </c>
      <c r="G52" s="28" t="s">
        <v>9</v>
      </c>
      <c r="H52" s="28" t="s">
        <v>9</v>
      </c>
      <c r="I52" s="28">
        <v>472</v>
      </c>
      <c r="J52" s="28">
        <v>361</v>
      </c>
      <c r="K52" s="28">
        <v>107</v>
      </c>
      <c r="L52" s="28">
        <v>192</v>
      </c>
      <c r="M52" s="28">
        <v>401</v>
      </c>
      <c r="N52" s="28" t="s">
        <v>9</v>
      </c>
      <c r="O52" s="28">
        <v>521</v>
      </c>
      <c r="P52" s="28">
        <v>429</v>
      </c>
      <c r="Q52" s="28">
        <v>438</v>
      </c>
      <c r="R52" s="28">
        <v>375</v>
      </c>
      <c r="S52" s="28">
        <v>269</v>
      </c>
      <c r="T52" s="28">
        <v>352</v>
      </c>
      <c r="U52" s="28" t="s">
        <v>9</v>
      </c>
      <c r="V52" s="28">
        <v>1</v>
      </c>
      <c r="W52" s="28" t="s">
        <v>9</v>
      </c>
      <c r="X52" s="28" t="s">
        <v>9</v>
      </c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52">
        <f t="shared" si="0"/>
        <v>3918</v>
      </c>
    </row>
    <row r="53" spans="3:36" ht="12.95" customHeight="1">
      <c r="C53" s="25">
        <v>6</v>
      </c>
      <c r="D53" s="47" t="s">
        <v>15</v>
      </c>
      <c r="E53" s="48">
        <v>1000</v>
      </c>
      <c r="F53" s="28">
        <v>142</v>
      </c>
      <c r="G53" s="28" t="s">
        <v>9</v>
      </c>
      <c r="H53" s="28">
        <v>463</v>
      </c>
      <c r="I53" s="28">
        <v>516</v>
      </c>
      <c r="J53" s="28" t="s">
        <v>9</v>
      </c>
      <c r="K53" s="28">
        <v>506</v>
      </c>
      <c r="L53" s="28">
        <v>458</v>
      </c>
      <c r="M53" s="28">
        <v>471</v>
      </c>
      <c r="N53" s="28" t="s">
        <v>9</v>
      </c>
      <c r="O53" s="28">
        <v>499</v>
      </c>
      <c r="P53" s="28">
        <v>185</v>
      </c>
      <c r="Q53" s="28">
        <v>681</v>
      </c>
      <c r="R53" s="28">
        <v>475</v>
      </c>
      <c r="S53" s="28">
        <v>407</v>
      </c>
      <c r="T53" s="28">
        <v>526</v>
      </c>
      <c r="U53" s="28" t="s">
        <v>9</v>
      </c>
      <c r="V53" s="28">
        <v>453</v>
      </c>
      <c r="W53" s="28">
        <v>376</v>
      </c>
      <c r="X53" s="28">
        <v>546</v>
      </c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52">
        <f t="shared" si="0"/>
        <v>6704</v>
      </c>
    </row>
    <row r="54" spans="3:36" ht="12.95" customHeight="1">
      <c r="C54" s="25">
        <v>7</v>
      </c>
      <c r="D54" s="47" t="s">
        <v>16</v>
      </c>
      <c r="E54" s="48">
        <v>1000</v>
      </c>
      <c r="F54" s="28" t="s">
        <v>9</v>
      </c>
      <c r="G54" s="28" t="s">
        <v>9</v>
      </c>
      <c r="H54" s="28">
        <v>636</v>
      </c>
      <c r="I54" s="28">
        <v>495</v>
      </c>
      <c r="J54" s="28">
        <v>539</v>
      </c>
      <c r="K54" s="28">
        <v>306</v>
      </c>
      <c r="L54" s="28">
        <v>468</v>
      </c>
      <c r="M54" s="28">
        <v>638</v>
      </c>
      <c r="N54" s="28" t="s">
        <v>9</v>
      </c>
      <c r="O54" s="28">
        <v>338</v>
      </c>
      <c r="P54" s="28">
        <v>283</v>
      </c>
      <c r="Q54" s="28">
        <v>457</v>
      </c>
      <c r="R54" s="28">
        <v>400</v>
      </c>
      <c r="S54" s="28">
        <v>231</v>
      </c>
      <c r="T54" s="28">
        <v>532</v>
      </c>
      <c r="U54" s="28" t="s">
        <v>9</v>
      </c>
      <c r="V54" s="28">
        <v>449</v>
      </c>
      <c r="W54" s="28">
        <v>439</v>
      </c>
      <c r="X54" s="28">
        <v>497</v>
      </c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52">
        <f t="shared" si="0"/>
        <v>6708</v>
      </c>
    </row>
    <row r="55" spans="3:36" ht="12.95" customHeight="1">
      <c r="C55" s="25">
        <v>8</v>
      </c>
      <c r="D55" s="47" t="s">
        <v>17</v>
      </c>
      <c r="E55" s="48">
        <v>1000</v>
      </c>
      <c r="F55" s="28">
        <v>15</v>
      </c>
      <c r="G55" s="28">
        <v>1</v>
      </c>
      <c r="H55" s="28">
        <v>572</v>
      </c>
      <c r="I55" s="28">
        <v>181</v>
      </c>
      <c r="J55" s="28">
        <v>88</v>
      </c>
      <c r="K55" s="28">
        <v>175</v>
      </c>
      <c r="L55" s="28">
        <v>466</v>
      </c>
      <c r="M55" s="28">
        <v>272</v>
      </c>
      <c r="N55" s="28">
        <v>4</v>
      </c>
      <c r="O55" s="28">
        <v>354</v>
      </c>
      <c r="P55" s="28">
        <v>190</v>
      </c>
      <c r="Q55" s="28">
        <v>379</v>
      </c>
      <c r="R55" s="28">
        <v>234</v>
      </c>
      <c r="S55" s="28">
        <v>250</v>
      </c>
      <c r="T55" s="28">
        <v>278</v>
      </c>
      <c r="U55" s="28">
        <v>6</v>
      </c>
      <c r="V55" s="28">
        <v>200</v>
      </c>
      <c r="W55" s="28">
        <v>413</v>
      </c>
      <c r="X55" s="28">
        <v>447</v>
      </c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52">
        <f t="shared" si="0"/>
        <v>4525</v>
      </c>
    </row>
    <row r="56" spans="3:36" ht="12.95" customHeight="1">
      <c r="C56" s="25">
        <v>9</v>
      </c>
      <c r="D56" s="47" t="s">
        <v>18</v>
      </c>
      <c r="E56" s="48">
        <v>1000</v>
      </c>
      <c r="F56" s="28">
        <v>3</v>
      </c>
      <c r="G56" s="28" t="s">
        <v>9</v>
      </c>
      <c r="H56" s="28">
        <v>721</v>
      </c>
      <c r="I56" s="28">
        <v>336</v>
      </c>
      <c r="J56" s="28">
        <v>146</v>
      </c>
      <c r="K56" s="28">
        <v>203</v>
      </c>
      <c r="L56" s="28">
        <v>380</v>
      </c>
      <c r="M56" s="28">
        <v>777</v>
      </c>
      <c r="N56" s="28">
        <v>1</v>
      </c>
      <c r="O56" s="28">
        <v>471</v>
      </c>
      <c r="P56" s="28">
        <v>366</v>
      </c>
      <c r="Q56" s="28">
        <v>417</v>
      </c>
      <c r="R56" s="28">
        <v>449</v>
      </c>
      <c r="S56" s="28">
        <v>486</v>
      </c>
      <c r="T56" s="28">
        <v>310</v>
      </c>
      <c r="U56" s="28" t="s">
        <v>9</v>
      </c>
      <c r="V56" s="28">
        <v>231</v>
      </c>
      <c r="W56" s="28">
        <v>683</v>
      </c>
      <c r="X56" s="28">
        <v>518</v>
      </c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52">
        <f t="shared" si="0"/>
        <v>6498</v>
      </c>
    </row>
    <row r="57" spans="3:36" ht="12.95" customHeight="1">
      <c r="C57" s="25">
        <v>10</v>
      </c>
      <c r="D57" s="47" t="s">
        <v>19</v>
      </c>
      <c r="E57" s="48">
        <v>1000</v>
      </c>
      <c r="F57" s="28" t="s">
        <v>9</v>
      </c>
      <c r="G57" s="28" t="s">
        <v>9</v>
      </c>
      <c r="H57" s="28" t="s">
        <v>9</v>
      </c>
      <c r="I57" s="28" t="s">
        <v>9</v>
      </c>
      <c r="J57" s="28" t="s">
        <v>9</v>
      </c>
      <c r="K57" s="28">
        <v>4</v>
      </c>
      <c r="L57" s="28" t="s">
        <v>9</v>
      </c>
      <c r="M57" s="28" t="s">
        <v>9</v>
      </c>
      <c r="N57" s="28" t="s">
        <v>9</v>
      </c>
      <c r="O57" s="28" t="s">
        <v>9</v>
      </c>
      <c r="P57" s="28" t="s">
        <v>9</v>
      </c>
      <c r="Q57" s="28" t="s">
        <v>9</v>
      </c>
      <c r="R57" s="28" t="s">
        <v>9</v>
      </c>
      <c r="S57" s="28" t="s">
        <v>9</v>
      </c>
      <c r="T57" s="28" t="s">
        <v>9</v>
      </c>
      <c r="U57" s="28" t="s">
        <v>9</v>
      </c>
      <c r="V57" s="28" t="s">
        <v>9</v>
      </c>
      <c r="W57" s="28" t="s">
        <v>9</v>
      </c>
      <c r="X57" s="28" t="s">
        <v>9</v>
      </c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52">
        <f t="shared" si="0"/>
        <v>4</v>
      </c>
    </row>
    <row r="58" spans="3:36" ht="12.95" customHeight="1">
      <c r="C58" s="25">
        <v>11</v>
      </c>
      <c r="D58" s="47" t="s">
        <v>20</v>
      </c>
      <c r="E58" s="48">
        <v>1000</v>
      </c>
      <c r="F58" s="28">
        <v>6</v>
      </c>
      <c r="G58" s="28" t="s">
        <v>9</v>
      </c>
      <c r="H58" s="28">
        <v>488</v>
      </c>
      <c r="I58" s="28">
        <v>295</v>
      </c>
      <c r="J58" s="28">
        <v>380</v>
      </c>
      <c r="K58" s="28">
        <v>142</v>
      </c>
      <c r="L58" s="28">
        <v>363</v>
      </c>
      <c r="M58" s="28">
        <v>342</v>
      </c>
      <c r="N58" s="28">
        <v>1</v>
      </c>
      <c r="O58" s="28">
        <v>567</v>
      </c>
      <c r="P58" s="28">
        <v>472</v>
      </c>
      <c r="Q58" s="28">
        <v>262</v>
      </c>
      <c r="R58" s="28">
        <v>525</v>
      </c>
      <c r="S58" s="28">
        <v>264</v>
      </c>
      <c r="T58" s="28">
        <v>353</v>
      </c>
      <c r="U58" s="28" t="s">
        <v>9</v>
      </c>
      <c r="V58" s="28">
        <v>213</v>
      </c>
      <c r="W58" s="28">
        <v>10</v>
      </c>
      <c r="X58" s="28" t="s">
        <v>9</v>
      </c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52">
        <f t="shared" si="0"/>
        <v>4683</v>
      </c>
    </row>
    <row r="59" spans="3:36" ht="12.95" customHeight="1">
      <c r="C59" s="25">
        <v>13</v>
      </c>
      <c r="D59" s="47" t="s">
        <v>21</v>
      </c>
      <c r="E59" s="48">
        <v>1000</v>
      </c>
      <c r="F59" s="28">
        <v>122</v>
      </c>
      <c r="G59" s="28" t="s">
        <v>9</v>
      </c>
      <c r="H59" s="28">
        <v>540</v>
      </c>
      <c r="I59" s="28">
        <v>518</v>
      </c>
      <c r="J59" s="28">
        <v>542</v>
      </c>
      <c r="K59" s="28">
        <v>417</v>
      </c>
      <c r="L59" s="28">
        <v>379</v>
      </c>
      <c r="M59" s="28">
        <v>485</v>
      </c>
      <c r="N59" s="28">
        <v>4</v>
      </c>
      <c r="O59" s="28">
        <v>489</v>
      </c>
      <c r="P59" s="28">
        <v>293</v>
      </c>
      <c r="Q59" s="28">
        <v>460</v>
      </c>
      <c r="R59" s="28">
        <v>396</v>
      </c>
      <c r="S59" s="28">
        <v>258</v>
      </c>
      <c r="T59" s="28">
        <v>491</v>
      </c>
      <c r="U59" s="28">
        <v>1</v>
      </c>
      <c r="V59" s="28">
        <v>287</v>
      </c>
      <c r="W59" s="28">
        <v>397</v>
      </c>
      <c r="X59" s="28">
        <v>389</v>
      </c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52">
        <f t="shared" si="0"/>
        <v>6468</v>
      </c>
    </row>
    <row r="60" spans="3:36" ht="12.95" customHeight="1">
      <c r="C60" s="25">
        <v>14</v>
      </c>
      <c r="D60" s="47" t="s">
        <v>22</v>
      </c>
      <c r="E60" s="48">
        <v>1000</v>
      </c>
      <c r="F60" s="28" t="s">
        <v>9</v>
      </c>
      <c r="G60" s="28" t="s">
        <v>9</v>
      </c>
      <c r="H60" s="28">
        <v>735</v>
      </c>
      <c r="I60" s="28">
        <v>684</v>
      </c>
      <c r="J60" s="28">
        <v>420</v>
      </c>
      <c r="K60" s="28">
        <v>469</v>
      </c>
      <c r="L60" s="28">
        <v>686</v>
      </c>
      <c r="M60" s="28">
        <v>651</v>
      </c>
      <c r="N60" s="28" t="s">
        <v>9</v>
      </c>
      <c r="O60" s="28">
        <v>700</v>
      </c>
      <c r="P60" s="28">
        <v>434</v>
      </c>
      <c r="Q60" s="28">
        <v>800</v>
      </c>
      <c r="R60" s="28">
        <v>716</v>
      </c>
      <c r="S60" s="28">
        <v>390</v>
      </c>
      <c r="T60" s="28">
        <v>630</v>
      </c>
      <c r="U60" s="28">
        <v>3</v>
      </c>
      <c r="V60" s="28">
        <v>294</v>
      </c>
      <c r="W60" s="28">
        <v>674</v>
      </c>
      <c r="X60" s="28">
        <v>428</v>
      </c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52">
        <f t="shared" si="0"/>
        <v>8714</v>
      </c>
    </row>
    <row r="61" spans="3:36" ht="12.95" customHeight="1">
      <c r="C61" s="25">
        <v>15</v>
      </c>
      <c r="D61" s="47" t="s">
        <v>23</v>
      </c>
      <c r="E61" s="48">
        <v>1000</v>
      </c>
      <c r="F61" s="28">
        <v>205</v>
      </c>
      <c r="G61" s="28" t="s">
        <v>9</v>
      </c>
      <c r="H61" s="28">
        <v>702</v>
      </c>
      <c r="I61" s="28">
        <v>621</v>
      </c>
      <c r="J61" s="28">
        <v>502</v>
      </c>
      <c r="K61" s="28">
        <v>557</v>
      </c>
      <c r="L61" s="28">
        <v>502</v>
      </c>
      <c r="M61" s="28">
        <v>647</v>
      </c>
      <c r="N61" s="28" t="s">
        <v>9</v>
      </c>
      <c r="O61" s="28">
        <v>549</v>
      </c>
      <c r="P61" s="28">
        <v>348</v>
      </c>
      <c r="Q61" s="28">
        <v>572</v>
      </c>
      <c r="R61" s="28">
        <v>469</v>
      </c>
      <c r="S61" s="28">
        <v>422</v>
      </c>
      <c r="T61" s="28">
        <v>610</v>
      </c>
      <c r="U61" s="28" t="s">
        <v>9</v>
      </c>
      <c r="V61" s="28">
        <v>536</v>
      </c>
      <c r="W61" s="28">
        <v>571</v>
      </c>
      <c r="X61" s="28">
        <v>616</v>
      </c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52">
        <f t="shared" si="0"/>
        <v>8429</v>
      </c>
    </row>
    <row r="62" spans="3:36" ht="12.95" customHeight="1">
      <c r="C62" s="25">
        <v>16</v>
      </c>
      <c r="D62" s="47" t="s">
        <v>24</v>
      </c>
      <c r="E62" s="48">
        <v>1000</v>
      </c>
      <c r="F62" s="28">
        <v>235</v>
      </c>
      <c r="G62" s="28">
        <v>43</v>
      </c>
      <c r="H62" s="28">
        <v>595</v>
      </c>
      <c r="I62" s="28">
        <v>551</v>
      </c>
      <c r="J62" s="28">
        <v>836</v>
      </c>
      <c r="K62" s="28">
        <v>639</v>
      </c>
      <c r="L62" s="28">
        <v>760</v>
      </c>
      <c r="M62" s="28">
        <v>816</v>
      </c>
      <c r="N62" s="28">
        <v>253</v>
      </c>
      <c r="O62" s="28">
        <v>551</v>
      </c>
      <c r="P62" s="28">
        <v>187</v>
      </c>
      <c r="Q62" s="28">
        <v>528</v>
      </c>
      <c r="R62" s="28">
        <v>267</v>
      </c>
      <c r="S62" s="28">
        <v>108</v>
      </c>
      <c r="T62" s="28">
        <v>262</v>
      </c>
      <c r="U62" s="28">
        <v>7</v>
      </c>
      <c r="V62" s="28">
        <v>19</v>
      </c>
      <c r="W62" s="28">
        <v>44</v>
      </c>
      <c r="X62" s="28">
        <v>2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52">
        <f t="shared" si="0"/>
        <v>6703</v>
      </c>
    </row>
    <row r="63" spans="3:36" ht="12.95" customHeight="1">
      <c r="C63" s="25">
        <v>17</v>
      </c>
      <c r="D63" s="47" t="s">
        <v>25</v>
      </c>
      <c r="E63" s="48">
        <v>1000</v>
      </c>
      <c r="F63" s="28" t="s">
        <v>9</v>
      </c>
      <c r="G63" s="28" t="s">
        <v>9</v>
      </c>
      <c r="H63" s="28">
        <v>542</v>
      </c>
      <c r="I63" s="28">
        <v>357</v>
      </c>
      <c r="J63" s="28">
        <v>302</v>
      </c>
      <c r="K63" s="28">
        <v>301</v>
      </c>
      <c r="L63" s="28">
        <v>201</v>
      </c>
      <c r="M63" s="28">
        <v>393</v>
      </c>
      <c r="N63" s="28" t="s">
        <v>9</v>
      </c>
      <c r="O63" s="28">
        <v>291</v>
      </c>
      <c r="P63" s="28">
        <v>285</v>
      </c>
      <c r="Q63" s="28">
        <v>347</v>
      </c>
      <c r="R63" s="28">
        <v>265</v>
      </c>
      <c r="S63" s="28">
        <v>262</v>
      </c>
      <c r="T63" s="28">
        <v>249</v>
      </c>
      <c r="U63" s="28" t="s">
        <v>9</v>
      </c>
      <c r="V63" s="28">
        <v>224</v>
      </c>
      <c r="W63" s="28">
        <v>329</v>
      </c>
      <c r="X63" s="28">
        <v>419</v>
      </c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52">
        <f t="shared" si="0"/>
        <v>4767</v>
      </c>
    </row>
    <row r="64" spans="3:36" ht="12.95" customHeight="1">
      <c r="C64" s="25">
        <v>18</v>
      </c>
      <c r="D64" s="47" t="s">
        <v>26</v>
      </c>
      <c r="E64" s="48">
        <v>1000</v>
      </c>
      <c r="F64" s="28">
        <v>45</v>
      </c>
      <c r="G64" s="28" t="s">
        <v>9</v>
      </c>
      <c r="H64" s="28">
        <v>539</v>
      </c>
      <c r="I64" s="28">
        <v>568</v>
      </c>
      <c r="J64" s="28">
        <v>479</v>
      </c>
      <c r="K64" s="28">
        <v>535</v>
      </c>
      <c r="L64" s="28" t="s">
        <v>9</v>
      </c>
      <c r="M64" s="28">
        <v>581</v>
      </c>
      <c r="N64" s="28" t="s">
        <v>9</v>
      </c>
      <c r="O64" s="28">
        <v>396</v>
      </c>
      <c r="P64" s="28">
        <v>366</v>
      </c>
      <c r="Q64" s="28">
        <v>464</v>
      </c>
      <c r="R64" s="28">
        <v>640</v>
      </c>
      <c r="S64" s="28">
        <v>303</v>
      </c>
      <c r="T64" s="28">
        <v>554</v>
      </c>
      <c r="U64" s="28" t="s">
        <v>9</v>
      </c>
      <c r="V64" s="28">
        <v>435</v>
      </c>
      <c r="W64" s="28">
        <v>523</v>
      </c>
      <c r="X64" s="28">
        <v>535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52">
        <f t="shared" si="0"/>
        <v>6963</v>
      </c>
    </row>
    <row r="65" spans="3:36" ht="12.95" customHeight="1">
      <c r="C65" s="122" t="s">
        <v>27</v>
      </c>
      <c r="D65" s="122"/>
      <c r="E65" s="53">
        <f>SUM(E6:E64)</f>
        <v>20280</v>
      </c>
      <c r="F65" s="54">
        <f>SUM(F6:F64)</f>
        <v>1013</v>
      </c>
      <c r="G65" s="54">
        <f t="shared" ref="G65:AJ65" si="1">SUM(G6:G64)</f>
        <v>159</v>
      </c>
      <c r="H65" s="54">
        <f t="shared" si="1"/>
        <v>9412</v>
      </c>
      <c r="I65" s="54">
        <f t="shared" si="1"/>
        <v>7759</v>
      </c>
      <c r="J65" s="54">
        <f t="shared" si="1"/>
        <v>7680</v>
      </c>
      <c r="K65" s="54">
        <f t="shared" si="1"/>
        <v>7676</v>
      </c>
      <c r="L65" s="54">
        <f t="shared" si="1"/>
        <v>8179</v>
      </c>
      <c r="M65" s="54">
        <f t="shared" si="1"/>
        <v>9835</v>
      </c>
      <c r="N65" s="54">
        <f t="shared" si="1"/>
        <v>326</v>
      </c>
      <c r="O65" s="54">
        <f t="shared" si="1"/>
        <v>8961</v>
      </c>
      <c r="P65" s="54">
        <f t="shared" si="1"/>
        <v>6046</v>
      </c>
      <c r="Q65" s="54">
        <f t="shared" si="1"/>
        <v>8968</v>
      </c>
      <c r="R65" s="54">
        <f t="shared" si="1"/>
        <v>8296</v>
      </c>
      <c r="S65" s="54">
        <f t="shared" si="1"/>
        <v>5642</v>
      </c>
      <c r="T65" s="54">
        <f t="shared" si="1"/>
        <v>7313</v>
      </c>
      <c r="U65" s="54">
        <f t="shared" si="1"/>
        <v>122</v>
      </c>
      <c r="V65" s="54">
        <f t="shared" si="1"/>
        <v>5398</v>
      </c>
      <c r="W65" s="54">
        <f t="shared" si="1"/>
        <v>7378</v>
      </c>
      <c r="X65" s="54">
        <f t="shared" si="1"/>
        <v>5914</v>
      </c>
      <c r="Y65" s="54">
        <f t="shared" si="1"/>
        <v>0</v>
      </c>
      <c r="Z65" s="54">
        <f t="shared" si="1"/>
        <v>0</v>
      </c>
      <c r="AA65" s="54">
        <f t="shared" si="1"/>
        <v>0</v>
      </c>
      <c r="AB65" s="54">
        <f t="shared" si="1"/>
        <v>0</v>
      </c>
      <c r="AC65" s="54">
        <f t="shared" si="1"/>
        <v>0</v>
      </c>
      <c r="AD65" s="54">
        <f t="shared" si="1"/>
        <v>0</v>
      </c>
      <c r="AE65" s="54">
        <f t="shared" si="1"/>
        <v>0</v>
      </c>
      <c r="AF65" s="54">
        <f t="shared" si="1"/>
        <v>0</v>
      </c>
      <c r="AG65" s="54">
        <f t="shared" si="1"/>
        <v>0</v>
      </c>
      <c r="AH65" s="54">
        <f t="shared" si="1"/>
        <v>0</v>
      </c>
      <c r="AI65" s="54">
        <f t="shared" si="1"/>
        <v>0</v>
      </c>
      <c r="AJ65" s="55">
        <f t="shared" si="1"/>
        <v>116077</v>
      </c>
    </row>
  </sheetData>
  <mergeCells count="7">
    <mergeCell ref="AJ4:AJ5"/>
    <mergeCell ref="C2:AJ3"/>
    <mergeCell ref="F4:AI4"/>
    <mergeCell ref="C65:D65"/>
    <mergeCell ref="C4:C5"/>
    <mergeCell ref="D4:D5"/>
    <mergeCell ref="E4:E5"/>
  </mergeCells>
  <conditionalFormatting sqref="C18">
    <cfRule type="expression" dxfId="323" priority="32">
      <formula>IF(ISBLANK(C18),"","")</formula>
    </cfRule>
  </conditionalFormatting>
  <conditionalFormatting sqref="C46">
    <cfRule type="expression" dxfId="322" priority="23">
      <formula>IF(ISBLANK($C$8),"",C46)</formula>
    </cfRule>
  </conditionalFormatting>
  <conditionalFormatting sqref="F46:H46">
    <cfRule type="expression" dxfId="321" priority="21">
      <formula>AND(ISNUMBER(F46),F46&gt;=50)</formula>
    </cfRule>
    <cfRule type="expression" dxfId="320" priority="22">
      <formula>AND(ISNUMBER(F46),F46&lt;=50)</formula>
    </cfRule>
  </conditionalFormatting>
  <conditionalFormatting sqref="S64">
    <cfRule type="expression" dxfId="319" priority="7">
      <formula>AND(ISNUMBER(S64),S64&gt;50)</formula>
    </cfRule>
    <cfRule type="expression" dxfId="318" priority="8">
      <formula>AND(ISNUMBER(S64),S64&lt;=50)</formula>
    </cfRule>
  </conditionalFormatting>
  <conditionalFormatting sqref="T64">
    <cfRule type="expression" dxfId="317" priority="11">
      <formula>AND(ISNUMBER(T64),T64&gt;50)</formula>
    </cfRule>
    <cfRule type="expression" dxfId="316" priority="12">
      <formula>AND(ISNUMBER(T64),T64&lt;=50)</formula>
    </cfRule>
  </conditionalFormatting>
  <conditionalFormatting sqref="S6:S63">
    <cfRule type="expression" dxfId="315" priority="9">
      <formula>AND(ISNUMBER(S6),S6&gt;50)</formula>
    </cfRule>
    <cfRule type="expression" dxfId="314" priority="10">
      <formula>AND(ISNUMBER(S6),S6&lt;=50)</formula>
    </cfRule>
  </conditionalFormatting>
  <conditionalFormatting sqref="G6:R6 F7:R17">
    <cfRule type="expression" dxfId="313" priority="19">
      <formula>AND(ISNUMBER(F6),F6&gt;50)</formula>
    </cfRule>
    <cfRule type="expression" dxfId="312" priority="20">
      <formula>AND(ISNUMBER(F6),F6&lt;=50)</formula>
    </cfRule>
  </conditionalFormatting>
  <conditionalFormatting sqref="F6:R64 Y39:AI41">
    <cfRule type="expression" dxfId="311" priority="24">
      <formula>AND(ISNUMBER(F6),F6&gt;50)</formula>
    </cfRule>
    <cfRule type="expression" dxfId="310" priority="25">
      <formula>AND(ISNUMBER(F6),F6&lt;=50)</formula>
    </cfRule>
  </conditionalFormatting>
  <conditionalFormatting sqref="T6:T17 T19:T24 T26:T31 T33:T37 T39:T42 T44:T46 T48:T63">
    <cfRule type="expression" dxfId="309" priority="13">
      <formula>AND(ISNUMBER(T6),T6&gt;50)</formula>
    </cfRule>
    <cfRule type="expression" dxfId="308" priority="14">
      <formula>AND(ISNUMBER(T6),T6&lt;=50)</formula>
    </cfRule>
  </conditionalFormatting>
  <conditionalFormatting sqref="U6:V64">
    <cfRule type="expression" dxfId="307" priority="5">
      <formula>AND(ISNUMBER(U6),U6&gt;50)</formula>
    </cfRule>
    <cfRule type="expression" dxfId="306" priority="6">
      <formula>AND(ISNUMBER(U6),U6&lt;=50)</formula>
    </cfRule>
  </conditionalFormatting>
  <conditionalFormatting sqref="W6:W64">
    <cfRule type="expression" dxfId="305" priority="3">
      <formula>AND(ISNUMBER(W6),W6&gt;50)</formula>
    </cfRule>
    <cfRule type="expression" dxfId="304" priority="4">
      <formula>AND(ISNUMBER(W6),W6&lt;=50)</formula>
    </cfRule>
  </conditionalFormatting>
  <conditionalFormatting sqref="X6:X64">
    <cfRule type="expression" dxfId="164" priority="1">
      <formula>AND(ISNUMBER(X6),X6&gt;50)</formula>
    </cfRule>
    <cfRule type="expression" dxfId="163" priority="2">
      <formula>AND(ISNUMBER(X6),X6&lt;=50)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K28"/>
  <sheetViews>
    <sheetView showGridLines="0" workbookViewId="0">
      <selection activeCell="G20" sqref="G20"/>
    </sheetView>
  </sheetViews>
  <sheetFormatPr defaultColWidth="3" defaultRowHeight="15"/>
  <cols>
    <col min="1" max="2" width="3" customWidth="1"/>
    <col min="3" max="3" width="4.28515625" customWidth="1"/>
    <col min="4" max="4" width="17.85546875" customWidth="1"/>
    <col min="5" max="5" width="16" customWidth="1"/>
    <col min="6" max="6" width="2.7109375" customWidth="1"/>
    <col min="7" max="7" width="3.7109375" customWidth="1"/>
    <col min="8" max="14" width="2.7109375" customWidth="1"/>
    <col min="15" max="36" width="3.7109375" customWidth="1"/>
    <col min="37" max="37" width="14.140625" customWidth="1"/>
    <col min="38" max="38" width="3" customWidth="1"/>
  </cols>
  <sheetData>
    <row r="3" spans="3:37">
      <c r="C3" s="125" t="s">
        <v>62</v>
      </c>
      <c r="D3" s="126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8"/>
    </row>
    <row r="4" spans="3:37">
      <c r="C4" s="124" t="s">
        <v>1</v>
      </c>
      <c r="D4" s="134" t="s">
        <v>2</v>
      </c>
      <c r="E4" s="124" t="s">
        <v>3</v>
      </c>
      <c r="F4" s="129" t="s">
        <v>4</v>
      </c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1"/>
      <c r="AK4" s="118" t="s">
        <v>5</v>
      </c>
    </row>
    <row r="5" spans="3:37">
      <c r="C5" s="124"/>
      <c r="D5" s="134"/>
      <c r="E5" s="124"/>
      <c r="F5" s="15">
        <v>1</v>
      </c>
      <c r="G5" s="15">
        <v>2</v>
      </c>
      <c r="H5" s="15">
        <v>3</v>
      </c>
      <c r="I5" s="15">
        <v>4</v>
      </c>
      <c r="J5" s="15">
        <v>5</v>
      </c>
      <c r="K5" s="15">
        <v>6</v>
      </c>
      <c r="L5" s="15">
        <v>7</v>
      </c>
      <c r="M5" s="15">
        <v>8</v>
      </c>
      <c r="N5" s="15">
        <v>9</v>
      </c>
      <c r="O5" s="15">
        <v>10</v>
      </c>
      <c r="P5" s="15">
        <v>11</v>
      </c>
      <c r="Q5" s="15">
        <v>12</v>
      </c>
      <c r="R5" s="15">
        <v>13</v>
      </c>
      <c r="S5" s="15">
        <v>14</v>
      </c>
      <c r="T5" s="15">
        <v>15</v>
      </c>
      <c r="U5" s="15">
        <v>16</v>
      </c>
      <c r="V5" s="15">
        <v>17</v>
      </c>
      <c r="W5" s="15">
        <v>18</v>
      </c>
      <c r="X5" s="15">
        <v>19</v>
      </c>
      <c r="Y5" s="15">
        <v>20</v>
      </c>
      <c r="Z5" s="15">
        <v>21</v>
      </c>
      <c r="AA5" s="15">
        <v>22</v>
      </c>
      <c r="AB5" s="15">
        <v>23</v>
      </c>
      <c r="AC5" s="15">
        <v>24</v>
      </c>
      <c r="AD5" s="15">
        <v>25</v>
      </c>
      <c r="AE5" s="15">
        <v>26</v>
      </c>
      <c r="AF5" s="15">
        <v>27</v>
      </c>
      <c r="AG5" s="15">
        <v>28</v>
      </c>
      <c r="AH5" s="15">
        <v>29</v>
      </c>
      <c r="AI5" s="15">
        <v>30</v>
      </c>
      <c r="AJ5" s="23">
        <v>31</v>
      </c>
      <c r="AK5" s="118"/>
    </row>
    <row r="6" spans="3:37">
      <c r="C6" s="16">
        <v>1</v>
      </c>
      <c r="D6" s="17" t="s">
        <v>63</v>
      </c>
      <c r="E6" s="16">
        <v>10</v>
      </c>
      <c r="F6" s="18"/>
      <c r="G6" s="18"/>
      <c r="H6" s="18"/>
      <c r="I6" s="18"/>
      <c r="J6" s="18"/>
      <c r="K6" s="18"/>
      <c r="L6" s="18"/>
      <c r="M6" s="18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22"/>
      <c r="AK6" s="22">
        <f>SUM(F6:AJ6)</f>
        <v>0</v>
      </c>
    </row>
    <row r="7" spans="3:37">
      <c r="C7" s="16">
        <f t="shared" ref="C7:C26" si="0">C6+1</f>
        <v>2</v>
      </c>
      <c r="D7" s="17" t="s">
        <v>64</v>
      </c>
      <c r="E7" s="16">
        <v>10</v>
      </c>
      <c r="F7" s="18"/>
      <c r="G7" s="18"/>
      <c r="H7" s="18"/>
      <c r="I7" s="18"/>
      <c r="J7" s="18"/>
      <c r="K7" s="18"/>
      <c r="L7" s="18"/>
      <c r="M7" s="18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22">
        <f t="shared" ref="AK7:AK25" si="1">SUM(F7:AJ7)</f>
        <v>0</v>
      </c>
    </row>
    <row r="8" spans="3:37">
      <c r="C8" s="16">
        <f t="shared" si="0"/>
        <v>3</v>
      </c>
      <c r="D8" s="17" t="s">
        <v>65</v>
      </c>
      <c r="E8" s="16">
        <v>10</v>
      </c>
      <c r="F8" s="18">
        <v>1</v>
      </c>
      <c r="G8" s="18"/>
      <c r="H8" s="18"/>
      <c r="I8" s="18"/>
      <c r="J8" s="18"/>
      <c r="K8" s="18"/>
      <c r="L8" s="18">
        <v>1</v>
      </c>
      <c r="M8" s="1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22">
        <f t="shared" si="1"/>
        <v>2</v>
      </c>
    </row>
    <row r="9" spans="3:37">
      <c r="C9" s="16">
        <f t="shared" si="0"/>
        <v>4</v>
      </c>
      <c r="D9" s="17" t="s">
        <v>66</v>
      </c>
      <c r="E9" s="16">
        <v>10</v>
      </c>
      <c r="F9" s="18"/>
      <c r="G9" s="18"/>
      <c r="H9" s="18"/>
      <c r="I9" s="18"/>
      <c r="J9" s="18"/>
      <c r="K9" s="18"/>
      <c r="L9" s="18"/>
      <c r="M9" s="18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22">
        <f t="shared" si="1"/>
        <v>0</v>
      </c>
    </row>
    <row r="10" spans="3:37">
      <c r="C10" s="16">
        <f t="shared" si="0"/>
        <v>5</v>
      </c>
      <c r="D10" s="19" t="s">
        <v>67</v>
      </c>
      <c r="E10" s="16">
        <v>10</v>
      </c>
      <c r="F10" s="18"/>
      <c r="G10" s="18"/>
      <c r="H10" s="18"/>
      <c r="I10" s="18">
        <v>2</v>
      </c>
      <c r="J10" s="18"/>
      <c r="K10" s="18">
        <v>4</v>
      </c>
      <c r="L10" s="18"/>
      <c r="M10" s="18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22">
        <f t="shared" si="1"/>
        <v>6</v>
      </c>
    </row>
    <row r="11" spans="3:37">
      <c r="C11" s="16">
        <f t="shared" si="0"/>
        <v>6</v>
      </c>
      <c r="D11" s="19" t="s">
        <v>68</v>
      </c>
      <c r="E11" s="16">
        <v>10</v>
      </c>
      <c r="F11" s="18">
        <v>4</v>
      </c>
      <c r="G11" s="18">
        <v>7</v>
      </c>
      <c r="H11" s="18">
        <v>1</v>
      </c>
      <c r="I11" s="18">
        <v>1</v>
      </c>
      <c r="J11" s="18"/>
      <c r="K11" s="18"/>
      <c r="L11" s="18">
        <v>1</v>
      </c>
      <c r="M11" s="18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22">
        <f t="shared" si="1"/>
        <v>14</v>
      </c>
    </row>
    <row r="12" spans="3:37">
      <c r="C12" s="16">
        <f t="shared" si="0"/>
        <v>7</v>
      </c>
      <c r="D12" s="19" t="s">
        <v>69</v>
      </c>
      <c r="E12" s="16">
        <v>10</v>
      </c>
      <c r="F12" s="18"/>
      <c r="G12" s="18"/>
      <c r="H12" s="18"/>
      <c r="I12" s="18"/>
      <c r="J12" s="18"/>
      <c r="K12" s="18"/>
      <c r="L12" s="18"/>
      <c r="M12" s="18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22">
        <f t="shared" si="1"/>
        <v>0</v>
      </c>
    </row>
    <row r="13" spans="3:37">
      <c r="C13" s="16">
        <f t="shared" si="0"/>
        <v>8</v>
      </c>
      <c r="D13" s="19" t="s">
        <v>70</v>
      </c>
      <c r="E13" s="16">
        <v>10</v>
      </c>
      <c r="F13" s="18"/>
      <c r="G13" s="18"/>
      <c r="H13" s="18"/>
      <c r="I13" s="18"/>
      <c r="J13" s="18"/>
      <c r="K13" s="18">
        <v>4</v>
      </c>
      <c r="L13" s="18"/>
      <c r="M13" s="18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22">
        <f t="shared" si="1"/>
        <v>4</v>
      </c>
    </row>
    <row r="14" spans="3:37">
      <c r="C14" s="16">
        <f t="shared" si="0"/>
        <v>9</v>
      </c>
      <c r="D14" s="19" t="s">
        <v>71</v>
      </c>
      <c r="E14" s="16">
        <v>10</v>
      </c>
      <c r="F14" s="18"/>
      <c r="G14" s="18">
        <v>18</v>
      </c>
      <c r="H14" s="18"/>
      <c r="I14" s="18">
        <v>1</v>
      </c>
      <c r="J14" s="18"/>
      <c r="K14" s="18"/>
      <c r="L14" s="18">
        <v>2</v>
      </c>
      <c r="M14" s="18">
        <v>7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22">
        <f t="shared" si="1"/>
        <v>28</v>
      </c>
    </row>
    <row r="15" spans="3:37">
      <c r="C15" s="16">
        <f t="shared" si="0"/>
        <v>10</v>
      </c>
      <c r="D15" s="19" t="s">
        <v>72</v>
      </c>
      <c r="E15" s="16">
        <v>10</v>
      </c>
      <c r="F15" s="18"/>
      <c r="G15" s="18"/>
      <c r="H15" s="18"/>
      <c r="I15" s="18"/>
      <c r="J15" s="18"/>
      <c r="K15" s="18"/>
      <c r="L15" s="18"/>
      <c r="M15" s="1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22">
        <f t="shared" si="1"/>
        <v>0</v>
      </c>
    </row>
    <row r="16" spans="3:37">
      <c r="C16" s="16">
        <f t="shared" si="0"/>
        <v>11</v>
      </c>
      <c r="D16" s="19" t="s">
        <v>73</v>
      </c>
      <c r="E16" s="16">
        <v>10</v>
      </c>
      <c r="F16" s="18">
        <v>1</v>
      </c>
      <c r="G16" s="18"/>
      <c r="H16" s="18"/>
      <c r="I16" s="18"/>
      <c r="J16" s="18"/>
      <c r="K16" s="18"/>
      <c r="L16" s="18"/>
      <c r="M16" s="18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22">
        <f t="shared" si="1"/>
        <v>1</v>
      </c>
    </row>
    <row r="17" spans="3:37">
      <c r="C17" s="16">
        <f t="shared" si="0"/>
        <v>12</v>
      </c>
      <c r="D17" s="19" t="s">
        <v>74</v>
      </c>
      <c r="E17" s="16">
        <v>10</v>
      </c>
      <c r="F17" s="18"/>
      <c r="G17" s="18"/>
      <c r="H17" s="18"/>
      <c r="I17" s="18"/>
      <c r="J17" s="18"/>
      <c r="K17" s="18"/>
      <c r="L17" s="18"/>
      <c r="M17" s="18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22">
        <f t="shared" si="1"/>
        <v>0</v>
      </c>
    </row>
    <row r="18" spans="3:37">
      <c r="C18" s="16">
        <f t="shared" si="0"/>
        <v>13</v>
      </c>
      <c r="D18" s="19" t="s">
        <v>75</v>
      </c>
      <c r="E18" s="16">
        <v>10</v>
      </c>
      <c r="F18" s="18"/>
      <c r="G18" s="18"/>
      <c r="H18" s="18"/>
      <c r="I18" s="18"/>
      <c r="J18" s="18"/>
      <c r="K18" s="18"/>
      <c r="L18" s="18"/>
      <c r="M18" s="18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22"/>
      <c r="AK18" s="22">
        <f t="shared" si="1"/>
        <v>0</v>
      </c>
    </row>
    <row r="19" spans="3:37">
      <c r="C19" s="16">
        <f t="shared" si="0"/>
        <v>14</v>
      </c>
      <c r="D19" s="19" t="s">
        <v>76</v>
      </c>
      <c r="E19" s="16">
        <v>10</v>
      </c>
      <c r="F19" s="20"/>
      <c r="G19" s="20"/>
      <c r="H19" s="20"/>
      <c r="I19" s="20"/>
      <c r="J19" s="20"/>
      <c r="K19" s="20"/>
      <c r="L19" s="20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>
        <f t="shared" si="1"/>
        <v>0</v>
      </c>
    </row>
    <row r="20" spans="3:37">
      <c r="C20" s="16">
        <f t="shared" si="0"/>
        <v>15</v>
      </c>
      <c r="D20" s="19" t="s">
        <v>77</v>
      </c>
      <c r="E20" s="16">
        <v>10</v>
      </c>
      <c r="F20" s="20"/>
      <c r="G20" s="20"/>
      <c r="H20" s="20"/>
      <c r="I20" s="20"/>
      <c r="J20" s="20"/>
      <c r="K20" s="20"/>
      <c r="L20" s="20"/>
      <c r="M20" s="20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>
        <f t="shared" si="1"/>
        <v>0</v>
      </c>
    </row>
    <row r="21" spans="3:37">
      <c r="C21" s="16">
        <f t="shared" si="0"/>
        <v>16</v>
      </c>
      <c r="D21" s="19" t="s">
        <v>78</v>
      </c>
      <c r="E21" s="16">
        <v>10</v>
      </c>
      <c r="F21" s="20"/>
      <c r="G21" s="20"/>
      <c r="H21" s="20"/>
      <c r="I21" s="20"/>
      <c r="J21" s="20"/>
      <c r="K21" s="20"/>
      <c r="L21" s="20"/>
      <c r="M21" s="20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>
        <f t="shared" si="1"/>
        <v>0</v>
      </c>
    </row>
    <row r="22" spans="3:37">
      <c r="C22" s="16">
        <f t="shared" si="0"/>
        <v>17</v>
      </c>
      <c r="D22" s="19" t="s">
        <v>79</v>
      </c>
      <c r="E22" s="16">
        <v>10</v>
      </c>
      <c r="F22" s="20"/>
      <c r="G22" s="20"/>
      <c r="H22" s="20"/>
      <c r="I22" s="20"/>
      <c r="J22" s="20"/>
      <c r="K22" s="20"/>
      <c r="L22" s="20"/>
      <c r="M22" s="20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>
        <f t="shared" si="1"/>
        <v>0</v>
      </c>
    </row>
    <row r="23" spans="3:37">
      <c r="C23" s="16">
        <f t="shared" si="0"/>
        <v>18</v>
      </c>
      <c r="D23" s="19" t="s">
        <v>80</v>
      </c>
      <c r="E23" s="16">
        <v>10</v>
      </c>
      <c r="F23" s="20">
        <v>1</v>
      </c>
      <c r="G23" s="20"/>
      <c r="H23" s="20"/>
      <c r="I23" s="20"/>
      <c r="J23" s="20"/>
      <c r="K23" s="20"/>
      <c r="L23" s="20"/>
      <c r="M23" s="20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>
        <f t="shared" si="1"/>
        <v>1</v>
      </c>
    </row>
    <row r="24" spans="3:37">
      <c r="C24" s="16">
        <f t="shared" si="0"/>
        <v>19</v>
      </c>
      <c r="D24" s="19" t="s">
        <v>81</v>
      </c>
      <c r="E24" s="16">
        <v>10</v>
      </c>
      <c r="F24" s="20"/>
      <c r="G24" s="20"/>
      <c r="H24" s="20"/>
      <c r="I24" s="20"/>
      <c r="J24" s="20"/>
      <c r="K24" s="20"/>
      <c r="L24" s="20"/>
      <c r="M24" s="20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>
        <f t="shared" si="1"/>
        <v>0</v>
      </c>
    </row>
    <row r="25" spans="3:37">
      <c r="C25" s="16">
        <f t="shared" si="0"/>
        <v>20</v>
      </c>
      <c r="D25" s="19" t="s">
        <v>82</v>
      </c>
      <c r="E25" s="16">
        <v>10</v>
      </c>
      <c r="F25" s="20"/>
      <c r="G25" s="20"/>
      <c r="H25" s="20"/>
      <c r="I25" s="20"/>
      <c r="J25" s="20"/>
      <c r="K25" s="20"/>
      <c r="L25" s="20"/>
      <c r="M25" s="20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>
        <f t="shared" si="1"/>
        <v>0</v>
      </c>
    </row>
    <row r="26" spans="3:37">
      <c r="C26" s="16">
        <f t="shared" si="0"/>
        <v>21</v>
      </c>
      <c r="D26" s="19" t="s">
        <v>83</v>
      </c>
      <c r="E26" s="16">
        <v>10</v>
      </c>
      <c r="F26" s="20"/>
      <c r="G26" s="20"/>
      <c r="H26" s="20">
        <v>3</v>
      </c>
      <c r="I26" s="20">
        <v>4</v>
      </c>
      <c r="J26" s="20"/>
      <c r="K26" s="20">
        <v>11</v>
      </c>
      <c r="L26" s="20">
        <v>6</v>
      </c>
      <c r="M26" s="20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spans="3:37">
      <c r="C27" s="21"/>
      <c r="D27" s="19" t="s">
        <v>84</v>
      </c>
      <c r="E27" s="16">
        <v>10</v>
      </c>
      <c r="F27" s="20"/>
      <c r="G27" s="20"/>
      <c r="H27" s="20"/>
      <c r="I27" s="20"/>
      <c r="J27" s="20"/>
      <c r="K27" s="20"/>
      <c r="L27" s="20"/>
      <c r="M27" s="20">
        <v>15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spans="3:37">
      <c r="C28" s="132" t="s">
        <v>27</v>
      </c>
      <c r="D28" s="133"/>
      <c r="E28" s="22">
        <f>SUM(E6:E25)</f>
        <v>200</v>
      </c>
      <c r="F28" s="22">
        <f t="shared" ref="F28:AK28" si="2">SUM(F6:F25)</f>
        <v>7</v>
      </c>
      <c r="G28" s="22">
        <f t="shared" si="2"/>
        <v>25</v>
      </c>
      <c r="H28" s="22">
        <f t="shared" si="2"/>
        <v>1</v>
      </c>
      <c r="I28" s="22">
        <f t="shared" si="2"/>
        <v>4</v>
      </c>
      <c r="J28" s="22">
        <f t="shared" si="2"/>
        <v>0</v>
      </c>
      <c r="K28" s="22">
        <f t="shared" si="2"/>
        <v>8</v>
      </c>
      <c r="L28" s="22">
        <f t="shared" si="2"/>
        <v>4</v>
      </c>
      <c r="M28" s="22">
        <f t="shared" si="2"/>
        <v>7</v>
      </c>
      <c r="N28" s="22">
        <f t="shared" si="2"/>
        <v>0</v>
      </c>
      <c r="O28" s="22">
        <f t="shared" si="2"/>
        <v>0</v>
      </c>
      <c r="P28" s="22">
        <f t="shared" si="2"/>
        <v>0</v>
      </c>
      <c r="Q28" s="22">
        <f t="shared" si="2"/>
        <v>0</v>
      </c>
      <c r="R28" s="22">
        <f t="shared" si="2"/>
        <v>0</v>
      </c>
      <c r="S28" s="22">
        <f t="shared" si="2"/>
        <v>0</v>
      </c>
      <c r="T28" s="22">
        <f t="shared" si="2"/>
        <v>0</v>
      </c>
      <c r="U28" s="22">
        <f t="shared" si="2"/>
        <v>0</v>
      </c>
      <c r="V28" s="22">
        <f t="shared" si="2"/>
        <v>0</v>
      </c>
      <c r="W28" s="22">
        <f t="shared" si="2"/>
        <v>0</v>
      </c>
      <c r="X28" s="22">
        <f t="shared" si="2"/>
        <v>0</v>
      </c>
      <c r="Y28" s="22">
        <f t="shared" si="2"/>
        <v>0</v>
      </c>
      <c r="Z28" s="22">
        <f t="shared" si="2"/>
        <v>0</v>
      </c>
      <c r="AA28" s="22">
        <f t="shared" si="2"/>
        <v>0</v>
      </c>
      <c r="AB28" s="22">
        <f t="shared" si="2"/>
        <v>0</v>
      </c>
      <c r="AC28" s="22">
        <f t="shared" si="2"/>
        <v>0</v>
      </c>
      <c r="AD28" s="22">
        <f t="shared" si="2"/>
        <v>0</v>
      </c>
      <c r="AE28" s="22">
        <f t="shared" si="2"/>
        <v>0</v>
      </c>
      <c r="AF28" s="22">
        <f t="shared" si="2"/>
        <v>0</v>
      </c>
      <c r="AG28" s="22">
        <f t="shared" si="2"/>
        <v>0</v>
      </c>
      <c r="AH28" s="22">
        <f t="shared" si="2"/>
        <v>0</v>
      </c>
      <c r="AI28" s="22">
        <f t="shared" si="2"/>
        <v>0</v>
      </c>
      <c r="AJ28" s="22">
        <f t="shared" si="2"/>
        <v>0</v>
      </c>
      <c r="AK28" s="22">
        <f t="shared" si="2"/>
        <v>56</v>
      </c>
    </row>
  </sheetData>
  <mergeCells count="7">
    <mergeCell ref="C3:AK3"/>
    <mergeCell ref="F4:AJ4"/>
    <mergeCell ref="C28:D28"/>
    <mergeCell ref="C4:C5"/>
    <mergeCell ref="D4:D5"/>
    <mergeCell ref="E4:E5"/>
    <mergeCell ref="AK4:AK5"/>
  </mergeCells>
  <conditionalFormatting sqref="F6:AJ27">
    <cfRule type="expression" dxfId="303" priority="1">
      <formula>AND(ISNUMBER(F6),F6&lt;=10)</formula>
    </cfRule>
    <cfRule type="expression" dxfId="302" priority="2">
      <formula>AND(ISNUMBER(F6),F6&gt;=10)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1767"/>
  <sheetViews>
    <sheetView showGridLines="0" topLeftCell="Q1" zoomScale="92" zoomScaleNormal="92" workbookViewId="0">
      <pane ySplit="1" topLeftCell="A1067" activePane="bottomLeft" state="frozen"/>
      <selection pane="bottomLeft" activeCell="W1084" sqref="W1084"/>
    </sheetView>
  </sheetViews>
  <sheetFormatPr defaultColWidth="4.7109375" defaultRowHeight="15"/>
  <cols>
    <col min="1" max="1" width="5.42578125" bestFit="1" customWidth="1"/>
    <col min="2" max="2" width="17.5703125" style="6" bestFit="1" customWidth="1"/>
    <col min="3" max="3" width="39" bestFit="1" customWidth="1"/>
    <col min="4" max="4" width="54.85546875" bestFit="1" customWidth="1"/>
    <col min="5" max="5" width="15.85546875" bestFit="1" customWidth="1"/>
    <col min="6" max="6" width="42.28515625" bestFit="1" customWidth="1"/>
    <col min="7" max="7" width="12.140625" bestFit="1" customWidth="1"/>
    <col min="8" max="8" width="10.5703125" bestFit="1" customWidth="1"/>
    <col min="9" max="9" width="15" bestFit="1" customWidth="1"/>
    <col min="10" max="10" width="8.28515625" bestFit="1" customWidth="1"/>
    <col min="11" max="11" width="5.5703125" bestFit="1" customWidth="1"/>
    <col min="12" max="12" width="21.42578125" bestFit="1" customWidth="1"/>
    <col min="13" max="13" width="19.85546875" bestFit="1" customWidth="1"/>
    <col min="14" max="14" width="11.42578125" bestFit="1" customWidth="1"/>
    <col min="15" max="15" width="27.85546875" bestFit="1" customWidth="1"/>
    <col min="16" max="16" width="16.42578125" bestFit="1" customWidth="1"/>
    <col min="17" max="17" width="6.28515625" bestFit="1" customWidth="1"/>
    <col min="18" max="18" width="19.42578125" bestFit="1" customWidth="1"/>
    <col min="19" max="19" width="12.140625" bestFit="1" customWidth="1"/>
    <col min="20" max="20" width="5.85546875" bestFit="1" customWidth="1"/>
    <col min="21" max="21" width="36.140625" bestFit="1" customWidth="1"/>
    <col min="22" max="22" width="5.5703125" bestFit="1" customWidth="1"/>
    <col min="23" max="23" width="20" bestFit="1" customWidth="1"/>
    <col min="24" max="24" width="11.85546875" bestFit="1" customWidth="1"/>
    <col min="25" max="25" width="69" bestFit="1" customWidth="1"/>
    <col min="26" max="26" width="4.7109375" customWidth="1"/>
  </cols>
  <sheetData>
    <row r="1" spans="1:25">
      <c r="A1" s="7" t="s">
        <v>85</v>
      </c>
      <c r="B1" s="8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92</v>
      </c>
      <c r="I1" s="7" t="s">
        <v>93</v>
      </c>
      <c r="J1" s="7" t="s">
        <v>94</v>
      </c>
      <c r="K1" s="7" t="s">
        <v>95</v>
      </c>
      <c r="L1" s="7" t="s">
        <v>96</v>
      </c>
      <c r="M1" s="7" t="s">
        <v>97</v>
      </c>
      <c r="N1" s="7" t="s">
        <v>98</v>
      </c>
      <c r="O1" s="7" t="s">
        <v>99</v>
      </c>
      <c r="P1" s="7" t="s">
        <v>100</v>
      </c>
      <c r="Q1" s="7" t="s">
        <v>101</v>
      </c>
      <c r="R1" s="7" t="s">
        <v>102</v>
      </c>
      <c r="S1" s="7" t="s">
        <v>103</v>
      </c>
      <c r="T1" s="7" t="s">
        <v>104</v>
      </c>
      <c r="U1" s="7" t="s">
        <v>105</v>
      </c>
      <c r="V1" s="7" t="s">
        <v>106</v>
      </c>
      <c r="W1" s="7" t="s">
        <v>107</v>
      </c>
      <c r="X1" s="7" t="s">
        <v>108</v>
      </c>
      <c r="Y1" s="7" t="s">
        <v>109</v>
      </c>
    </row>
    <row r="2" spans="1:25">
      <c r="A2" s="80">
        <v>1</v>
      </c>
      <c r="B2" s="10">
        <v>45962.408807870401</v>
      </c>
      <c r="C2" s="80" t="s">
        <v>110</v>
      </c>
      <c r="D2" s="80" t="s">
        <v>111</v>
      </c>
      <c r="E2" s="80" t="s">
        <v>112</v>
      </c>
      <c r="F2" s="80" t="s">
        <v>113</v>
      </c>
      <c r="G2" s="80" t="s">
        <v>114</v>
      </c>
      <c r="H2" s="80" t="s">
        <v>115</v>
      </c>
      <c r="I2" s="80" t="s">
        <v>116</v>
      </c>
      <c r="J2" s="80" t="s">
        <v>117</v>
      </c>
      <c r="K2" s="80">
        <v>24</v>
      </c>
      <c r="L2" s="80" t="s">
        <v>118</v>
      </c>
      <c r="M2" s="80" t="s">
        <v>119</v>
      </c>
      <c r="N2" s="80" t="s">
        <v>120</v>
      </c>
      <c r="O2" s="80" t="s">
        <v>121</v>
      </c>
      <c r="P2" s="80" t="s">
        <v>122</v>
      </c>
      <c r="Q2" s="80" t="s">
        <v>123</v>
      </c>
      <c r="R2" s="80" t="s">
        <v>124</v>
      </c>
      <c r="S2" s="80">
        <v>17</v>
      </c>
      <c r="T2" s="80">
        <v>36</v>
      </c>
      <c r="U2" s="80" t="s">
        <v>125</v>
      </c>
      <c r="V2" s="80" t="s">
        <v>126</v>
      </c>
      <c r="W2" s="80" t="s">
        <v>127</v>
      </c>
      <c r="X2" s="80"/>
      <c r="Y2" s="80"/>
    </row>
    <row r="3" spans="1:25">
      <c r="A3" s="80">
        <f>A2+1</f>
        <v>2</v>
      </c>
      <c r="B3" s="10">
        <v>45962.427870370397</v>
      </c>
      <c r="C3" s="80" t="s">
        <v>110</v>
      </c>
      <c r="D3" s="80" t="s">
        <v>128</v>
      </c>
      <c r="E3" s="80" t="s">
        <v>129</v>
      </c>
      <c r="F3" s="80" t="s">
        <v>130</v>
      </c>
      <c r="G3" s="80" t="s">
        <v>131</v>
      </c>
      <c r="H3" s="80" t="s">
        <v>115</v>
      </c>
      <c r="I3" s="80" t="s">
        <v>132</v>
      </c>
      <c r="J3" s="80" t="s">
        <v>117</v>
      </c>
      <c r="K3" s="80">
        <v>12</v>
      </c>
      <c r="L3" s="80" t="s">
        <v>133</v>
      </c>
      <c r="M3" s="80" t="s">
        <v>134</v>
      </c>
      <c r="N3" s="80" t="s">
        <v>120</v>
      </c>
      <c r="O3" s="80" t="s">
        <v>121</v>
      </c>
      <c r="P3" s="80" t="s">
        <v>135</v>
      </c>
      <c r="Q3" s="80" t="s">
        <v>123</v>
      </c>
      <c r="R3" s="80" t="s">
        <v>136</v>
      </c>
      <c r="S3" s="80">
        <v>7</v>
      </c>
      <c r="T3" s="80">
        <v>24</v>
      </c>
      <c r="U3" s="80" t="s">
        <v>125</v>
      </c>
      <c r="V3" s="80" t="s">
        <v>126</v>
      </c>
      <c r="W3" s="80" t="s">
        <v>137</v>
      </c>
      <c r="X3" s="80"/>
      <c r="Y3" s="80"/>
    </row>
    <row r="4" spans="1:25">
      <c r="A4" s="80">
        <f t="shared" ref="A4:A67" si="0">A3+1</f>
        <v>3</v>
      </c>
      <c r="B4" s="10">
        <v>45962.428240740701</v>
      </c>
      <c r="C4" s="80" t="s">
        <v>138</v>
      </c>
      <c r="D4" s="80" t="s">
        <v>139</v>
      </c>
      <c r="E4" s="80" t="s">
        <v>129</v>
      </c>
      <c r="F4" s="80" t="s">
        <v>130</v>
      </c>
      <c r="G4" s="80" t="s">
        <v>131</v>
      </c>
      <c r="H4" s="80" t="s">
        <v>115</v>
      </c>
      <c r="I4" s="80" t="s">
        <v>132</v>
      </c>
      <c r="J4" s="80" t="s">
        <v>117</v>
      </c>
      <c r="K4" s="80">
        <v>12</v>
      </c>
      <c r="L4" s="80" t="s">
        <v>133</v>
      </c>
      <c r="M4" s="80" t="s">
        <v>134</v>
      </c>
      <c r="N4" s="80" t="s">
        <v>120</v>
      </c>
      <c r="O4" s="80" t="s">
        <v>121</v>
      </c>
      <c r="P4" s="80" t="s">
        <v>135</v>
      </c>
      <c r="Q4" s="80" t="s">
        <v>123</v>
      </c>
      <c r="R4" s="80" t="s">
        <v>136</v>
      </c>
      <c r="S4" s="80">
        <v>7</v>
      </c>
      <c r="T4" s="80">
        <v>24</v>
      </c>
      <c r="U4" s="80" t="s">
        <v>140</v>
      </c>
      <c r="V4" s="80" t="s">
        <v>141</v>
      </c>
      <c r="W4" s="80" t="s">
        <v>142</v>
      </c>
      <c r="X4" s="80"/>
      <c r="Y4" s="80"/>
    </row>
    <row r="5" spans="1:25">
      <c r="A5" s="80">
        <f t="shared" si="0"/>
        <v>4</v>
      </c>
      <c r="B5" s="10">
        <v>45962.435196759303</v>
      </c>
      <c r="C5" s="80" t="s">
        <v>143</v>
      </c>
      <c r="D5" s="80" t="s">
        <v>144</v>
      </c>
      <c r="E5" s="80" t="s">
        <v>145</v>
      </c>
      <c r="F5" s="80" t="s">
        <v>146</v>
      </c>
      <c r="G5" s="80" t="s">
        <v>147</v>
      </c>
      <c r="H5" s="80" t="s">
        <v>148</v>
      </c>
      <c r="I5" s="80" t="s">
        <v>44</v>
      </c>
      <c r="J5" s="80" t="s">
        <v>149</v>
      </c>
      <c r="K5" s="80">
        <v>13</v>
      </c>
      <c r="L5" s="80" t="s">
        <v>150</v>
      </c>
      <c r="M5" s="80" t="s">
        <v>151</v>
      </c>
      <c r="N5" s="80" t="s">
        <v>120</v>
      </c>
      <c r="O5" s="80" t="s">
        <v>152</v>
      </c>
      <c r="P5" s="80" t="s">
        <v>135</v>
      </c>
      <c r="Q5" s="80" t="s">
        <v>123</v>
      </c>
      <c r="R5" s="80" t="s">
        <v>136</v>
      </c>
      <c r="S5" s="80">
        <v>1</v>
      </c>
      <c r="T5" s="80">
        <v>18</v>
      </c>
      <c r="U5" s="80" t="s">
        <v>153</v>
      </c>
      <c r="V5" s="80" t="s">
        <v>126</v>
      </c>
      <c r="W5" s="80" t="s">
        <v>137</v>
      </c>
      <c r="X5" s="80"/>
      <c r="Y5" s="80"/>
    </row>
    <row r="6" spans="1:25">
      <c r="A6" s="80">
        <f t="shared" si="0"/>
        <v>5</v>
      </c>
      <c r="B6" s="10">
        <v>45962.4352546296</v>
      </c>
      <c r="C6" s="80" t="s">
        <v>154</v>
      </c>
      <c r="D6" s="80" t="s">
        <v>155</v>
      </c>
      <c r="E6" s="80" t="s">
        <v>145</v>
      </c>
      <c r="F6" s="80" t="s">
        <v>146</v>
      </c>
      <c r="G6" s="80" t="s">
        <v>147</v>
      </c>
      <c r="H6" s="80" t="s">
        <v>148</v>
      </c>
      <c r="I6" s="80" t="s">
        <v>44</v>
      </c>
      <c r="J6" s="80" t="s">
        <v>149</v>
      </c>
      <c r="K6" s="80">
        <v>13</v>
      </c>
      <c r="L6" s="80" t="s">
        <v>150</v>
      </c>
      <c r="M6" s="80" t="s">
        <v>151</v>
      </c>
      <c r="N6" s="80" t="s">
        <v>120</v>
      </c>
      <c r="O6" s="80" t="s">
        <v>152</v>
      </c>
      <c r="P6" s="80" t="s">
        <v>135</v>
      </c>
      <c r="Q6" s="80" t="s">
        <v>123</v>
      </c>
      <c r="R6" s="80" t="s">
        <v>136</v>
      </c>
      <c r="S6" s="80">
        <v>1</v>
      </c>
      <c r="T6" s="80">
        <v>18</v>
      </c>
      <c r="U6" s="80" t="s">
        <v>156</v>
      </c>
      <c r="V6" s="80" t="s">
        <v>141</v>
      </c>
      <c r="W6" s="80" t="s">
        <v>137</v>
      </c>
      <c r="X6" s="80"/>
      <c r="Y6" s="80"/>
    </row>
    <row r="7" spans="1:25">
      <c r="A7" s="80">
        <f t="shared" si="0"/>
        <v>6</v>
      </c>
      <c r="B7" s="10">
        <v>45962.472546296303</v>
      </c>
      <c r="C7" s="80" t="s">
        <v>157</v>
      </c>
      <c r="D7" s="80" t="s">
        <v>158</v>
      </c>
      <c r="E7" s="80" t="s">
        <v>159</v>
      </c>
      <c r="F7" s="80" t="s">
        <v>160</v>
      </c>
      <c r="G7" s="80" t="s">
        <v>161</v>
      </c>
      <c r="H7" s="80" t="s">
        <v>115</v>
      </c>
      <c r="I7" s="80" t="s">
        <v>116</v>
      </c>
      <c r="J7" s="80" t="s">
        <v>117</v>
      </c>
      <c r="K7" s="80">
        <v>17</v>
      </c>
      <c r="L7" s="80" t="s">
        <v>162</v>
      </c>
      <c r="M7" s="80" t="s">
        <v>163</v>
      </c>
      <c r="N7" s="80" t="s">
        <v>164</v>
      </c>
      <c r="O7" s="80" t="s">
        <v>165</v>
      </c>
      <c r="P7" s="80" t="s">
        <v>135</v>
      </c>
      <c r="Q7" s="80" t="s">
        <v>123</v>
      </c>
      <c r="R7" s="80" t="s">
        <v>166</v>
      </c>
      <c r="S7" s="80">
        <v>3</v>
      </c>
      <c r="T7" s="80">
        <v>6</v>
      </c>
      <c r="U7" s="80" t="s">
        <v>167</v>
      </c>
      <c r="V7" s="80" t="s">
        <v>126</v>
      </c>
      <c r="W7" s="80" t="s">
        <v>127</v>
      </c>
      <c r="X7" s="80"/>
      <c r="Y7" s="80"/>
    </row>
    <row r="8" spans="1:25">
      <c r="A8" s="80">
        <f t="shared" si="0"/>
        <v>7</v>
      </c>
      <c r="B8" s="10">
        <v>45962.5015277778</v>
      </c>
      <c r="C8" s="80" t="s">
        <v>168</v>
      </c>
      <c r="D8" s="80" t="s">
        <v>169</v>
      </c>
      <c r="E8" s="80" t="s">
        <v>170</v>
      </c>
      <c r="F8" s="80" t="s">
        <v>171</v>
      </c>
      <c r="G8" s="80" t="s">
        <v>172</v>
      </c>
      <c r="H8" s="80" t="s">
        <v>173</v>
      </c>
      <c r="I8" s="80" t="s">
        <v>174</v>
      </c>
      <c r="J8" s="80" t="s">
        <v>117</v>
      </c>
      <c r="K8" s="80">
        <v>1</v>
      </c>
      <c r="L8" s="80" t="s">
        <v>175</v>
      </c>
      <c r="M8" s="80" t="s">
        <v>176</v>
      </c>
      <c r="N8" s="80" t="s">
        <v>120</v>
      </c>
      <c r="O8" s="80" t="s">
        <v>177</v>
      </c>
      <c r="P8" s="80" t="s">
        <v>178</v>
      </c>
      <c r="Q8" s="80" t="s">
        <v>123</v>
      </c>
      <c r="R8" s="80" t="s">
        <v>174</v>
      </c>
      <c r="S8" s="80">
        <v>3</v>
      </c>
      <c r="T8" s="80">
        <v>12</v>
      </c>
      <c r="U8" s="80" t="s">
        <v>179</v>
      </c>
      <c r="V8" s="80" t="s">
        <v>126</v>
      </c>
      <c r="W8" s="80" t="s">
        <v>127</v>
      </c>
      <c r="X8" s="80"/>
      <c r="Y8" s="80"/>
    </row>
    <row r="9" spans="1:25">
      <c r="A9" s="80">
        <f t="shared" si="0"/>
        <v>8</v>
      </c>
      <c r="B9" s="10">
        <v>45962.6015162037</v>
      </c>
      <c r="C9" s="80" t="s">
        <v>157</v>
      </c>
      <c r="D9" s="80" t="s">
        <v>180</v>
      </c>
      <c r="E9" s="80" t="s">
        <v>181</v>
      </c>
      <c r="F9" s="80" t="s">
        <v>182</v>
      </c>
      <c r="G9" s="80" t="s">
        <v>183</v>
      </c>
      <c r="H9" s="80" t="s">
        <v>184</v>
      </c>
      <c r="I9" s="80" t="s">
        <v>44</v>
      </c>
      <c r="J9" s="80" t="s">
        <v>117</v>
      </c>
      <c r="K9" s="80">
        <v>8</v>
      </c>
      <c r="L9" s="80" t="s">
        <v>185</v>
      </c>
      <c r="M9" s="80" t="s">
        <v>186</v>
      </c>
      <c r="N9" s="80" t="s">
        <v>120</v>
      </c>
      <c r="O9" s="80" t="s">
        <v>187</v>
      </c>
      <c r="P9" s="80" t="s">
        <v>135</v>
      </c>
      <c r="Q9" s="80" t="s">
        <v>123</v>
      </c>
      <c r="R9" s="80" t="s">
        <v>136</v>
      </c>
      <c r="S9" s="80">
        <v>24</v>
      </c>
      <c r="T9" s="80">
        <v>24</v>
      </c>
      <c r="U9" s="80" t="s">
        <v>167</v>
      </c>
      <c r="V9" s="80" t="s">
        <v>126</v>
      </c>
      <c r="W9" s="80" t="s">
        <v>188</v>
      </c>
      <c r="X9" s="80"/>
      <c r="Y9" s="80"/>
    </row>
    <row r="10" spans="1:25">
      <c r="A10" s="80">
        <f t="shared" si="0"/>
        <v>9</v>
      </c>
      <c r="B10" s="10">
        <v>45962.691469907397</v>
      </c>
      <c r="C10" s="80" t="s">
        <v>143</v>
      </c>
      <c r="D10" s="80" t="s">
        <v>189</v>
      </c>
      <c r="E10" s="80" t="s">
        <v>190</v>
      </c>
      <c r="F10" s="80" t="s">
        <v>191</v>
      </c>
      <c r="G10" s="80" t="s">
        <v>192</v>
      </c>
      <c r="H10" s="80" t="s">
        <v>148</v>
      </c>
      <c r="I10" s="80" t="s">
        <v>46</v>
      </c>
      <c r="J10" s="80" t="s">
        <v>149</v>
      </c>
      <c r="K10" s="80">
        <v>4</v>
      </c>
      <c r="L10" s="80" t="s">
        <v>193</v>
      </c>
      <c r="M10" s="80" t="s">
        <v>194</v>
      </c>
      <c r="N10" s="80" t="s">
        <v>120</v>
      </c>
      <c r="O10" s="80" t="s">
        <v>152</v>
      </c>
      <c r="P10" s="80" t="s">
        <v>178</v>
      </c>
      <c r="Q10" s="80" t="s">
        <v>123</v>
      </c>
      <c r="R10" s="80" t="s">
        <v>136</v>
      </c>
      <c r="S10" s="80">
        <v>1</v>
      </c>
      <c r="T10" s="80">
        <v>24</v>
      </c>
      <c r="U10" s="80" t="s">
        <v>153</v>
      </c>
      <c r="V10" s="80" t="s">
        <v>126</v>
      </c>
      <c r="W10" s="80" t="s">
        <v>137</v>
      </c>
      <c r="X10" s="80"/>
      <c r="Y10" s="80"/>
    </row>
    <row r="11" spans="1:25">
      <c r="A11" s="80">
        <f t="shared" si="0"/>
        <v>10</v>
      </c>
      <c r="B11" s="10">
        <v>45962.704988425903</v>
      </c>
      <c r="C11" s="80" t="s">
        <v>195</v>
      </c>
      <c r="D11" s="80" t="s">
        <v>196</v>
      </c>
      <c r="E11" s="80" t="s">
        <v>197</v>
      </c>
      <c r="F11" s="80" t="s">
        <v>198</v>
      </c>
      <c r="G11" s="80" t="s">
        <v>199</v>
      </c>
      <c r="H11" s="80" t="s">
        <v>115</v>
      </c>
      <c r="I11" s="80" t="s">
        <v>132</v>
      </c>
      <c r="J11" s="80" t="s">
        <v>117</v>
      </c>
      <c r="K11" s="80">
        <v>1</v>
      </c>
      <c r="L11" s="80" t="s">
        <v>200</v>
      </c>
      <c r="M11" s="80" t="s">
        <v>201</v>
      </c>
      <c r="N11" s="80" t="s">
        <v>164</v>
      </c>
      <c r="O11" s="80" t="s">
        <v>202</v>
      </c>
      <c r="P11" s="80" t="s">
        <v>135</v>
      </c>
      <c r="Q11" s="80" t="s">
        <v>123</v>
      </c>
      <c r="R11" s="80" t="s">
        <v>136</v>
      </c>
      <c r="S11" s="80">
        <v>4</v>
      </c>
      <c r="T11" s="80">
        <v>24</v>
      </c>
      <c r="U11" s="80" t="s">
        <v>203</v>
      </c>
      <c r="V11" s="80" t="s">
        <v>141</v>
      </c>
      <c r="W11" s="80" t="s">
        <v>204</v>
      </c>
      <c r="X11" s="80" t="s">
        <v>205</v>
      </c>
      <c r="Y11" s="80"/>
    </row>
    <row r="12" spans="1:25">
      <c r="A12" s="80">
        <f t="shared" si="0"/>
        <v>11</v>
      </c>
      <c r="B12" s="10">
        <v>45962.715486111098</v>
      </c>
      <c r="C12" s="80" t="s">
        <v>110</v>
      </c>
      <c r="D12" s="80" t="s">
        <v>206</v>
      </c>
      <c r="E12" s="80" t="s">
        <v>207</v>
      </c>
      <c r="F12" s="80" t="s">
        <v>208</v>
      </c>
      <c r="G12" s="80" t="s">
        <v>209</v>
      </c>
      <c r="H12" s="80" t="s">
        <v>210</v>
      </c>
      <c r="I12" s="80" t="s">
        <v>50</v>
      </c>
      <c r="J12" s="80" t="s">
        <v>117</v>
      </c>
      <c r="K12" s="80">
        <v>25</v>
      </c>
      <c r="L12" s="80" t="s">
        <v>211</v>
      </c>
      <c r="M12" s="80" t="s">
        <v>212</v>
      </c>
      <c r="N12" s="80" t="s">
        <v>120</v>
      </c>
      <c r="O12" s="80" t="s">
        <v>213</v>
      </c>
      <c r="P12" s="80" t="s">
        <v>214</v>
      </c>
      <c r="Q12" s="80" t="s">
        <v>123</v>
      </c>
      <c r="R12" s="80" t="s">
        <v>215</v>
      </c>
      <c r="S12" s="80">
        <v>8</v>
      </c>
      <c r="T12" s="80">
        <v>12</v>
      </c>
      <c r="U12" s="80" t="s">
        <v>125</v>
      </c>
      <c r="V12" s="80" t="s">
        <v>126</v>
      </c>
      <c r="W12" s="80" t="s">
        <v>127</v>
      </c>
      <c r="X12" s="80"/>
      <c r="Y12" s="80"/>
    </row>
    <row r="13" spans="1:25">
      <c r="A13" s="80">
        <f t="shared" si="0"/>
        <v>12</v>
      </c>
      <c r="B13" s="10">
        <v>45962.7579513889</v>
      </c>
      <c r="C13" s="80" t="s">
        <v>110</v>
      </c>
      <c r="D13" s="80" t="s">
        <v>216</v>
      </c>
      <c r="E13" s="80" t="s">
        <v>217</v>
      </c>
      <c r="F13" s="80" t="s">
        <v>218</v>
      </c>
      <c r="G13" s="80" t="s">
        <v>219</v>
      </c>
      <c r="H13" s="80" t="s">
        <v>173</v>
      </c>
      <c r="I13" s="80" t="s">
        <v>174</v>
      </c>
      <c r="J13" s="80" t="s">
        <v>117</v>
      </c>
      <c r="K13" s="80">
        <v>4</v>
      </c>
      <c r="L13" s="80" t="s">
        <v>220</v>
      </c>
      <c r="M13" s="80" t="s">
        <v>221</v>
      </c>
      <c r="N13" s="80" t="s">
        <v>120</v>
      </c>
      <c r="O13" s="80" t="s">
        <v>121</v>
      </c>
      <c r="P13" s="80" t="s">
        <v>135</v>
      </c>
      <c r="Q13" s="80" t="s">
        <v>123</v>
      </c>
      <c r="R13" s="80" t="s">
        <v>174</v>
      </c>
      <c r="S13" s="80">
        <v>13</v>
      </c>
      <c r="T13" s="80">
        <v>24</v>
      </c>
      <c r="U13" s="80" t="s">
        <v>125</v>
      </c>
      <c r="V13" s="80" t="s">
        <v>126</v>
      </c>
      <c r="W13" s="80" t="s">
        <v>127</v>
      </c>
      <c r="X13" s="80"/>
      <c r="Y13" s="80"/>
    </row>
    <row r="14" spans="1:25">
      <c r="A14" s="80">
        <f t="shared" si="0"/>
        <v>13</v>
      </c>
      <c r="B14" s="10">
        <v>45962.763703703698</v>
      </c>
      <c r="C14" s="80" t="s">
        <v>222</v>
      </c>
      <c r="D14" s="80" t="s">
        <v>223</v>
      </c>
      <c r="E14" s="80" t="s">
        <v>224</v>
      </c>
      <c r="F14" s="80" t="s">
        <v>225</v>
      </c>
      <c r="G14" s="80" t="s">
        <v>226</v>
      </c>
      <c r="H14" s="80" t="s">
        <v>115</v>
      </c>
      <c r="I14" s="80" t="s">
        <v>227</v>
      </c>
      <c r="J14" s="80" t="s">
        <v>117</v>
      </c>
      <c r="K14" s="80">
        <v>11</v>
      </c>
      <c r="L14" s="80" t="s">
        <v>228</v>
      </c>
      <c r="M14" s="80" t="s">
        <v>229</v>
      </c>
      <c r="N14" s="80" t="s">
        <v>120</v>
      </c>
      <c r="O14" s="80" t="s">
        <v>230</v>
      </c>
      <c r="P14" s="80" t="s">
        <v>231</v>
      </c>
      <c r="Q14" s="80" t="s">
        <v>123</v>
      </c>
      <c r="R14" s="80" t="s">
        <v>124</v>
      </c>
      <c r="S14" s="80">
        <v>9</v>
      </c>
      <c r="T14" s="80">
        <v>12</v>
      </c>
      <c r="U14" s="80" t="s">
        <v>232</v>
      </c>
      <c r="V14" s="80" t="s">
        <v>126</v>
      </c>
      <c r="W14" s="80" t="s">
        <v>127</v>
      </c>
      <c r="X14" s="80"/>
      <c r="Y14" s="80"/>
    </row>
    <row r="15" spans="1:25">
      <c r="A15" s="80">
        <f t="shared" si="0"/>
        <v>14</v>
      </c>
      <c r="B15" s="10">
        <v>45962.913136574098</v>
      </c>
      <c r="C15" s="80" t="s">
        <v>157</v>
      </c>
      <c r="D15" s="80" t="s">
        <v>233</v>
      </c>
      <c r="E15" s="80" t="s">
        <v>234</v>
      </c>
      <c r="F15" s="80" t="s">
        <v>235</v>
      </c>
      <c r="G15" s="80" t="s">
        <v>236</v>
      </c>
      <c r="H15" s="80" t="s">
        <v>115</v>
      </c>
      <c r="I15" s="80" t="s">
        <v>237</v>
      </c>
      <c r="J15" s="80" t="s">
        <v>117</v>
      </c>
      <c r="K15" s="80">
        <v>1</v>
      </c>
      <c r="L15" s="80" t="s">
        <v>238</v>
      </c>
      <c r="M15" s="80" t="s">
        <v>239</v>
      </c>
      <c r="N15" s="80" t="s">
        <v>120</v>
      </c>
      <c r="O15" s="80" t="s">
        <v>240</v>
      </c>
      <c r="P15" s="80" t="s">
        <v>135</v>
      </c>
      <c r="Q15" s="80" t="s">
        <v>123</v>
      </c>
      <c r="R15" s="80" t="s">
        <v>124</v>
      </c>
      <c r="S15" s="80">
        <v>5</v>
      </c>
      <c r="T15" s="80">
        <v>12</v>
      </c>
      <c r="U15" s="80" t="s">
        <v>167</v>
      </c>
      <c r="V15" s="80" t="s">
        <v>126</v>
      </c>
      <c r="W15" s="80" t="s">
        <v>127</v>
      </c>
      <c r="X15" s="80"/>
      <c r="Y15" s="80"/>
    </row>
    <row r="16" spans="1:25">
      <c r="A16" s="80">
        <f t="shared" si="0"/>
        <v>15</v>
      </c>
      <c r="B16" s="10">
        <v>45962.914583333302</v>
      </c>
      <c r="C16" s="80" t="s">
        <v>222</v>
      </c>
      <c r="D16" s="80" t="s">
        <v>223</v>
      </c>
      <c r="E16" s="80" t="s">
        <v>241</v>
      </c>
      <c r="F16" s="80" t="s">
        <v>242</v>
      </c>
      <c r="G16" s="80" t="s">
        <v>243</v>
      </c>
      <c r="H16" s="80" t="s">
        <v>115</v>
      </c>
      <c r="I16" s="80" t="s">
        <v>244</v>
      </c>
      <c r="J16" s="80" t="s">
        <v>117</v>
      </c>
      <c r="K16" s="80">
        <v>21</v>
      </c>
      <c r="L16" s="80" t="s">
        <v>245</v>
      </c>
      <c r="M16" s="80" t="s">
        <v>246</v>
      </c>
      <c r="N16" s="80" t="s">
        <v>120</v>
      </c>
      <c r="O16" s="80" t="s">
        <v>247</v>
      </c>
      <c r="P16" s="80" t="s">
        <v>135</v>
      </c>
      <c r="Q16" s="80" t="s">
        <v>123</v>
      </c>
      <c r="R16" s="80" t="s">
        <v>124</v>
      </c>
      <c r="S16" s="80">
        <v>10</v>
      </c>
      <c r="T16" s="80">
        <v>12</v>
      </c>
      <c r="U16" s="80" t="s">
        <v>232</v>
      </c>
      <c r="V16" s="80" t="s">
        <v>126</v>
      </c>
      <c r="W16" s="80" t="s">
        <v>127</v>
      </c>
      <c r="X16" s="80"/>
      <c r="Y16" s="80"/>
    </row>
    <row r="17" spans="1:25">
      <c r="A17" s="80">
        <f t="shared" si="0"/>
        <v>16</v>
      </c>
      <c r="B17" s="10">
        <v>45962.920023148101</v>
      </c>
      <c r="C17" s="80" t="s">
        <v>157</v>
      </c>
      <c r="D17" s="80" t="s">
        <v>248</v>
      </c>
      <c r="E17" s="80" t="s">
        <v>249</v>
      </c>
      <c r="F17" s="80" t="s">
        <v>250</v>
      </c>
      <c r="G17" s="80" t="s">
        <v>251</v>
      </c>
      <c r="H17" s="80" t="s">
        <v>115</v>
      </c>
      <c r="I17" s="80" t="s">
        <v>252</v>
      </c>
      <c r="J17" s="80" t="s">
        <v>117</v>
      </c>
      <c r="K17" s="80">
        <v>3</v>
      </c>
      <c r="L17" s="80" t="s">
        <v>253</v>
      </c>
      <c r="M17" s="80" t="s">
        <v>254</v>
      </c>
      <c r="N17" s="80" t="s">
        <v>164</v>
      </c>
      <c r="O17" s="80" t="s">
        <v>202</v>
      </c>
      <c r="P17" s="80" t="s">
        <v>231</v>
      </c>
      <c r="Q17" s="80" t="s">
        <v>123</v>
      </c>
      <c r="R17" s="80" t="s">
        <v>124</v>
      </c>
      <c r="S17" s="80">
        <v>14</v>
      </c>
      <c r="T17" s="80">
        <v>18</v>
      </c>
      <c r="U17" s="80" t="s">
        <v>167</v>
      </c>
      <c r="V17" s="80" t="s">
        <v>126</v>
      </c>
      <c r="W17" s="80" t="s">
        <v>127</v>
      </c>
      <c r="X17" s="80"/>
      <c r="Y17" s="80"/>
    </row>
    <row r="18" spans="1:25">
      <c r="A18" s="80">
        <f t="shared" si="0"/>
        <v>17</v>
      </c>
      <c r="B18" s="10">
        <v>45962.926817129599</v>
      </c>
      <c r="C18" s="80" t="s">
        <v>222</v>
      </c>
      <c r="D18" s="80" t="s">
        <v>255</v>
      </c>
      <c r="E18" s="80" t="s">
        <v>256</v>
      </c>
      <c r="F18" s="80" t="s">
        <v>257</v>
      </c>
      <c r="G18" s="80" t="s">
        <v>258</v>
      </c>
      <c r="H18" s="80" t="s">
        <v>115</v>
      </c>
      <c r="I18" s="80" t="s">
        <v>116</v>
      </c>
      <c r="J18" s="80" t="s">
        <v>117</v>
      </c>
      <c r="K18" s="80">
        <v>21</v>
      </c>
      <c r="L18" s="80" t="s">
        <v>259</v>
      </c>
      <c r="M18" s="80" t="s">
        <v>260</v>
      </c>
      <c r="N18" s="80" t="s">
        <v>120</v>
      </c>
      <c r="O18" s="80" t="s">
        <v>240</v>
      </c>
      <c r="P18" s="80" t="s">
        <v>135</v>
      </c>
      <c r="Q18" s="80" t="s">
        <v>123</v>
      </c>
      <c r="R18" s="80" t="s">
        <v>124</v>
      </c>
      <c r="S18" s="80">
        <v>9</v>
      </c>
      <c r="T18" s="80">
        <v>12</v>
      </c>
      <c r="U18" s="80" t="s">
        <v>232</v>
      </c>
      <c r="V18" s="80" t="s">
        <v>126</v>
      </c>
      <c r="W18" s="80" t="s">
        <v>127</v>
      </c>
      <c r="X18" s="80"/>
      <c r="Y18" s="80"/>
    </row>
    <row r="19" spans="1:25">
      <c r="A19" s="80">
        <f t="shared" si="0"/>
        <v>18</v>
      </c>
      <c r="B19" s="10">
        <v>45963.413229166697</v>
      </c>
      <c r="C19" s="80" t="s">
        <v>261</v>
      </c>
      <c r="D19" s="80" t="s">
        <v>262</v>
      </c>
      <c r="E19" s="80" t="s">
        <v>263</v>
      </c>
      <c r="F19" s="80" t="s">
        <v>264</v>
      </c>
      <c r="G19" s="80" t="s">
        <v>265</v>
      </c>
      <c r="H19" s="80" t="s">
        <v>173</v>
      </c>
      <c r="I19" s="80" t="s">
        <v>174</v>
      </c>
      <c r="J19" s="80" t="s">
        <v>117</v>
      </c>
      <c r="K19" s="80">
        <v>1</v>
      </c>
      <c r="L19" s="80" t="s">
        <v>266</v>
      </c>
      <c r="M19" s="80" t="s">
        <v>267</v>
      </c>
      <c r="N19" s="80" t="s">
        <v>120</v>
      </c>
      <c r="O19" s="80" t="s">
        <v>268</v>
      </c>
      <c r="P19" s="80" t="s">
        <v>269</v>
      </c>
      <c r="Q19" s="80" t="s">
        <v>123</v>
      </c>
      <c r="R19" s="80" t="s">
        <v>174</v>
      </c>
      <c r="S19" s="80">
        <v>13</v>
      </c>
      <c r="T19" s="80">
        <v>18</v>
      </c>
      <c r="U19" s="80" t="s">
        <v>270</v>
      </c>
      <c r="V19" s="80" t="s">
        <v>126</v>
      </c>
      <c r="W19" s="80" t="s">
        <v>127</v>
      </c>
      <c r="X19" s="80"/>
      <c r="Y19" s="80"/>
    </row>
    <row r="20" spans="1:25">
      <c r="A20" s="80">
        <f t="shared" si="0"/>
        <v>19</v>
      </c>
      <c r="B20" s="10">
        <v>45963.7957986111</v>
      </c>
      <c r="C20" s="80" t="s">
        <v>157</v>
      </c>
      <c r="D20" s="80" t="s">
        <v>271</v>
      </c>
      <c r="E20" s="80" t="s">
        <v>272</v>
      </c>
      <c r="F20" s="80" t="s">
        <v>273</v>
      </c>
      <c r="G20" s="80" t="s">
        <v>274</v>
      </c>
      <c r="H20" s="80" t="s">
        <v>115</v>
      </c>
      <c r="I20" s="80" t="s">
        <v>275</v>
      </c>
      <c r="J20" s="80" t="s">
        <v>117</v>
      </c>
      <c r="K20" s="80">
        <v>10</v>
      </c>
      <c r="L20" s="80" t="s">
        <v>276</v>
      </c>
      <c r="M20" s="80" t="s">
        <v>277</v>
      </c>
      <c r="N20" s="80" t="s">
        <v>120</v>
      </c>
      <c r="O20" s="80" t="s">
        <v>278</v>
      </c>
      <c r="P20" s="80" t="s">
        <v>279</v>
      </c>
      <c r="Q20" s="80" t="s">
        <v>123</v>
      </c>
      <c r="R20" s="80" t="s">
        <v>124</v>
      </c>
      <c r="S20" s="80">
        <v>4</v>
      </c>
      <c r="T20" s="80">
        <v>18</v>
      </c>
      <c r="U20" s="80" t="s">
        <v>167</v>
      </c>
      <c r="V20" s="80" t="s">
        <v>126</v>
      </c>
      <c r="W20" s="80" t="s">
        <v>127</v>
      </c>
      <c r="X20" s="80"/>
      <c r="Y20" s="80"/>
    </row>
    <row r="21" spans="1:25">
      <c r="A21" s="80">
        <f t="shared" si="0"/>
        <v>20</v>
      </c>
      <c r="B21" s="10">
        <v>45964.353935185201</v>
      </c>
      <c r="C21" s="80" t="s">
        <v>280</v>
      </c>
      <c r="D21" s="80" t="s">
        <v>281</v>
      </c>
      <c r="E21" s="80" t="s">
        <v>282</v>
      </c>
      <c r="F21" s="80" t="s">
        <v>283</v>
      </c>
      <c r="G21" s="80" t="s">
        <v>284</v>
      </c>
      <c r="H21" s="80" t="s">
        <v>115</v>
      </c>
      <c r="I21" s="80" t="s">
        <v>149</v>
      </c>
      <c r="J21" s="80" t="s">
        <v>117</v>
      </c>
      <c r="K21" s="80">
        <v>20</v>
      </c>
      <c r="L21" s="80" t="s">
        <v>285</v>
      </c>
      <c r="M21" s="80" t="s">
        <v>286</v>
      </c>
      <c r="N21" s="80" t="s">
        <v>120</v>
      </c>
      <c r="O21" s="80" t="s">
        <v>121</v>
      </c>
      <c r="P21" s="80" t="s">
        <v>287</v>
      </c>
      <c r="Q21" s="80" t="s">
        <v>123</v>
      </c>
      <c r="R21" s="80" t="s">
        <v>174</v>
      </c>
      <c r="S21" s="80">
        <v>5</v>
      </c>
      <c r="T21" s="80">
        <v>18</v>
      </c>
      <c r="U21" s="80" t="s">
        <v>288</v>
      </c>
      <c r="V21" s="80" t="s">
        <v>126</v>
      </c>
      <c r="W21" s="80" t="s">
        <v>127</v>
      </c>
      <c r="X21" s="80"/>
      <c r="Y21" s="80"/>
    </row>
    <row r="22" spans="1:25">
      <c r="A22" s="80">
        <f t="shared" si="0"/>
        <v>21</v>
      </c>
      <c r="B22" s="10">
        <v>45964.3823148148</v>
      </c>
      <c r="C22" s="80" t="s">
        <v>168</v>
      </c>
      <c r="D22" s="80" t="s">
        <v>289</v>
      </c>
      <c r="E22" s="80" t="s">
        <v>290</v>
      </c>
      <c r="F22" s="80" t="s">
        <v>291</v>
      </c>
      <c r="G22" s="80" t="s">
        <v>292</v>
      </c>
      <c r="H22" s="80" t="s">
        <v>115</v>
      </c>
      <c r="I22" s="80" t="s">
        <v>149</v>
      </c>
      <c r="J22" s="80" t="s">
        <v>117</v>
      </c>
      <c r="K22" s="80">
        <v>1</v>
      </c>
      <c r="L22" s="80" t="s">
        <v>293</v>
      </c>
      <c r="M22" s="80" t="s">
        <v>294</v>
      </c>
      <c r="N22" s="80" t="s">
        <v>120</v>
      </c>
      <c r="O22" s="80" t="s">
        <v>152</v>
      </c>
      <c r="P22" s="80" t="s">
        <v>295</v>
      </c>
      <c r="Q22" s="80" t="s">
        <v>123</v>
      </c>
      <c r="R22" s="80" t="s">
        <v>124</v>
      </c>
      <c r="S22" s="80">
        <v>16</v>
      </c>
      <c r="T22" s="80">
        <v>18</v>
      </c>
      <c r="U22" s="80" t="s">
        <v>179</v>
      </c>
      <c r="V22" s="80" t="s">
        <v>126</v>
      </c>
      <c r="W22" s="80" t="s">
        <v>127</v>
      </c>
      <c r="X22" s="80"/>
      <c r="Y22" s="80"/>
    </row>
    <row r="23" spans="1:25">
      <c r="A23" s="80">
        <f t="shared" si="0"/>
        <v>22</v>
      </c>
      <c r="B23" s="10">
        <v>45964.398055555597</v>
      </c>
      <c r="C23" s="80" t="s">
        <v>222</v>
      </c>
      <c r="D23" s="80" t="s">
        <v>296</v>
      </c>
      <c r="E23" s="80" t="s">
        <v>241</v>
      </c>
      <c r="F23" s="80" t="s">
        <v>242</v>
      </c>
      <c r="G23" s="80" t="s">
        <v>243</v>
      </c>
      <c r="H23" s="80" t="s">
        <v>115</v>
      </c>
      <c r="I23" s="80" t="s">
        <v>149</v>
      </c>
      <c r="J23" s="80" t="s">
        <v>117</v>
      </c>
      <c r="K23" s="80">
        <v>21</v>
      </c>
      <c r="L23" s="80" t="s">
        <v>245</v>
      </c>
      <c r="M23" s="80" t="s">
        <v>246</v>
      </c>
      <c r="N23" s="80" t="s">
        <v>120</v>
      </c>
      <c r="O23" s="80" t="s">
        <v>247</v>
      </c>
      <c r="P23" s="80" t="s">
        <v>135</v>
      </c>
      <c r="Q23" s="80" t="s">
        <v>123</v>
      </c>
      <c r="R23" s="80" t="s">
        <v>174</v>
      </c>
      <c r="S23" s="80">
        <v>11</v>
      </c>
      <c r="T23" s="80">
        <v>12</v>
      </c>
      <c r="U23" s="80" t="s">
        <v>232</v>
      </c>
      <c r="V23" s="80" t="s">
        <v>126</v>
      </c>
      <c r="W23" s="80" t="s">
        <v>127</v>
      </c>
      <c r="X23" s="80"/>
      <c r="Y23" s="80"/>
    </row>
    <row r="24" spans="1:25">
      <c r="A24" s="80">
        <f t="shared" si="0"/>
        <v>23</v>
      </c>
      <c r="B24" s="10">
        <v>45964.423194444404</v>
      </c>
      <c r="C24" s="80" t="s">
        <v>297</v>
      </c>
      <c r="D24" s="80" t="s">
        <v>298</v>
      </c>
      <c r="E24" s="80" t="s">
        <v>299</v>
      </c>
      <c r="F24" s="80" t="s">
        <v>300</v>
      </c>
      <c r="G24" s="80" t="s">
        <v>301</v>
      </c>
      <c r="H24" s="80" t="s">
        <v>115</v>
      </c>
      <c r="I24" s="80" t="s">
        <v>149</v>
      </c>
      <c r="J24" s="80" t="s">
        <v>117</v>
      </c>
      <c r="K24" s="80">
        <v>14</v>
      </c>
      <c r="L24" s="80" t="s">
        <v>302</v>
      </c>
      <c r="M24" s="80" t="s">
        <v>303</v>
      </c>
      <c r="N24" s="80" t="s">
        <v>120</v>
      </c>
      <c r="O24" s="80" t="s">
        <v>121</v>
      </c>
      <c r="P24" s="80" t="s">
        <v>304</v>
      </c>
      <c r="Q24" s="80" t="s">
        <v>123</v>
      </c>
      <c r="R24" s="80" t="s">
        <v>174</v>
      </c>
      <c r="S24" s="80">
        <v>10</v>
      </c>
      <c r="T24" s="80">
        <v>18</v>
      </c>
      <c r="U24" s="80" t="s">
        <v>305</v>
      </c>
      <c r="V24" s="80" t="s">
        <v>126</v>
      </c>
      <c r="W24" s="80" t="s">
        <v>137</v>
      </c>
      <c r="X24" s="80"/>
      <c r="Y24" s="80"/>
    </row>
    <row r="25" spans="1:25">
      <c r="A25" s="80">
        <f t="shared" si="0"/>
        <v>24</v>
      </c>
      <c r="B25" s="10">
        <v>45964.455810185202</v>
      </c>
      <c r="C25" s="80" t="s">
        <v>306</v>
      </c>
      <c r="D25" s="80" t="s">
        <v>307</v>
      </c>
      <c r="E25" s="80" t="s">
        <v>308</v>
      </c>
      <c r="F25" s="80" t="s">
        <v>309</v>
      </c>
      <c r="G25" s="80" t="s">
        <v>310</v>
      </c>
      <c r="H25" s="80" t="s">
        <v>184</v>
      </c>
      <c r="I25" s="80" t="s">
        <v>46</v>
      </c>
      <c r="J25" s="80" t="s">
        <v>149</v>
      </c>
      <c r="K25" s="80">
        <v>1</v>
      </c>
      <c r="L25" s="80" t="s">
        <v>311</v>
      </c>
      <c r="M25" s="80" t="s">
        <v>312</v>
      </c>
      <c r="N25" s="80" t="s">
        <v>120</v>
      </c>
      <c r="O25" s="80" t="s">
        <v>152</v>
      </c>
      <c r="P25" s="80" t="s">
        <v>135</v>
      </c>
      <c r="Q25" s="80" t="s">
        <v>123</v>
      </c>
      <c r="R25" s="80" t="s">
        <v>136</v>
      </c>
      <c r="S25" s="80">
        <v>6</v>
      </c>
      <c r="T25" s="80">
        <v>18</v>
      </c>
      <c r="U25" s="80" t="s">
        <v>313</v>
      </c>
      <c r="V25" s="80" t="s">
        <v>126</v>
      </c>
      <c r="W25" s="80" t="s">
        <v>204</v>
      </c>
      <c r="X25" s="80" t="s">
        <v>205</v>
      </c>
      <c r="Y25" s="80"/>
    </row>
    <row r="26" spans="1:25">
      <c r="A26" s="80">
        <f t="shared" si="0"/>
        <v>25</v>
      </c>
      <c r="B26" s="10">
        <v>45964.4636342593</v>
      </c>
      <c r="C26" s="80" t="s">
        <v>168</v>
      </c>
      <c r="D26" s="80" t="s">
        <v>314</v>
      </c>
      <c r="E26" s="80" t="s">
        <v>315</v>
      </c>
      <c r="F26" s="80" t="s">
        <v>316</v>
      </c>
      <c r="G26" s="80" t="s">
        <v>317</v>
      </c>
      <c r="H26" s="80" t="s">
        <v>115</v>
      </c>
      <c r="I26" s="80" t="s">
        <v>149</v>
      </c>
      <c r="J26" s="80" t="s">
        <v>117</v>
      </c>
      <c r="K26" s="80">
        <v>4</v>
      </c>
      <c r="L26" s="80" t="s">
        <v>318</v>
      </c>
      <c r="M26" s="80" t="s">
        <v>319</v>
      </c>
      <c r="N26" s="80" t="s">
        <v>120</v>
      </c>
      <c r="O26" s="80" t="s">
        <v>187</v>
      </c>
      <c r="P26" s="80" t="s">
        <v>135</v>
      </c>
      <c r="Q26" s="80" t="s">
        <v>123</v>
      </c>
      <c r="R26" s="80" t="s">
        <v>174</v>
      </c>
      <c r="S26" s="80">
        <v>3</v>
      </c>
      <c r="T26" s="80">
        <v>18</v>
      </c>
      <c r="U26" s="80" t="s">
        <v>179</v>
      </c>
      <c r="V26" s="80" t="s">
        <v>126</v>
      </c>
      <c r="W26" s="80" t="s">
        <v>127</v>
      </c>
      <c r="X26" s="80"/>
      <c r="Y26" s="80"/>
    </row>
    <row r="27" spans="1:25">
      <c r="A27" s="80">
        <f t="shared" si="0"/>
        <v>26</v>
      </c>
      <c r="B27" s="10">
        <v>45964.469942129603</v>
      </c>
      <c r="C27" s="80" t="s">
        <v>320</v>
      </c>
      <c r="D27" s="80" t="s">
        <v>321</v>
      </c>
      <c r="E27" s="80" t="s">
        <v>322</v>
      </c>
      <c r="F27" s="80" t="s">
        <v>323</v>
      </c>
      <c r="G27" s="80" t="s">
        <v>324</v>
      </c>
      <c r="H27" s="80" t="s">
        <v>115</v>
      </c>
      <c r="I27" s="80" t="s">
        <v>149</v>
      </c>
      <c r="J27" s="80" t="s">
        <v>117</v>
      </c>
      <c r="K27" s="80">
        <v>17</v>
      </c>
      <c r="L27" s="80" t="s">
        <v>325</v>
      </c>
      <c r="M27" s="80" t="s">
        <v>326</v>
      </c>
      <c r="N27" s="80" t="s">
        <v>120</v>
      </c>
      <c r="O27" s="80" t="s">
        <v>327</v>
      </c>
      <c r="P27" s="80" t="s">
        <v>214</v>
      </c>
      <c r="Q27" s="80" t="s">
        <v>123</v>
      </c>
      <c r="R27" s="80" t="s">
        <v>174</v>
      </c>
      <c r="S27" s="80">
        <v>5</v>
      </c>
      <c r="T27" s="80">
        <v>12</v>
      </c>
      <c r="U27" s="80" t="s">
        <v>328</v>
      </c>
      <c r="V27" s="80" t="s">
        <v>126</v>
      </c>
      <c r="W27" s="80" t="s">
        <v>127</v>
      </c>
      <c r="X27" s="80"/>
      <c r="Y27" s="80"/>
    </row>
    <row r="28" spans="1:25">
      <c r="A28" s="80">
        <f t="shared" si="0"/>
        <v>27</v>
      </c>
      <c r="B28" s="10">
        <v>45964.471354166701</v>
      </c>
      <c r="C28" s="80" t="s">
        <v>329</v>
      </c>
      <c r="D28" s="80" t="s">
        <v>330</v>
      </c>
      <c r="E28" s="80" t="s">
        <v>331</v>
      </c>
      <c r="F28" s="80" t="s">
        <v>332</v>
      </c>
      <c r="G28" s="80" t="s">
        <v>333</v>
      </c>
      <c r="H28" s="80" t="s">
        <v>115</v>
      </c>
      <c r="I28" s="80" t="s">
        <v>149</v>
      </c>
      <c r="J28" s="80" t="s">
        <v>117</v>
      </c>
      <c r="K28" s="80">
        <v>7</v>
      </c>
      <c r="L28" s="80" t="s">
        <v>334</v>
      </c>
      <c r="M28" s="80" t="s">
        <v>335</v>
      </c>
      <c r="N28" s="80" t="s">
        <v>120</v>
      </c>
      <c r="O28" s="80" t="s">
        <v>152</v>
      </c>
      <c r="P28" s="80" t="s">
        <v>135</v>
      </c>
      <c r="Q28" s="80" t="s">
        <v>123</v>
      </c>
      <c r="R28" s="80" t="s">
        <v>174</v>
      </c>
      <c r="S28" s="80">
        <v>10</v>
      </c>
      <c r="T28" s="80">
        <v>12</v>
      </c>
      <c r="U28" s="80" t="s">
        <v>336</v>
      </c>
      <c r="V28" s="80" t="s">
        <v>126</v>
      </c>
      <c r="W28" s="80" t="s">
        <v>127</v>
      </c>
      <c r="X28" s="80"/>
      <c r="Y28" s="80"/>
    </row>
    <row r="29" spans="1:25">
      <c r="A29" s="80">
        <f t="shared" si="0"/>
        <v>28</v>
      </c>
      <c r="B29" s="10">
        <v>45964.476435185199</v>
      </c>
      <c r="C29" s="80" t="s">
        <v>280</v>
      </c>
      <c r="D29" s="80" t="s">
        <v>337</v>
      </c>
      <c r="E29" s="80" t="s">
        <v>338</v>
      </c>
      <c r="F29" s="80" t="e">
        <v>#N/A</v>
      </c>
      <c r="G29" s="80" t="e">
        <v>#N/A</v>
      </c>
      <c r="H29" s="80" t="e">
        <v>#N/A</v>
      </c>
      <c r="I29" s="80" t="e">
        <v>#N/A</v>
      </c>
      <c r="J29" s="80" t="e">
        <v>#N/A</v>
      </c>
      <c r="K29" s="80" t="e">
        <v>#N/A</v>
      </c>
      <c r="L29" s="80" t="e">
        <v>#N/A</v>
      </c>
      <c r="M29" s="80" t="e">
        <v>#N/A</v>
      </c>
      <c r="N29" s="80" t="e">
        <v>#N/A</v>
      </c>
      <c r="O29" s="80" t="e">
        <v>#N/A</v>
      </c>
      <c r="P29" s="80" t="e">
        <v>#N/A</v>
      </c>
      <c r="Q29" s="80" t="e">
        <v>#N/A</v>
      </c>
      <c r="R29" s="80" t="e">
        <v>#N/A</v>
      </c>
      <c r="S29" s="80" t="e">
        <v>#N/A</v>
      </c>
      <c r="T29" s="80" t="e">
        <v>#N/A</v>
      </c>
      <c r="U29" s="80" t="s">
        <v>288</v>
      </c>
      <c r="V29" s="80" t="s">
        <v>126</v>
      </c>
      <c r="W29" s="80" t="s">
        <v>127</v>
      </c>
      <c r="X29" s="80"/>
      <c r="Y29" s="80"/>
    </row>
    <row r="30" spans="1:25">
      <c r="A30" s="80">
        <f t="shared" si="0"/>
        <v>29</v>
      </c>
      <c r="B30" s="10">
        <v>45964.476990740703</v>
      </c>
      <c r="C30" s="80" t="s">
        <v>280</v>
      </c>
      <c r="D30" s="80" t="s">
        <v>339</v>
      </c>
      <c r="E30" s="80" t="s">
        <v>340</v>
      </c>
      <c r="F30" s="80" t="s">
        <v>341</v>
      </c>
      <c r="G30" s="80" t="s">
        <v>342</v>
      </c>
      <c r="H30" s="80" t="s">
        <v>174</v>
      </c>
      <c r="I30" s="80" t="s">
        <v>149</v>
      </c>
      <c r="J30" s="80" t="s">
        <v>149</v>
      </c>
      <c r="K30" s="80">
        <v>1</v>
      </c>
      <c r="L30" s="80" t="s">
        <v>343</v>
      </c>
      <c r="M30" s="80" t="s">
        <v>344</v>
      </c>
      <c r="N30" s="80" t="s">
        <v>164</v>
      </c>
      <c r="O30" s="80" t="s">
        <v>345</v>
      </c>
      <c r="P30" s="80" t="s">
        <v>135</v>
      </c>
      <c r="Q30" s="80" t="s">
        <v>123</v>
      </c>
      <c r="R30" s="80" t="s">
        <v>174</v>
      </c>
      <c r="S30" s="80">
        <v>9</v>
      </c>
      <c r="T30" s="80">
        <v>12</v>
      </c>
      <c r="U30" s="80" t="s">
        <v>288</v>
      </c>
      <c r="V30" s="80" t="s">
        <v>126</v>
      </c>
      <c r="W30" s="80" t="s">
        <v>127</v>
      </c>
      <c r="X30" s="80"/>
      <c r="Y30" s="80"/>
    </row>
    <row r="31" spans="1:25">
      <c r="A31" s="80">
        <f t="shared" si="0"/>
        <v>30</v>
      </c>
      <c r="B31" s="10">
        <v>45964.477534722202</v>
      </c>
      <c r="C31" s="80" t="s">
        <v>110</v>
      </c>
      <c r="D31" s="80" t="s">
        <v>346</v>
      </c>
      <c r="E31" s="80" t="s">
        <v>347</v>
      </c>
      <c r="F31" s="80" t="s">
        <v>348</v>
      </c>
      <c r="G31" s="80" t="s">
        <v>349</v>
      </c>
      <c r="H31" s="80" t="s">
        <v>115</v>
      </c>
      <c r="I31" s="80" t="s">
        <v>149</v>
      </c>
      <c r="J31" s="80" t="s">
        <v>117</v>
      </c>
      <c r="K31" s="80">
        <v>4</v>
      </c>
      <c r="L31" s="80" t="s">
        <v>350</v>
      </c>
      <c r="M31" s="80" t="s">
        <v>351</v>
      </c>
      <c r="N31" s="80" t="s">
        <v>120</v>
      </c>
      <c r="O31" s="80" t="s">
        <v>152</v>
      </c>
      <c r="P31" s="80" t="s">
        <v>352</v>
      </c>
      <c r="Q31" s="80" t="s">
        <v>123</v>
      </c>
      <c r="R31" s="80" t="s">
        <v>174</v>
      </c>
      <c r="S31" s="80">
        <v>12</v>
      </c>
      <c r="T31" s="80">
        <v>36</v>
      </c>
      <c r="U31" s="80" t="s">
        <v>125</v>
      </c>
      <c r="V31" s="80" t="s">
        <v>126</v>
      </c>
      <c r="W31" s="80" t="s">
        <v>127</v>
      </c>
      <c r="X31" s="80"/>
      <c r="Y31" s="80"/>
    </row>
    <row r="32" spans="1:25">
      <c r="A32" s="80">
        <f t="shared" si="0"/>
        <v>31</v>
      </c>
      <c r="B32" s="10">
        <v>45964.480428240699</v>
      </c>
      <c r="C32" s="80" t="s">
        <v>280</v>
      </c>
      <c r="D32" s="80" t="s">
        <v>353</v>
      </c>
      <c r="E32" s="80" t="s">
        <v>354</v>
      </c>
      <c r="F32" s="80" t="s">
        <v>355</v>
      </c>
      <c r="G32" s="80" t="s">
        <v>356</v>
      </c>
      <c r="H32" s="80" t="s">
        <v>115</v>
      </c>
      <c r="I32" s="80" t="s">
        <v>149</v>
      </c>
      <c r="J32" s="80" t="s">
        <v>117</v>
      </c>
      <c r="K32" s="80">
        <v>9</v>
      </c>
      <c r="L32" s="80" t="s">
        <v>357</v>
      </c>
      <c r="M32" s="80" t="s">
        <v>358</v>
      </c>
      <c r="N32" s="80" t="s">
        <v>164</v>
      </c>
      <c r="O32" s="80" t="s">
        <v>202</v>
      </c>
      <c r="P32" s="80" t="s">
        <v>135</v>
      </c>
      <c r="Q32" s="80" t="s">
        <v>123</v>
      </c>
      <c r="R32" s="80" t="s">
        <v>174</v>
      </c>
      <c r="S32" s="80">
        <v>10</v>
      </c>
      <c r="T32" s="80">
        <v>18</v>
      </c>
      <c r="U32" s="80" t="s">
        <v>288</v>
      </c>
      <c r="V32" s="80" t="s">
        <v>126</v>
      </c>
      <c r="W32" s="80" t="s">
        <v>127</v>
      </c>
      <c r="X32" s="80"/>
      <c r="Y32" s="80"/>
    </row>
    <row r="33" spans="1:25">
      <c r="A33" s="80">
        <f t="shared" si="0"/>
        <v>32</v>
      </c>
      <c r="B33" s="10">
        <v>45964.480462963002</v>
      </c>
      <c r="C33" s="80" t="s">
        <v>359</v>
      </c>
      <c r="D33" s="80" t="s">
        <v>360</v>
      </c>
      <c r="E33" s="80" t="s">
        <v>354</v>
      </c>
      <c r="F33" s="80" t="s">
        <v>355</v>
      </c>
      <c r="G33" s="80" t="s">
        <v>356</v>
      </c>
      <c r="H33" s="80" t="s">
        <v>115</v>
      </c>
      <c r="I33" s="80" t="s">
        <v>149</v>
      </c>
      <c r="J33" s="80" t="s">
        <v>117</v>
      </c>
      <c r="K33" s="80">
        <v>9</v>
      </c>
      <c r="L33" s="80" t="s">
        <v>357</v>
      </c>
      <c r="M33" s="80" t="s">
        <v>358</v>
      </c>
      <c r="N33" s="80" t="s">
        <v>164</v>
      </c>
      <c r="O33" s="80" t="s">
        <v>202</v>
      </c>
      <c r="P33" s="80" t="s">
        <v>135</v>
      </c>
      <c r="Q33" s="80" t="s">
        <v>123</v>
      </c>
      <c r="R33" s="80" t="s">
        <v>174</v>
      </c>
      <c r="S33" s="80">
        <v>10</v>
      </c>
      <c r="T33" s="80">
        <v>18</v>
      </c>
      <c r="U33" s="80" t="s">
        <v>361</v>
      </c>
      <c r="V33" s="80" t="s">
        <v>126</v>
      </c>
      <c r="W33" s="80" t="s">
        <v>127</v>
      </c>
      <c r="X33" s="80"/>
      <c r="Y33" s="80"/>
    </row>
    <row r="34" spans="1:25">
      <c r="A34" s="80">
        <f t="shared" si="0"/>
        <v>33</v>
      </c>
      <c r="B34" s="10">
        <v>45964.480520833298</v>
      </c>
      <c r="C34" s="80" t="s">
        <v>362</v>
      </c>
      <c r="D34" s="80" t="s">
        <v>363</v>
      </c>
      <c r="E34" s="80" t="s">
        <v>354</v>
      </c>
      <c r="F34" s="80" t="s">
        <v>355</v>
      </c>
      <c r="G34" s="80" t="s">
        <v>356</v>
      </c>
      <c r="H34" s="80" t="s">
        <v>115</v>
      </c>
      <c r="I34" s="80" t="s">
        <v>149</v>
      </c>
      <c r="J34" s="80" t="s">
        <v>117</v>
      </c>
      <c r="K34" s="80">
        <v>9</v>
      </c>
      <c r="L34" s="80" t="s">
        <v>357</v>
      </c>
      <c r="M34" s="80" t="s">
        <v>358</v>
      </c>
      <c r="N34" s="80" t="s">
        <v>164</v>
      </c>
      <c r="O34" s="80" t="s">
        <v>202</v>
      </c>
      <c r="P34" s="80" t="s">
        <v>135</v>
      </c>
      <c r="Q34" s="80" t="s">
        <v>123</v>
      </c>
      <c r="R34" s="80" t="s">
        <v>174</v>
      </c>
      <c r="S34" s="80">
        <v>10</v>
      </c>
      <c r="T34" s="80">
        <v>18</v>
      </c>
      <c r="U34" s="80" t="s">
        <v>364</v>
      </c>
      <c r="V34" s="80" t="s">
        <v>126</v>
      </c>
      <c r="W34" s="80" t="s">
        <v>127</v>
      </c>
      <c r="X34" s="80"/>
      <c r="Y34" s="80"/>
    </row>
    <row r="35" spans="1:25">
      <c r="A35" s="80">
        <f t="shared" si="0"/>
        <v>34</v>
      </c>
      <c r="B35" s="10">
        <v>45964.482407407399</v>
      </c>
      <c r="C35" s="80" t="s">
        <v>157</v>
      </c>
      <c r="D35" s="80" t="s">
        <v>365</v>
      </c>
      <c r="E35" s="80" t="s">
        <v>366</v>
      </c>
      <c r="F35" s="80" t="s">
        <v>367</v>
      </c>
      <c r="G35" s="80" t="s">
        <v>368</v>
      </c>
      <c r="H35" s="80" t="s">
        <v>115</v>
      </c>
      <c r="I35" s="80" t="s">
        <v>149</v>
      </c>
      <c r="J35" s="80" t="s">
        <v>117</v>
      </c>
      <c r="K35" s="80">
        <v>18</v>
      </c>
      <c r="L35" s="80" t="s">
        <v>369</v>
      </c>
      <c r="M35" s="80" t="s">
        <v>370</v>
      </c>
      <c r="N35" s="80" t="s">
        <v>120</v>
      </c>
      <c r="O35" s="80" t="s">
        <v>371</v>
      </c>
      <c r="P35" s="80" t="s">
        <v>269</v>
      </c>
      <c r="Q35" s="80" t="s">
        <v>123</v>
      </c>
      <c r="R35" s="80" t="s">
        <v>174</v>
      </c>
      <c r="S35" s="80">
        <v>5</v>
      </c>
      <c r="T35" s="80">
        <v>12</v>
      </c>
      <c r="U35" s="80" t="s">
        <v>167</v>
      </c>
      <c r="V35" s="80" t="s">
        <v>126</v>
      </c>
      <c r="W35" s="80" t="s">
        <v>127</v>
      </c>
      <c r="X35" s="80"/>
      <c r="Y35" s="80"/>
    </row>
    <row r="36" spans="1:25">
      <c r="A36" s="80">
        <f t="shared" si="0"/>
        <v>35</v>
      </c>
      <c r="B36" s="10">
        <v>45964.485578703701</v>
      </c>
      <c r="C36" s="80" t="s">
        <v>320</v>
      </c>
      <c r="D36" s="80" t="s">
        <v>372</v>
      </c>
      <c r="E36" s="80" t="s">
        <v>373</v>
      </c>
      <c r="F36" s="80" t="s">
        <v>374</v>
      </c>
      <c r="G36" s="80" t="s">
        <v>375</v>
      </c>
      <c r="H36" s="80" t="s">
        <v>115</v>
      </c>
      <c r="I36" s="80" t="s">
        <v>149</v>
      </c>
      <c r="J36" s="80" t="s">
        <v>149</v>
      </c>
      <c r="K36" s="80">
        <v>22</v>
      </c>
      <c r="L36" s="80" t="s">
        <v>376</v>
      </c>
      <c r="M36" s="80" t="s">
        <v>377</v>
      </c>
      <c r="N36" s="80" t="s">
        <v>120</v>
      </c>
      <c r="O36" s="80" t="s">
        <v>152</v>
      </c>
      <c r="P36" s="80" t="s">
        <v>378</v>
      </c>
      <c r="Q36" s="80" t="s">
        <v>123</v>
      </c>
      <c r="R36" s="80" t="s">
        <v>174</v>
      </c>
      <c r="S36" s="80">
        <v>2</v>
      </c>
      <c r="T36" s="80">
        <v>12</v>
      </c>
      <c r="U36" s="80" t="s">
        <v>328</v>
      </c>
      <c r="V36" s="80" t="s">
        <v>126</v>
      </c>
      <c r="W36" s="80" t="s">
        <v>127</v>
      </c>
      <c r="X36" s="80"/>
      <c r="Y36" s="80"/>
    </row>
    <row r="37" spans="1:25">
      <c r="A37" s="80">
        <f t="shared" si="0"/>
        <v>36</v>
      </c>
      <c r="B37" s="10">
        <v>45964.488634259302</v>
      </c>
      <c r="C37" s="80" t="s">
        <v>222</v>
      </c>
      <c r="D37" s="80" t="s">
        <v>379</v>
      </c>
      <c r="E37" s="80" t="s">
        <v>380</v>
      </c>
      <c r="F37" s="80" t="s">
        <v>381</v>
      </c>
      <c r="G37" s="80" t="s">
        <v>382</v>
      </c>
      <c r="H37" s="80" t="s">
        <v>115</v>
      </c>
      <c r="I37" s="80" t="s">
        <v>149</v>
      </c>
      <c r="J37" s="80" t="s">
        <v>117</v>
      </c>
      <c r="K37" s="80">
        <v>1</v>
      </c>
      <c r="L37" s="80" t="s">
        <v>383</v>
      </c>
      <c r="M37" s="80" t="s">
        <v>384</v>
      </c>
      <c r="N37" s="80" t="s">
        <v>120</v>
      </c>
      <c r="O37" s="80" t="s">
        <v>152</v>
      </c>
      <c r="P37" s="80" t="s">
        <v>135</v>
      </c>
      <c r="Q37" s="80" t="s">
        <v>123</v>
      </c>
      <c r="R37" s="80" t="s">
        <v>136</v>
      </c>
      <c r="S37" s="80">
        <v>2</v>
      </c>
      <c r="T37" s="80">
        <v>6</v>
      </c>
      <c r="U37" s="80" t="s">
        <v>232</v>
      </c>
      <c r="V37" s="80" t="s">
        <v>126</v>
      </c>
      <c r="W37" s="80" t="s">
        <v>127</v>
      </c>
      <c r="X37" s="80"/>
      <c r="Y37" s="80"/>
    </row>
    <row r="38" spans="1:25">
      <c r="A38" s="80">
        <f t="shared" si="0"/>
        <v>37</v>
      </c>
      <c r="B38" s="10">
        <v>45964.490219907399</v>
      </c>
      <c r="C38" s="80" t="s">
        <v>222</v>
      </c>
      <c r="D38" s="80" t="s">
        <v>385</v>
      </c>
      <c r="E38" s="80" t="s">
        <v>386</v>
      </c>
      <c r="F38" s="80" t="s">
        <v>387</v>
      </c>
      <c r="G38" s="80" t="s">
        <v>388</v>
      </c>
      <c r="H38" s="80" t="s">
        <v>115</v>
      </c>
      <c r="I38" s="80" t="s">
        <v>149</v>
      </c>
      <c r="J38" s="80" t="s">
        <v>117</v>
      </c>
      <c r="K38" s="80">
        <v>14</v>
      </c>
      <c r="L38" s="80" t="s">
        <v>389</v>
      </c>
      <c r="M38" s="80" t="s">
        <v>390</v>
      </c>
      <c r="N38" s="80" t="s">
        <v>164</v>
      </c>
      <c r="O38" s="80" t="s">
        <v>391</v>
      </c>
      <c r="P38" s="80" t="s">
        <v>214</v>
      </c>
      <c r="Q38" s="80" t="s">
        <v>123</v>
      </c>
      <c r="R38" s="80" t="s">
        <v>174</v>
      </c>
      <c r="S38" s="80">
        <v>7</v>
      </c>
      <c r="T38" s="80">
        <v>12</v>
      </c>
      <c r="U38" s="80" t="s">
        <v>232</v>
      </c>
      <c r="V38" s="80" t="s">
        <v>126</v>
      </c>
      <c r="W38" s="80" t="s">
        <v>127</v>
      </c>
      <c r="X38" s="80"/>
      <c r="Y38" s="80"/>
    </row>
    <row r="39" spans="1:25">
      <c r="A39" s="80">
        <f t="shared" si="0"/>
        <v>38</v>
      </c>
      <c r="B39" s="10">
        <v>45964.4910185185</v>
      </c>
      <c r="C39" s="80" t="s">
        <v>359</v>
      </c>
      <c r="D39" s="80" t="s">
        <v>392</v>
      </c>
      <c r="E39" s="80" t="s">
        <v>393</v>
      </c>
      <c r="F39" s="80" t="s">
        <v>394</v>
      </c>
      <c r="G39" s="80" t="s">
        <v>395</v>
      </c>
      <c r="H39" s="80" t="s">
        <v>115</v>
      </c>
      <c r="I39" s="80" t="s">
        <v>149</v>
      </c>
      <c r="J39" s="80" t="s">
        <v>117</v>
      </c>
      <c r="K39" s="80">
        <v>15</v>
      </c>
      <c r="L39" s="80" t="s">
        <v>396</v>
      </c>
      <c r="M39" s="80" t="s">
        <v>397</v>
      </c>
      <c r="N39" s="80" t="s">
        <v>120</v>
      </c>
      <c r="O39" s="80" t="s">
        <v>398</v>
      </c>
      <c r="P39" s="80" t="s">
        <v>178</v>
      </c>
      <c r="Q39" s="80" t="s">
        <v>123</v>
      </c>
      <c r="R39" s="80" t="s">
        <v>174</v>
      </c>
      <c r="S39" s="80">
        <v>12</v>
      </c>
      <c r="T39" s="80">
        <v>18</v>
      </c>
      <c r="U39" s="80" t="s">
        <v>361</v>
      </c>
      <c r="V39" s="80" t="s">
        <v>126</v>
      </c>
      <c r="W39" s="80" t="s">
        <v>127</v>
      </c>
      <c r="X39" s="80"/>
      <c r="Y39" s="80"/>
    </row>
    <row r="40" spans="1:25">
      <c r="A40" s="80">
        <f t="shared" si="0"/>
        <v>39</v>
      </c>
      <c r="B40" s="10">
        <v>45964.491087962997</v>
      </c>
      <c r="C40" s="80" t="s">
        <v>362</v>
      </c>
      <c r="D40" s="80" t="s">
        <v>399</v>
      </c>
      <c r="E40" s="80" t="s">
        <v>393</v>
      </c>
      <c r="F40" s="80" t="s">
        <v>394</v>
      </c>
      <c r="G40" s="80" t="s">
        <v>395</v>
      </c>
      <c r="H40" s="80" t="s">
        <v>115</v>
      </c>
      <c r="I40" s="80" t="s">
        <v>149</v>
      </c>
      <c r="J40" s="80" t="s">
        <v>117</v>
      </c>
      <c r="K40" s="80">
        <v>15</v>
      </c>
      <c r="L40" s="80" t="s">
        <v>396</v>
      </c>
      <c r="M40" s="80" t="s">
        <v>397</v>
      </c>
      <c r="N40" s="80" t="s">
        <v>120</v>
      </c>
      <c r="O40" s="80" t="s">
        <v>398</v>
      </c>
      <c r="P40" s="80" t="s">
        <v>178</v>
      </c>
      <c r="Q40" s="80" t="s">
        <v>123</v>
      </c>
      <c r="R40" s="80" t="s">
        <v>174</v>
      </c>
      <c r="S40" s="80">
        <v>12</v>
      </c>
      <c r="T40" s="80">
        <v>18</v>
      </c>
      <c r="U40" s="80" t="s">
        <v>364</v>
      </c>
      <c r="V40" s="80" t="s">
        <v>126</v>
      </c>
      <c r="W40" s="80" t="s">
        <v>127</v>
      </c>
      <c r="X40" s="80"/>
      <c r="Y40" s="80"/>
    </row>
    <row r="41" spans="1:25">
      <c r="A41" s="80">
        <f t="shared" si="0"/>
        <v>40</v>
      </c>
      <c r="B41" s="10">
        <v>45964.4944791667</v>
      </c>
      <c r="C41" s="80" t="s">
        <v>280</v>
      </c>
      <c r="D41" s="80" t="s">
        <v>400</v>
      </c>
      <c r="E41" s="80" t="s">
        <v>401</v>
      </c>
      <c r="F41" s="80" t="s">
        <v>402</v>
      </c>
      <c r="G41" s="80" t="s">
        <v>403</v>
      </c>
      <c r="H41" s="80" t="s">
        <v>115</v>
      </c>
      <c r="I41" s="80" t="s">
        <v>149</v>
      </c>
      <c r="J41" s="80" t="s">
        <v>117</v>
      </c>
      <c r="K41" s="80">
        <v>22</v>
      </c>
      <c r="L41" s="80" t="s">
        <v>404</v>
      </c>
      <c r="M41" s="80" t="s">
        <v>405</v>
      </c>
      <c r="N41" s="80" t="s">
        <v>164</v>
      </c>
      <c r="O41" s="80" t="s">
        <v>406</v>
      </c>
      <c r="P41" s="80" t="s">
        <v>407</v>
      </c>
      <c r="Q41" s="80" t="s">
        <v>123</v>
      </c>
      <c r="R41" s="80" t="s">
        <v>174</v>
      </c>
      <c r="S41" s="80">
        <v>18</v>
      </c>
      <c r="T41" s="80">
        <v>18</v>
      </c>
      <c r="U41" s="80" t="s">
        <v>288</v>
      </c>
      <c r="V41" s="80" t="s">
        <v>126</v>
      </c>
      <c r="W41" s="80" t="s">
        <v>127</v>
      </c>
      <c r="X41" s="80"/>
      <c r="Y41" s="80"/>
    </row>
    <row r="42" spans="1:25">
      <c r="A42" s="80">
        <f t="shared" si="0"/>
        <v>41</v>
      </c>
      <c r="B42" s="10">
        <v>45964.498321759304</v>
      </c>
      <c r="C42" s="80" t="s">
        <v>329</v>
      </c>
      <c r="D42" s="80" t="s">
        <v>408</v>
      </c>
      <c r="E42" s="80" t="s">
        <v>409</v>
      </c>
      <c r="F42" s="80" t="s">
        <v>410</v>
      </c>
      <c r="G42" s="80" t="s">
        <v>411</v>
      </c>
      <c r="H42" s="80" t="s">
        <v>115</v>
      </c>
      <c r="I42" s="80" t="s">
        <v>149</v>
      </c>
      <c r="J42" s="80" t="s">
        <v>117</v>
      </c>
      <c r="K42" s="80">
        <v>3</v>
      </c>
      <c r="L42" s="80" t="s">
        <v>412</v>
      </c>
      <c r="M42" s="80" t="s">
        <v>413</v>
      </c>
      <c r="N42" s="80" t="s">
        <v>120</v>
      </c>
      <c r="O42" s="80" t="s">
        <v>187</v>
      </c>
      <c r="P42" s="80" t="s">
        <v>414</v>
      </c>
      <c r="Q42" s="80" t="s">
        <v>123</v>
      </c>
      <c r="R42" s="80" t="s">
        <v>136</v>
      </c>
      <c r="S42" s="80">
        <v>9</v>
      </c>
      <c r="T42" s="80">
        <v>18</v>
      </c>
      <c r="U42" s="80" t="s">
        <v>336</v>
      </c>
      <c r="V42" s="80" t="s">
        <v>126</v>
      </c>
      <c r="W42" s="80" t="s">
        <v>127</v>
      </c>
      <c r="X42" s="80"/>
      <c r="Y42" s="80"/>
    </row>
    <row r="43" spans="1:25">
      <c r="A43" s="80">
        <f t="shared" si="0"/>
        <v>42</v>
      </c>
      <c r="B43" s="10">
        <v>45964.499930555598</v>
      </c>
      <c r="C43" s="80" t="s">
        <v>157</v>
      </c>
      <c r="D43" s="80" t="s">
        <v>415</v>
      </c>
      <c r="E43" s="80" t="s">
        <v>416</v>
      </c>
      <c r="F43" s="80" t="s">
        <v>417</v>
      </c>
      <c r="G43" s="80" t="s">
        <v>418</v>
      </c>
      <c r="H43" s="80" t="s">
        <v>115</v>
      </c>
      <c r="I43" s="80" t="s">
        <v>149</v>
      </c>
      <c r="J43" s="80" t="s">
        <v>117</v>
      </c>
      <c r="K43" s="80">
        <v>12</v>
      </c>
      <c r="L43" s="80" t="s">
        <v>419</v>
      </c>
      <c r="M43" s="80" t="s">
        <v>420</v>
      </c>
      <c r="N43" s="80" t="s">
        <v>120</v>
      </c>
      <c r="O43" s="80" t="s">
        <v>421</v>
      </c>
      <c r="P43" s="80" t="s">
        <v>269</v>
      </c>
      <c r="Q43" s="80" t="s">
        <v>123</v>
      </c>
      <c r="R43" s="80" t="s">
        <v>174</v>
      </c>
      <c r="S43" s="80">
        <v>3</v>
      </c>
      <c r="T43" s="80">
        <v>12</v>
      </c>
      <c r="U43" s="80" t="s">
        <v>167</v>
      </c>
      <c r="V43" s="80" t="s">
        <v>126</v>
      </c>
      <c r="W43" s="80" t="s">
        <v>127</v>
      </c>
      <c r="X43" s="80"/>
      <c r="Y43" s="80"/>
    </row>
    <row r="44" spans="1:25">
      <c r="A44" s="80">
        <f t="shared" si="0"/>
        <v>43</v>
      </c>
      <c r="B44" s="10">
        <v>45964.500613425902</v>
      </c>
      <c r="C44" s="80" t="s">
        <v>157</v>
      </c>
      <c r="D44" s="80" t="s">
        <v>422</v>
      </c>
      <c r="E44" s="80" t="s">
        <v>423</v>
      </c>
      <c r="F44" s="80" t="s">
        <v>424</v>
      </c>
      <c r="G44" s="80" t="s">
        <v>425</v>
      </c>
      <c r="H44" s="80" t="s">
        <v>115</v>
      </c>
      <c r="I44" s="80" t="s">
        <v>149</v>
      </c>
      <c r="J44" s="80" t="s">
        <v>117</v>
      </c>
      <c r="K44" s="80">
        <v>5</v>
      </c>
      <c r="L44" s="80" t="s">
        <v>426</v>
      </c>
      <c r="M44" s="80" t="s">
        <v>427</v>
      </c>
      <c r="N44" s="80" t="s">
        <v>120</v>
      </c>
      <c r="O44" s="80" t="s">
        <v>428</v>
      </c>
      <c r="P44" s="80" t="s">
        <v>429</v>
      </c>
      <c r="Q44" s="80" t="s">
        <v>123</v>
      </c>
      <c r="R44" s="80" t="s">
        <v>174</v>
      </c>
      <c r="S44" s="80">
        <v>9</v>
      </c>
      <c r="T44" s="80">
        <v>18</v>
      </c>
      <c r="U44" s="80" t="s">
        <v>167</v>
      </c>
      <c r="V44" s="80" t="s">
        <v>126</v>
      </c>
      <c r="W44" s="80" t="s">
        <v>127</v>
      </c>
      <c r="X44" s="80"/>
      <c r="Y44" s="80"/>
    </row>
    <row r="45" spans="1:25">
      <c r="A45" s="80">
        <f t="shared" si="0"/>
        <v>44</v>
      </c>
      <c r="B45" s="10">
        <v>45964.504594907397</v>
      </c>
      <c r="C45" s="80" t="s">
        <v>222</v>
      </c>
      <c r="D45" s="80" t="s">
        <v>430</v>
      </c>
      <c r="E45" s="80" t="s">
        <v>431</v>
      </c>
      <c r="F45" s="80" t="s">
        <v>432</v>
      </c>
      <c r="G45" s="80" t="s">
        <v>433</v>
      </c>
      <c r="H45" s="80" t="s">
        <v>115</v>
      </c>
      <c r="I45" s="80" t="s">
        <v>149</v>
      </c>
      <c r="J45" s="80" t="s">
        <v>117</v>
      </c>
      <c r="K45" s="80">
        <v>21</v>
      </c>
      <c r="L45" s="80" t="s">
        <v>434</v>
      </c>
      <c r="M45" s="80" t="s">
        <v>435</v>
      </c>
      <c r="N45" s="80" t="s">
        <v>120</v>
      </c>
      <c r="O45" s="80" t="s">
        <v>121</v>
      </c>
      <c r="P45" s="80" t="s">
        <v>178</v>
      </c>
      <c r="Q45" s="80" t="s">
        <v>123</v>
      </c>
      <c r="R45" s="80" t="s">
        <v>174</v>
      </c>
      <c r="S45" s="80">
        <v>18</v>
      </c>
      <c r="T45" s="80">
        <v>24</v>
      </c>
      <c r="U45" s="80" t="s">
        <v>232</v>
      </c>
      <c r="V45" s="80" t="s">
        <v>126</v>
      </c>
      <c r="W45" s="80" t="s">
        <v>127</v>
      </c>
      <c r="X45" s="80"/>
      <c r="Y45" s="80"/>
    </row>
    <row r="46" spans="1:25">
      <c r="A46" s="80">
        <f t="shared" si="0"/>
        <v>45</v>
      </c>
      <c r="B46" s="10">
        <v>45964.506342592598</v>
      </c>
      <c r="C46" s="80" t="s">
        <v>280</v>
      </c>
      <c r="D46" s="80" t="s">
        <v>436</v>
      </c>
      <c r="E46" s="80" t="s">
        <v>437</v>
      </c>
      <c r="F46" s="80" t="s">
        <v>438</v>
      </c>
      <c r="G46" s="80" t="s">
        <v>439</v>
      </c>
      <c r="H46" s="80" t="s">
        <v>115</v>
      </c>
      <c r="I46" s="80" t="s">
        <v>149</v>
      </c>
      <c r="J46" s="80" t="s">
        <v>117</v>
      </c>
      <c r="K46" s="80">
        <v>6</v>
      </c>
      <c r="L46" s="80" t="s">
        <v>440</v>
      </c>
      <c r="M46" s="80" t="s">
        <v>441</v>
      </c>
      <c r="N46" s="80" t="s">
        <v>120</v>
      </c>
      <c r="O46" s="80" t="s">
        <v>213</v>
      </c>
      <c r="P46" s="80" t="s">
        <v>135</v>
      </c>
      <c r="Q46" s="80" t="s">
        <v>123</v>
      </c>
      <c r="R46" s="80" t="s">
        <v>174</v>
      </c>
      <c r="S46" s="80">
        <v>16</v>
      </c>
      <c r="T46" s="80">
        <v>24</v>
      </c>
      <c r="U46" s="80" t="s">
        <v>288</v>
      </c>
      <c r="V46" s="80" t="s">
        <v>126</v>
      </c>
      <c r="W46" s="80" t="s">
        <v>127</v>
      </c>
      <c r="X46" s="80"/>
      <c r="Y46" s="80"/>
    </row>
    <row r="47" spans="1:25">
      <c r="A47" s="80">
        <f t="shared" si="0"/>
        <v>46</v>
      </c>
      <c r="B47" s="10">
        <v>45964.506377314799</v>
      </c>
      <c r="C47" s="80" t="s">
        <v>362</v>
      </c>
      <c r="D47" s="80" t="s">
        <v>442</v>
      </c>
      <c r="E47" s="80" t="s">
        <v>437</v>
      </c>
      <c r="F47" s="80" t="s">
        <v>438</v>
      </c>
      <c r="G47" s="80" t="s">
        <v>439</v>
      </c>
      <c r="H47" s="80" t="s">
        <v>115</v>
      </c>
      <c r="I47" s="80" t="s">
        <v>149</v>
      </c>
      <c r="J47" s="80" t="s">
        <v>117</v>
      </c>
      <c r="K47" s="80">
        <v>6</v>
      </c>
      <c r="L47" s="80" t="s">
        <v>440</v>
      </c>
      <c r="M47" s="80" t="s">
        <v>441</v>
      </c>
      <c r="N47" s="80" t="s">
        <v>120</v>
      </c>
      <c r="O47" s="80" t="s">
        <v>213</v>
      </c>
      <c r="P47" s="80" t="s">
        <v>135</v>
      </c>
      <c r="Q47" s="80" t="s">
        <v>123</v>
      </c>
      <c r="R47" s="80" t="s">
        <v>174</v>
      </c>
      <c r="S47" s="80">
        <v>16</v>
      </c>
      <c r="T47" s="80">
        <v>24</v>
      </c>
      <c r="U47" s="80" t="s">
        <v>364</v>
      </c>
      <c r="V47" s="80" t="s">
        <v>126</v>
      </c>
      <c r="W47" s="80" t="s">
        <v>127</v>
      </c>
      <c r="X47" s="80"/>
      <c r="Y47" s="80"/>
    </row>
    <row r="48" spans="1:25">
      <c r="A48" s="80">
        <f t="shared" si="0"/>
        <v>47</v>
      </c>
      <c r="B48" s="10">
        <v>45964.507627314801</v>
      </c>
      <c r="C48" s="80" t="s">
        <v>157</v>
      </c>
      <c r="D48" s="80" t="s">
        <v>443</v>
      </c>
      <c r="E48" s="80" t="s">
        <v>444</v>
      </c>
      <c r="F48" s="80" t="s">
        <v>445</v>
      </c>
      <c r="G48" s="80" t="s">
        <v>446</v>
      </c>
      <c r="H48" s="80" t="s">
        <v>115</v>
      </c>
      <c r="I48" s="80" t="s">
        <v>149</v>
      </c>
      <c r="J48" s="80" t="s">
        <v>149</v>
      </c>
      <c r="K48" s="80">
        <v>1</v>
      </c>
      <c r="L48" s="80" t="s">
        <v>447</v>
      </c>
      <c r="M48" s="80" t="s">
        <v>448</v>
      </c>
      <c r="N48" s="80" t="s">
        <v>120</v>
      </c>
      <c r="O48" s="80" t="s">
        <v>449</v>
      </c>
      <c r="P48" s="80" t="s">
        <v>135</v>
      </c>
      <c r="Q48" s="80" t="s">
        <v>123</v>
      </c>
      <c r="R48" s="80" t="s">
        <v>124</v>
      </c>
      <c r="S48" s="80">
        <v>1</v>
      </c>
      <c r="T48" s="80">
        <v>18</v>
      </c>
      <c r="U48" s="80" t="s">
        <v>167</v>
      </c>
      <c r="V48" s="80" t="s">
        <v>126</v>
      </c>
      <c r="W48" s="80" t="s">
        <v>127</v>
      </c>
      <c r="X48" s="80"/>
      <c r="Y48" s="80"/>
    </row>
    <row r="49" spans="1:25">
      <c r="A49" s="80">
        <f t="shared" si="0"/>
        <v>48</v>
      </c>
      <c r="B49" s="10">
        <v>45964.508321759298</v>
      </c>
      <c r="C49" s="80" t="s">
        <v>222</v>
      </c>
      <c r="D49" s="80" t="s">
        <v>450</v>
      </c>
      <c r="E49" s="80" t="s">
        <v>451</v>
      </c>
      <c r="F49" s="80" t="s">
        <v>452</v>
      </c>
      <c r="G49" s="80" t="s">
        <v>453</v>
      </c>
      <c r="H49" s="80" t="s">
        <v>115</v>
      </c>
      <c r="I49" s="80" t="s">
        <v>149</v>
      </c>
      <c r="J49" s="80" t="s">
        <v>117</v>
      </c>
      <c r="K49" s="80">
        <v>1</v>
      </c>
      <c r="L49" s="80" t="s">
        <v>454</v>
      </c>
      <c r="M49" s="80" t="s">
        <v>455</v>
      </c>
      <c r="N49" s="80" t="s">
        <v>120</v>
      </c>
      <c r="O49" s="80" t="s">
        <v>230</v>
      </c>
      <c r="P49" s="80" t="s">
        <v>178</v>
      </c>
      <c r="Q49" s="80" t="s">
        <v>123</v>
      </c>
      <c r="R49" s="80" t="s">
        <v>136</v>
      </c>
      <c r="S49" s="80">
        <v>2</v>
      </c>
      <c r="T49" s="80">
        <v>18</v>
      </c>
      <c r="U49" s="80" t="s">
        <v>232</v>
      </c>
      <c r="V49" s="80" t="s">
        <v>126</v>
      </c>
      <c r="W49" s="80" t="s">
        <v>127</v>
      </c>
      <c r="X49" s="80"/>
      <c r="Y49" s="80"/>
    </row>
    <row r="50" spans="1:25">
      <c r="A50" s="80">
        <f t="shared" si="0"/>
        <v>49</v>
      </c>
      <c r="B50" s="10">
        <v>45964.510277777801</v>
      </c>
      <c r="C50" s="80" t="s">
        <v>456</v>
      </c>
      <c r="D50" s="80" t="s">
        <v>457</v>
      </c>
      <c r="E50" s="80" t="s">
        <v>458</v>
      </c>
      <c r="F50" s="80" t="s">
        <v>459</v>
      </c>
      <c r="G50" s="80" t="s">
        <v>460</v>
      </c>
      <c r="H50" s="80" t="s">
        <v>115</v>
      </c>
      <c r="I50" s="80" t="s">
        <v>149</v>
      </c>
      <c r="J50" s="80" t="s">
        <v>461</v>
      </c>
      <c r="K50" s="80">
        <v>21</v>
      </c>
      <c r="L50" s="80" t="s">
        <v>462</v>
      </c>
      <c r="M50" s="80" t="s">
        <v>463</v>
      </c>
      <c r="N50" s="80" t="s">
        <v>164</v>
      </c>
      <c r="O50" s="80" t="s">
        <v>464</v>
      </c>
      <c r="P50" s="80" t="s">
        <v>465</v>
      </c>
      <c r="Q50" s="80" t="s">
        <v>123</v>
      </c>
      <c r="R50" s="80" t="s">
        <v>124</v>
      </c>
      <c r="S50" s="80">
        <v>12</v>
      </c>
      <c r="T50" s="80">
        <v>18</v>
      </c>
      <c r="U50" s="80" t="s">
        <v>466</v>
      </c>
      <c r="V50" s="80" t="s">
        <v>126</v>
      </c>
      <c r="W50" s="80" t="s">
        <v>127</v>
      </c>
      <c r="X50" s="80"/>
      <c r="Y50" s="80"/>
    </row>
    <row r="51" spans="1:25">
      <c r="A51" s="80">
        <f t="shared" si="0"/>
        <v>50</v>
      </c>
      <c r="B51" s="10">
        <v>45964.510752314804</v>
      </c>
      <c r="C51" s="80" t="s">
        <v>456</v>
      </c>
      <c r="D51" s="80" t="s">
        <v>467</v>
      </c>
      <c r="E51" s="80" t="s">
        <v>468</v>
      </c>
      <c r="F51" s="80" t="s">
        <v>469</v>
      </c>
      <c r="G51" s="80" t="s">
        <v>470</v>
      </c>
      <c r="H51" s="80" t="s">
        <v>115</v>
      </c>
      <c r="I51" s="80" t="s">
        <v>149</v>
      </c>
      <c r="J51" s="80" t="s">
        <v>117</v>
      </c>
      <c r="K51" s="80">
        <v>1</v>
      </c>
      <c r="L51" s="80" t="s">
        <v>471</v>
      </c>
      <c r="M51" s="80" t="s">
        <v>472</v>
      </c>
      <c r="N51" s="80" t="s">
        <v>120</v>
      </c>
      <c r="O51" s="80" t="s">
        <v>240</v>
      </c>
      <c r="P51" s="80" t="s">
        <v>135</v>
      </c>
      <c r="Q51" s="80" t="s">
        <v>123</v>
      </c>
      <c r="R51" s="80" t="s">
        <v>124</v>
      </c>
      <c r="S51" s="80">
        <v>8</v>
      </c>
      <c r="T51" s="80">
        <v>24</v>
      </c>
      <c r="U51" s="80" t="s">
        <v>466</v>
      </c>
      <c r="V51" s="80" t="s">
        <v>126</v>
      </c>
      <c r="W51" s="80" t="s">
        <v>127</v>
      </c>
      <c r="X51" s="80"/>
      <c r="Y51" s="80"/>
    </row>
    <row r="52" spans="1:25">
      <c r="A52" s="80">
        <f t="shared" si="0"/>
        <v>51</v>
      </c>
      <c r="B52" s="10">
        <v>45964.512812499997</v>
      </c>
      <c r="C52" s="80" t="s">
        <v>456</v>
      </c>
      <c r="D52" s="80" t="s">
        <v>473</v>
      </c>
      <c r="E52" s="80" t="s">
        <v>474</v>
      </c>
      <c r="F52" s="80" t="s">
        <v>475</v>
      </c>
      <c r="G52" s="80" t="s">
        <v>476</v>
      </c>
      <c r="H52" s="80" t="s">
        <v>477</v>
      </c>
      <c r="I52" s="80" t="s">
        <v>35</v>
      </c>
      <c r="J52" s="80" t="s">
        <v>149</v>
      </c>
      <c r="K52" s="80">
        <v>21</v>
      </c>
      <c r="L52" s="80" t="s">
        <v>478</v>
      </c>
      <c r="M52" s="80" t="s">
        <v>479</v>
      </c>
      <c r="N52" s="80" t="s">
        <v>120</v>
      </c>
      <c r="O52" s="80" t="s">
        <v>421</v>
      </c>
      <c r="P52" s="80" t="s">
        <v>269</v>
      </c>
      <c r="Q52" s="80" t="s">
        <v>123</v>
      </c>
      <c r="R52" s="80" t="s">
        <v>136</v>
      </c>
      <c r="S52" s="80">
        <v>7</v>
      </c>
      <c r="T52" s="80">
        <v>12</v>
      </c>
      <c r="U52" s="80" t="s">
        <v>466</v>
      </c>
      <c r="V52" s="80" t="s">
        <v>126</v>
      </c>
      <c r="W52" s="80" t="s">
        <v>480</v>
      </c>
      <c r="X52" s="80" t="s">
        <v>205</v>
      </c>
      <c r="Y52" s="80"/>
    </row>
    <row r="53" spans="1:25">
      <c r="A53" s="80">
        <f t="shared" si="0"/>
        <v>52</v>
      </c>
      <c r="B53" s="10">
        <v>45964.539895833303</v>
      </c>
      <c r="C53" s="80" t="s">
        <v>359</v>
      </c>
      <c r="D53" s="80" t="s">
        <v>481</v>
      </c>
      <c r="E53" s="80" t="s">
        <v>482</v>
      </c>
      <c r="F53" s="80" t="s">
        <v>483</v>
      </c>
      <c r="G53" s="80" t="s">
        <v>484</v>
      </c>
      <c r="H53" s="80" t="s">
        <v>115</v>
      </c>
      <c r="I53" s="80" t="s">
        <v>149</v>
      </c>
      <c r="J53" s="80" t="s">
        <v>117</v>
      </c>
      <c r="K53" s="80">
        <v>22</v>
      </c>
      <c r="L53" s="80" t="s">
        <v>485</v>
      </c>
      <c r="M53" s="80" t="s">
        <v>486</v>
      </c>
      <c r="N53" s="80" t="s">
        <v>164</v>
      </c>
      <c r="O53" s="80" t="s">
        <v>487</v>
      </c>
      <c r="P53" s="80" t="s">
        <v>269</v>
      </c>
      <c r="Q53" s="80" t="s">
        <v>123</v>
      </c>
      <c r="R53" s="80" t="s">
        <v>174</v>
      </c>
      <c r="S53" s="80">
        <v>17</v>
      </c>
      <c r="T53" s="80">
        <v>18</v>
      </c>
      <c r="U53" s="80" t="s">
        <v>361</v>
      </c>
      <c r="V53" s="80" t="s">
        <v>126</v>
      </c>
      <c r="W53" s="80" t="s">
        <v>127</v>
      </c>
      <c r="X53" s="80"/>
      <c r="Y53" s="80"/>
    </row>
    <row r="54" spans="1:25">
      <c r="A54" s="80">
        <f t="shared" si="0"/>
        <v>53</v>
      </c>
      <c r="B54" s="10">
        <v>45964.553032407399</v>
      </c>
      <c r="C54" s="80" t="s">
        <v>359</v>
      </c>
      <c r="D54" s="80" t="s">
        <v>488</v>
      </c>
      <c r="E54" s="80" t="s">
        <v>489</v>
      </c>
      <c r="F54" s="80" t="s">
        <v>490</v>
      </c>
      <c r="G54" s="80" t="s">
        <v>491</v>
      </c>
      <c r="H54" s="80" t="s">
        <v>115</v>
      </c>
      <c r="I54" s="80" t="s">
        <v>149</v>
      </c>
      <c r="J54" s="80" t="s">
        <v>117</v>
      </c>
      <c r="K54" s="80">
        <v>23</v>
      </c>
      <c r="L54" s="80" t="s">
        <v>492</v>
      </c>
      <c r="M54" s="80" t="s">
        <v>493</v>
      </c>
      <c r="N54" s="80" t="s">
        <v>120</v>
      </c>
      <c r="O54" s="80" t="s">
        <v>327</v>
      </c>
      <c r="P54" s="80" t="s">
        <v>135</v>
      </c>
      <c r="Q54" s="80" t="s">
        <v>123</v>
      </c>
      <c r="R54" s="80" t="s">
        <v>174</v>
      </c>
      <c r="S54" s="80">
        <v>7</v>
      </c>
      <c r="T54" s="80">
        <v>24</v>
      </c>
      <c r="U54" s="80" t="s">
        <v>361</v>
      </c>
      <c r="V54" s="80" t="s">
        <v>126</v>
      </c>
      <c r="W54" s="80" t="s">
        <v>127</v>
      </c>
      <c r="X54" s="80"/>
      <c r="Y54" s="80"/>
    </row>
    <row r="55" spans="1:25">
      <c r="A55" s="80">
        <f t="shared" si="0"/>
        <v>54</v>
      </c>
      <c r="B55" s="10">
        <v>45964.555127314801</v>
      </c>
      <c r="C55" s="80" t="s">
        <v>494</v>
      </c>
      <c r="D55" s="80" t="s">
        <v>495</v>
      </c>
      <c r="E55" s="80" t="s">
        <v>496</v>
      </c>
      <c r="F55" s="80" t="s">
        <v>497</v>
      </c>
      <c r="G55" s="80" t="s">
        <v>498</v>
      </c>
      <c r="H55" s="80" t="s">
        <v>148</v>
      </c>
      <c r="I55" s="80" t="s">
        <v>46</v>
      </c>
      <c r="J55" s="80" t="s">
        <v>149</v>
      </c>
      <c r="K55" s="80">
        <v>10</v>
      </c>
      <c r="L55" s="80" t="s">
        <v>499</v>
      </c>
      <c r="M55" s="80" t="s">
        <v>500</v>
      </c>
      <c r="N55" s="80" t="s">
        <v>120</v>
      </c>
      <c r="O55" s="80" t="s">
        <v>501</v>
      </c>
      <c r="P55" s="80" t="s">
        <v>502</v>
      </c>
      <c r="Q55" s="80" t="s">
        <v>123</v>
      </c>
      <c r="R55" s="80" t="s">
        <v>136</v>
      </c>
      <c r="S55" s="80">
        <v>6</v>
      </c>
      <c r="T55" s="80">
        <v>12</v>
      </c>
      <c r="U55" s="80" t="s">
        <v>503</v>
      </c>
      <c r="V55" s="80" t="s">
        <v>126</v>
      </c>
      <c r="W55" s="80" t="s">
        <v>137</v>
      </c>
      <c r="X55" s="80"/>
      <c r="Y55" s="80"/>
    </row>
    <row r="56" spans="1:25">
      <c r="A56" s="80">
        <f t="shared" si="0"/>
        <v>55</v>
      </c>
      <c r="B56" s="10">
        <v>45964.559004629598</v>
      </c>
      <c r="C56" s="80" t="s">
        <v>456</v>
      </c>
      <c r="D56" s="80" t="s">
        <v>504</v>
      </c>
      <c r="E56" s="80" t="s">
        <v>505</v>
      </c>
      <c r="F56" s="80" t="s">
        <v>506</v>
      </c>
      <c r="G56" s="80" t="s">
        <v>507</v>
      </c>
      <c r="H56" s="80" t="s">
        <v>115</v>
      </c>
      <c r="I56" s="80" t="s">
        <v>149</v>
      </c>
      <c r="J56" s="80" t="s">
        <v>117</v>
      </c>
      <c r="K56" s="80">
        <v>5</v>
      </c>
      <c r="L56" s="80" t="s">
        <v>508</v>
      </c>
      <c r="M56" s="80" t="s">
        <v>509</v>
      </c>
      <c r="N56" s="80" t="s">
        <v>120</v>
      </c>
      <c r="O56" s="80" t="s">
        <v>510</v>
      </c>
      <c r="P56" s="80" t="s">
        <v>269</v>
      </c>
      <c r="Q56" s="80" t="s">
        <v>123</v>
      </c>
      <c r="R56" s="80" t="s">
        <v>174</v>
      </c>
      <c r="S56" s="80">
        <v>6</v>
      </c>
      <c r="T56" s="80">
        <v>12</v>
      </c>
      <c r="U56" s="80" t="s">
        <v>466</v>
      </c>
      <c r="V56" s="80" t="s">
        <v>126</v>
      </c>
      <c r="W56" s="80" t="s">
        <v>127</v>
      </c>
      <c r="X56" s="80"/>
      <c r="Y56" s="80"/>
    </row>
    <row r="57" spans="1:25">
      <c r="A57" s="80">
        <f t="shared" si="0"/>
        <v>56</v>
      </c>
      <c r="B57" s="10">
        <v>45964.566979166702</v>
      </c>
      <c r="C57" s="80" t="s">
        <v>456</v>
      </c>
      <c r="D57" s="80" t="s">
        <v>511</v>
      </c>
      <c r="E57" s="80" t="s">
        <v>512</v>
      </c>
      <c r="F57" s="80" t="s">
        <v>513</v>
      </c>
      <c r="G57" s="80" t="s">
        <v>514</v>
      </c>
      <c r="H57" s="80" t="s">
        <v>174</v>
      </c>
      <c r="I57" s="80" t="s">
        <v>149</v>
      </c>
      <c r="J57" s="80" t="s">
        <v>149</v>
      </c>
      <c r="K57" s="80">
        <v>1</v>
      </c>
      <c r="L57" s="80" t="s">
        <v>515</v>
      </c>
      <c r="M57" s="80" t="s">
        <v>516</v>
      </c>
      <c r="N57" s="80" t="s">
        <v>517</v>
      </c>
      <c r="O57" s="80" t="s">
        <v>518</v>
      </c>
      <c r="P57" s="80" t="s">
        <v>135</v>
      </c>
      <c r="Q57" s="80" t="s">
        <v>123</v>
      </c>
      <c r="R57" s="80" t="s">
        <v>174</v>
      </c>
      <c r="S57" s="80">
        <v>16</v>
      </c>
      <c r="T57" s="80">
        <v>18</v>
      </c>
      <c r="U57" s="80" t="s">
        <v>466</v>
      </c>
      <c r="V57" s="80" t="s">
        <v>126</v>
      </c>
      <c r="W57" s="80" t="s">
        <v>127</v>
      </c>
      <c r="X57" s="80"/>
      <c r="Y57" s="80"/>
    </row>
    <row r="58" spans="1:25">
      <c r="A58" s="80">
        <f t="shared" si="0"/>
        <v>57</v>
      </c>
      <c r="B58" s="10">
        <v>45964.577835648102</v>
      </c>
      <c r="C58" s="80" t="s">
        <v>222</v>
      </c>
      <c r="D58" s="80" t="s">
        <v>519</v>
      </c>
      <c r="E58" s="80" t="s">
        <v>520</v>
      </c>
      <c r="F58" s="80" t="s">
        <v>521</v>
      </c>
      <c r="G58" s="80" t="s">
        <v>522</v>
      </c>
      <c r="H58" s="80" t="s">
        <v>115</v>
      </c>
      <c r="I58" s="80" t="s">
        <v>149</v>
      </c>
      <c r="J58" s="80" t="s">
        <v>117</v>
      </c>
      <c r="K58" s="80">
        <v>19</v>
      </c>
      <c r="L58" s="80" t="s">
        <v>523</v>
      </c>
      <c r="M58" s="80" t="s">
        <v>524</v>
      </c>
      <c r="N58" s="80" t="s">
        <v>120</v>
      </c>
      <c r="O58" s="80" t="s">
        <v>525</v>
      </c>
      <c r="P58" s="80" t="s">
        <v>287</v>
      </c>
      <c r="Q58" s="80" t="s">
        <v>123</v>
      </c>
      <c r="R58" s="80" t="s">
        <v>174</v>
      </c>
      <c r="S58" s="80">
        <v>11</v>
      </c>
      <c r="T58" s="80">
        <v>18</v>
      </c>
      <c r="U58" s="80" t="s">
        <v>232</v>
      </c>
      <c r="V58" s="80" t="s">
        <v>126</v>
      </c>
      <c r="W58" s="80" t="s">
        <v>127</v>
      </c>
      <c r="X58" s="80"/>
      <c r="Y58" s="80"/>
    </row>
    <row r="59" spans="1:25">
      <c r="A59" s="80">
        <f t="shared" si="0"/>
        <v>58</v>
      </c>
      <c r="B59" s="10">
        <v>45964.577962962998</v>
      </c>
      <c r="C59" s="80" t="s">
        <v>320</v>
      </c>
      <c r="D59" s="80" t="s">
        <v>526</v>
      </c>
      <c r="E59" s="80" t="s">
        <v>527</v>
      </c>
      <c r="F59" s="80" t="s">
        <v>528</v>
      </c>
      <c r="G59" s="80" t="s">
        <v>529</v>
      </c>
      <c r="H59" s="80" t="s">
        <v>174</v>
      </c>
      <c r="I59" s="80" t="s">
        <v>149</v>
      </c>
      <c r="J59" s="80" t="s">
        <v>149</v>
      </c>
      <c r="K59" s="80">
        <v>1</v>
      </c>
      <c r="L59" s="80" t="s">
        <v>530</v>
      </c>
      <c r="M59" s="80" t="s">
        <v>531</v>
      </c>
      <c r="N59" s="80" t="s">
        <v>120</v>
      </c>
      <c r="O59" s="80" t="s">
        <v>398</v>
      </c>
      <c r="P59" s="80" t="s">
        <v>269</v>
      </c>
      <c r="Q59" s="80" t="s">
        <v>123</v>
      </c>
      <c r="R59" s="80" t="s">
        <v>174</v>
      </c>
      <c r="S59" s="80">
        <v>14</v>
      </c>
      <c r="T59" s="80">
        <v>18</v>
      </c>
      <c r="U59" s="80" t="s">
        <v>328</v>
      </c>
      <c r="V59" s="80" t="s">
        <v>126</v>
      </c>
      <c r="W59" s="80" t="s">
        <v>127</v>
      </c>
      <c r="X59" s="80"/>
      <c r="Y59" s="80"/>
    </row>
    <row r="60" spans="1:25">
      <c r="A60" s="80">
        <f t="shared" si="0"/>
        <v>59</v>
      </c>
      <c r="B60" s="10">
        <v>45964.583611111098</v>
      </c>
      <c r="C60" s="80" t="s">
        <v>222</v>
      </c>
      <c r="D60" s="80" t="s">
        <v>532</v>
      </c>
      <c r="E60" s="80" t="s">
        <v>533</v>
      </c>
      <c r="F60" s="80" t="s">
        <v>534</v>
      </c>
      <c r="G60" s="80" t="s">
        <v>535</v>
      </c>
      <c r="H60" s="80" t="s">
        <v>210</v>
      </c>
      <c r="I60" s="80" t="s">
        <v>35</v>
      </c>
      <c r="J60" s="80" t="s">
        <v>149</v>
      </c>
      <c r="K60" s="80">
        <v>19</v>
      </c>
      <c r="L60" s="80" t="s">
        <v>536</v>
      </c>
      <c r="M60" s="80" t="s">
        <v>537</v>
      </c>
      <c r="N60" s="80" t="s">
        <v>164</v>
      </c>
      <c r="O60" s="80" t="s">
        <v>538</v>
      </c>
      <c r="P60" s="80" t="s">
        <v>539</v>
      </c>
      <c r="Q60" s="80" t="s">
        <v>123</v>
      </c>
      <c r="R60" s="80" t="s">
        <v>136</v>
      </c>
      <c r="S60" s="80">
        <v>18</v>
      </c>
      <c r="T60" s="80">
        <v>18</v>
      </c>
      <c r="U60" s="80" t="s">
        <v>232</v>
      </c>
      <c r="V60" s="80" t="s">
        <v>126</v>
      </c>
      <c r="W60" s="80" t="s">
        <v>1770</v>
      </c>
      <c r="X60" s="80"/>
      <c r="Y60" s="80"/>
    </row>
    <row r="61" spans="1:25">
      <c r="A61" s="80">
        <f t="shared" si="0"/>
        <v>60</v>
      </c>
      <c r="B61" s="10">
        <v>45964.590960648202</v>
      </c>
      <c r="C61" s="80" t="s">
        <v>320</v>
      </c>
      <c r="D61" s="80" t="s">
        <v>540</v>
      </c>
      <c r="E61" s="80" t="s">
        <v>541</v>
      </c>
      <c r="F61" s="80" t="s">
        <v>542</v>
      </c>
      <c r="G61" s="80" t="s">
        <v>543</v>
      </c>
      <c r="H61" s="80" t="s">
        <v>210</v>
      </c>
      <c r="I61" s="80" t="s">
        <v>35</v>
      </c>
      <c r="J61" s="80" t="s">
        <v>149</v>
      </c>
      <c r="K61" s="80">
        <v>17</v>
      </c>
      <c r="L61" s="80" t="s">
        <v>544</v>
      </c>
      <c r="M61" s="80" t="s">
        <v>545</v>
      </c>
      <c r="N61" s="80" t="s">
        <v>120</v>
      </c>
      <c r="O61" s="80" t="s">
        <v>152</v>
      </c>
      <c r="P61" s="80" t="s">
        <v>546</v>
      </c>
      <c r="Q61" s="80" t="s">
        <v>123</v>
      </c>
      <c r="R61" s="80" t="s">
        <v>136</v>
      </c>
      <c r="S61" s="80">
        <v>5</v>
      </c>
      <c r="T61" s="80">
        <v>12</v>
      </c>
      <c r="U61" s="80" t="s">
        <v>328</v>
      </c>
      <c r="V61" s="80" t="s">
        <v>126</v>
      </c>
      <c r="W61" s="80" t="s">
        <v>1770</v>
      </c>
      <c r="X61" s="80"/>
      <c r="Y61" s="80"/>
    </row>
    <row r="62" spans="1:25">
      <c r="A62" s="80">
        <f t="shared" si="0"/>
        <v>61</v>
      </c>
      <c r="B62" s="10">
        <v>45964.594143518501</v>
      </c>
      <c r="C62" s="80" t="s">
        <v>320</v>
      </c>
      <c r="D62" s="80" t="s">
        <v>547</v>
      </c>
      <c r="E62" s="80" t="s">
        <v>548</v>
      </c>
      <c r="F62" s="80" t="s">
        <v>549</v>
      </c>
      <c r="G62" s="80" t="s">
        <v>550</v>
      </c>
      <c r="H62" s="80" t="s">
        <v>174</v>
      </c>
      <c r="I62" s="80" t="s">
        <v>149</v>
      </c>
      <c r="J62" s="80" t="s">
        <v>149</v>
      </c>
      <c r="K62" s="80">
        <v>1</v>
      </c>
      <c r="L62" s="80" t="s">
        <v>551</v>
      </c>
      <c r="M62" s="80" t="s">
        <v>552</v>
      </c>
      <c r="N62" s="80" t="s">
        <v>120</v>
      </c>
      <c r="O62" s="80" t="s">
        <v>121</v>
      </c>
      <c r="P62" s="80" t="s">
        <v>135</v>
      </c>
      <c r="Q62" s="80" t="s">
        <v>123</v>
      </c>
      <c r="R62" s="80" t="s">
        <v>174</v>
      </c>
      <c r="S62" s="80">
        <v>4</v>
      </c>
      <c r="T62" s="80">
        <v>12</v>
      </c>
      <c r="U62" s="80" t="s">
        <v>328</v>
      </c>
      <c r="V62" s="80" t="s">
        <v>126</v>
      </c>
      <c r="W62" s="80" t="s">
        <v>127</v>
      </c>
      <c r="X62" s="80"/>
      <c r="Y62" s="80"/>
    </row>
    <row r="63" spans="1:25">
      <c r="A63" s="80">
        <f t="shared" si="0"/>
        <v>62</v>
      </c>
      <c r="B63" s="10">
        <v>45964.597291666701</v>
      </c>
      <c r="C63" s="80" t="s">
        <v>553</v>
      </c>
      <c r="D63" s="80" t="s">
        <v>554</v>
      </c>
      <c r="E63" s="80" t="s">
        <v>555</v>
      </c>
      <c r="F63" s="80" t="s">
        <v>556</v>
      </c>
      <c r="G63" s="80" t="s">
        <v>557</v>
      </c>
      <c r="H63" s="80" t="s">
        <v>115</v>
      </c>
      <c r="I63" s="80" t="s">
        <v>149</v>
      </c>
      <c r="J63" s="80" t="s">
        <v>117</v>
      </c>
      <c r="K63" s="80">
        <v>1</v>
      </c>
      <c r="L63" s="80" t="s">
        <v>558</v>
      </c>
      <c r="M63" s="80" t="s">
        <v>559</v>
      </c>
      <c r="N63" s="80" t="s">
        <v>164</v>
      </c>
      <c r="O63" s="80" t="s">
        <v>560</v>
      </c>
      <c r="P63" s="80" t="s">
        <v>561</v>
      </c>
      <c r="Q63" s="80" t="s">
        <v>123</v>
      </c>
      <c r="R63" s="80" t="s">
        <v>124</v>
      </c>
      <c r="S63" s="80">
        <v>9</v>
      </c>
      <c r="T63" s="80">
        <v>18</v>
      </c>
      <c r="U63" s="80" t="s">
        <v>562</v>
      </c>
      <c r="V63" s="80" t="s">
        <v>126</v>
      </c>
      <c r="W63" s="80" t="s">
        <v>127</v>
      </c>
      <c r="X63" s="80"/>
      <c r="Y63" s="80"/>
    </row>
    <row r="64" spans="1:25">
      <c r="A64" s="80">
        <f t="shared" si="0"/>
        <v>63</v>
      </c>
      <c r="B64" s="10">
        <v>45964.597337963001</v>
      </c>
      <c r="C64" s="80" t="s">
        <v>563</v>
      </c>
      <c r="D64" s="80" t="s">
        <v>564</v>
      </c>
      <c r="E64" s="80" t="s">
        <v>555</v>
      </c>
      <c r="F64" s="80" t="s">
        <v>556</v>
      </c>
      <c r="G64" s="80" t="s">
        <v>557</v>
      </c>
      <c r="H64" s="80" t="s">
        <v>115</v>
      </c>
      <c r="I64" s="80" t="s">
        <v>149</v>
      </c>
      <c r="J64" s="80" t="s">
        <v>117</v>
      </c>
      <c r="K64" s="80">
        <v>1</v>
      </c>
      <c r="L64" s="80" t="s">
        <v>558</v>
      </c>
      <c r="M64" s="80" t="s">
        <v>559</v>
      </c>
      <c r="N64" s="80" t="s">
        <v>164</v>
      </c>
      <c r="O64" s="80" t="s">
        <v>560</v>
      </c>
      <c r="P64" s="80" t="s">
        <v>561</v>
      </c>
      <c r="Q64" s="80" t="s">
        <v>123</v>
      </c>
      <c r="R64" s="80" t="s">
        <v>124</v>
      </c>
      <c r="S64" s="80">
        <v>9</v>
      </c>
      <c r="T64" s="80">
        <v>18</v>
      </c>
      <c r="U64" s="80" t="s">
        <v>565</v>
      </c>
      <c r="V64" s="80" t="s">
        <v>126</v>
      </c>
      <c r="W64" s="80" t="s">
        <v>127</v>
      </c>
      <c r="X64" s="80"/>
      <c r="Y64" s="80"/>
    </row>
    <row r="65" spans="1:25">
      <c r="A65" s="80">
        <f t="shared" si="0"/>
        <v>64</v>
      </c>
      <c r="B65" s="10">
        <v>45964.600451388898</v>
      </c>
      <c r="C65" s="80" t="s">
        <v>320</v>
      </c>
      <c r="D65" s="80" t="s">
        <v>566</v>
      </c>
      <c r="E65" s="80" t="s">
        <v>567</v>
      </c>
      <c r="F65" s="80" t="s">
        <v>568</v>
      </c>
      <c r="G65" s="80" t="s">
        <v>569</v>
      </c>
      <c r="H65" s="80" t="s">
        <v>115</v>
      </c>
      <c r="I65" s="80" t="s">
        <v>149</v>
      </c>
      <c r="J65" s="80" t="s">
        <v>117</v>
      </c>
      <c r="K65" s="80">
        <v>22</v>
      </c>
      <c r="L65" s="80" t="s">
        <v>570</v>
      </c>
      <c r="M65" s="80" t="s">
        <v>571</v>
      </c>
      <c r="N65" s="80" t="s">
        <v>120</v>
      </c>
      <c r="O65" s="80" t="s">
        <v>572</v>
      </c>
      <c r="P65" s="80" t="s">
        <v>135</v>
      </c>
      <c r="Q65" s="80" t="s">
        <v>123</v>
      </c>
      <c r="R65" s="80" t="s">
        <v>174</v>
      </c>
      <c r="S65" s="80">
        <v>4</v>
      </c>
      <c r="T65" s="80">
        <v>18</v>
      </c>
      <c r="U65" s="80" t="s">
        <v>328</v>
      </c>
      <c r="V65" s="80" t="s">
        <v>126</v>
      </c>
      <c r="W65" s="80" t="s">
        <v>127</v>
      </c>
      <c r="X65" s="80"/>
      <c r="Y65" s="80"/>
    </row>
    <row r="66" spans="1:25">
      <c r="A66" s="80">
        <f t="shared" si="0"/>
        <v>65</v>
      </c>
      <c r="B66" s="10">
        <v>45964.601435185199</v>
      </c>
      <c r="C66" s="80" t="s">
        <v>320</v>
      </c>
      <c r="D66" s="80" t="s">
        <v>573</v>
      </c>
      <c r="E66" s="80" t="s">
        <v>574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 t="s">
        <v>328</v>
      </c>
      <c r="V66" s="80" t="s">
        <v>126</v>
      </c>
      <c r="W66" s="80" t="s">
        <v>127</v>
      </c>
      <c r="X66" s="80"/>
      <c r="Y66" s="80"/>
    </row>
    <row r="67" spans="1:25">
      <c r="A67" s="80">
        <f t="shared" si="0"/>
        <v>66</v>
      </c>
      <c r="B67" s="10">
        <v>45964.6030439815</v>
      </c>
      <c r="C67" s="80" t="s">
        <v>320</v>
      </c>
      <c r="D67" s="80" t="s">
        <v>575</v>
      </c>
      <c r="E67" s="80" t="s">
        <v>576</v>
      </c>
      <c r="F67" s="80" t="s">
        <v>577</v>
      </c>
      <c r="G67" s="80" t="s">
        <v>578</v>
      </c>
      <c r="H67" s="80" t="s">
        <v>115</v>
      </c>
      <c r="I67" s="80" t="s">
        <v>149</v>
      </c>
      <c r="J67" s="80" t="s">
        <v>117</v>
      </c>
      <c r="K67" s="80">
        <v>2</v>
      </c>
      <c r="L67" s="80" t="s">
        <v>579</v>
      </c>
      <c r="M67" s="80" t="s">
        <v>580</v>
      </c>
      <c r="N67" s="80" t="s">
        <v>120</v>
      </c>
      <c r="O67" s="80" t="s">
        <v>449</v>
      </c>
      <c r="P67" s="80" t="s">
        <v>581</v>
      </c>
      <c r="Q67" s="80" t="s">
        <v>123</v>
      </c>
      <c r="R67" s="80" t="s">
        <v>136</v>
      </c>
      <c r="S67" s="80">
        <v>2</v>
      </c>
      <c r="T67" s="80">
        <v>12</v>
      </c>
      <c r="U67" s="80" t="s">
        <v>328</v>
      </c>
      <c r="V67" s="80" t="s">
        <v>126</v>
      </c>
      <c r="W67" s="80" t="s">
        <v>127</v>
      </c>
      <c r="X67" s="80"/>
      <c r="Y67" s="80"/>
    </row>
    <row r="68" spans="1:25">
      <c r="A68" s="80">
        <f t="shared" ref="A68:A131" si="1">A67+1</f>
        <v>67</v>
      </c>
      <c r="B68" s="10">
        <v>45964.603645833296</v>
      </c>
      <c r="C68" s="80" t="s">
        <v>320</v>
      </c>
      <c r="D68" s="80" t="s">
        <v>582</v>
      </c>
      <c r="E68" s="80" t="s">
        <v>583</v>
      </c>
      <c r="F68" s="80" t="s">
        <v>584</v>
      </c>
      <c r="G68" s="80" t="s">
        <v>585</v>
      </c>
      <c r="H68" s="80" t="s">
        <v>115</v>
      </c>
      <c r="I68" s="80" t="s">
        <v>149</v>
      </c>
      <c r="J68" s="80" t="s">
        <v>117</v>
      </c>
      <c r="K68" s="80">
        <v>11</v>
      </c>
      <c r="L68" s="80" t="s">
        <v>586</v>
      </c>
      <c r="M68" s="80" t="s">
        <v>587</v>
      </c>
      <c r="N68" s="80" t="s">
        <v>120</v>
      </c>
      <c r="O68" s="80" t="s">
        <v>152</v>
      </c>
      <c r="P68" s="80" t="s">
        <v>588</v>
      </c>
      <c r="Q68" s="80" t="s">
        <v>123</v>
      </c>
      <c r="R68" s="80" t="s">
        <v>124</v>
      </c>
      <c r="S68" s="80">
        <v>13</v>
      </c>
      <c r="T68" s="80">
        <v>18</v>
      </c>
      <c r="U68" s="80" t="s">
        <v>328</v>
      </c>
      <c r="V68" s="80" t="s">
        <v>126</v>
      </c>
      <c r="W68" s="80" t="s">
        <v>127</v>
      </c>
      <c r="X68" s="80"/>
      <c r="Y68" s="80"/>
    </row>
    <row r="69" spans="1:25">
      <c r="A69" s="80">
        <f t="shared" si="1"/>
        <v>68</v>
      </c>
      <c r="B69" s="10">
        <v>45964.606180555602</v>
      </c>
      <c r="C69" s="80" t="s">
        <v>589</v>
      </c>
      <c r="D69" s="80" t="s">
        <v>590</v>
      </c>
      <c r="E69" s="80" t="s">
        <v>591</v>
      </c>
      <c r="F69" s="80" t="s">
        <v>592</v>
      </c>
      <c r="G69" s="80" t="s">
        <v>593</v>
      </c>
      <c r="H69" s="80" t="s">
        <v>174</v>
      </c>
      <c r="I69" s="80" t="s">
        <v>149</v>
      </c>
      <c r="J69" s="80" t="s">
        <v>149</v>
      </c>
      <c r="K69" s="80">
        <v>1</v>
      </c>
      <c r="L69" s="80" t="s">
        <v>594</v>
      </c>
      <c r="M69" s="80" t="s">
        <v>595</v>
      </c>
      <c r="N69" s="80" t="s">
        <v>120</v>
      </c>
      <c r="O69" s="80" t="s">
        <v>371</v>
      </c>
      <c r="P69" s="80" t="s">
        <v>178</v>
      </c>
      <c r="Q69" s="80" t="s">
        <v>123</v>
      </c>
      <c r="R69" s="80" t="s">
        <v>174</v>
      </c>
      <c r="S69" s="80">
        <v>11</v>
      </c>
      <c r="T69" s="80">
        <v>12</v>
      </c>
      <c r="U69" s="80" t="s">
        <v>596</v>
      </c>
      <c r="V69" s="80" t="s">
        <v>126</v>
      </c>
      <c r="W69" s="80" t="s">
        <v>127</v>
      </c>
      <c r="X69" s="80"/>
      <c r="Y69" s="80"/>
    </row>
    <row r="70" spans="1:25">
      <c r="A70" s="80">
        <f t="shared" si="1"/>
        <v>69</v>
      </c>
      <c r="B70" s="10">
        <v>45964.607766203699</v>
      </c>
      <c r="C70" s="80" t="s">
        <v>320</v>
      </c>
      <c r="D70" s="80" t="s">
        <v>597</v>
      </c>
      <c r="E70" s="80" t="s">
        <v>598</v>
      </c>
      <c r="F70" s="80" t="s">
        <v>599</v>
      </c>
      <c r="G70" s="80" t="s">
        <v>600</v>
      </c>
      <c r="H70" s="80" t="s">
        <v>115</v>
      </c>
      <c r="I70" s="80" t="s">
        <v>149</v>
      </c>
      <c r="J70" s="80" t="s">
        <v>117</v>
      </c>
      <c r="K70" s="80">
        <v>12</v>
      </c>
      <c r="L70" s="80" t="s">
        <v>601</v>
      </c>
      <c r="M70" s="80" t="s">
        <v>602</v>
      </c>
      <c r="N70" s="80" t="s">
        <v>120</v>
      </c>
      <c r="O70" s="80" t="s">
        <v>603</v>
      </c>
      <c r="P70" s="80" t="s">
        <v>269</v>
      </c>
      <c r="Q70" s="80" t="s">
        <v>123</v>
      </c>
      <c r="R70" s="80" t="s">
        <v>174</v>
      </c>
      <c r="S70" s="80">
        <v>3</v>
      </c>
      <c r="T70" s="80">
        <v>12</v>
      </c>
      <c r="U70" s="80" t="s">
        <v>328</v>
      </c>
      <c r="V70" s="80" t="s">
        <v>126</v>
      </c>
      <c r="W70" s="80" t="s">
        <v>127</v>
      </c>
      <c r="X70" s="80"/>
      <c r="Y70" s="80"/>
    </row>
    <row r="71" spans="1:25">
      <c r="A71" s="80">
        <f t="shared" si="1"/>
        <v>70</v>
      </c>
      <c r="B71" s="10">
        <v>45964.609212962998</v>
      </c>
      <c r="C71" s="80" t="s">
        <v>604</v>
      </c>
      <c r="D71" s="80" t="s">
        <v>605</v>
      </c>
      <c r="E71" s="80" t="s">
        <v>606</v>
      </c>
      <c r="F71" s="80" t="s">
        <v>607</v>
      </c>
      <c r="G71" s="80" t="s">
        <v>608</v>
      </c>
      <c r="H71" s="80" t="s">
        <v>115</v>
      </c>
      <c r="I71" s="80" t="s">
        <v>149</v>
      </c>
      <c r="J71" s="80" t="s">
        <v>149</v>
      </c>
      <c r="K71" s="80">
        <v>26</v>
      </c>
      <c r="L71" s="80" t="s">
        <v>609</v>
      </c>
      <c r="M71" s="80" t="s">
        <v>610</v>
      </c>
      <c r="N71" s="80" t="s">
        <v>120</v>
      </c>
      <c r="O71" s="80" t="s">
        <v>611</v>
      </c>
      <c r="P71" s="80" t="s">
        <v>612</v>
      </c>
      <c r="Q71" s="80" t="s">
        <v>123</v>
      </c>
      <c r="R71" s="80" t="s">
        <v>174</v>
      </c>
      <c r="S71" s="80">
        <v>2</v>
      </c>
      <c r="T71" s="80">
        <v>6</v>
      </c>
      <c r="U71" s="80" t="s">
        <v>613</v>
      </c>
      <c r="V71" s="80" t="s">
        <v>126</v>
      </c>
      <c r="W71" s="80" t="s">
        <v>127</v>
      </c>
      <c r="X71" s="80"/>
      <c r="Y71" s="80"/>
    </row>
    <row r="72" spans="1:25">
      <c r="A72" s="80">
        <f t="shared" si="1"/>
        <v>71</v>
      </c>
      <c r="B72" s="10">
        <v>45964.615381944401</v>
      </c>
      <c r="C72" s="80" t="s">
        <v>553</v>
      </c>
      <c r="D72" s="80" t="s">
        <v>614</v>
      </c>
      <c r="E72" s="80" t="s">
        <v>615</v>
      </c>
      <c r="F72" s="80" t="s">
        <v>616</v>
      </c>
      <c r="G72" s="80" t="s">
        <v>617</v>
      </c>
      <c r="H72" s="80" t="s">
        <v>115</v>
      </c>
      <c r="I72" s="80" t="s">
        <v>149</v>
      </c>
      <c r="J72" s="80" t="s">
        <v>117</v>
      </c>
      <c r="K72" s="80">
        <v>14</v>
      </c>
      <c r="L72" s="80" t="s">
        <v>618</v>
      </c>
      <c r="M72" s="80" t="s">
        <v>619</v>
      </c>
      <c r="N72" s="80" t="s">
        <v>120</v>
      </c>
      <c r="O72" s="80" t="s">
        <v>152</v>
      </c>
      <c r="P72" s="80" t="s">
        <v>135</v>
      </c>
      <c r="Q72" s="80" t="s">
        <v>123</v>
      </c>
      <c r="R72" s="80" t="s">
        <v>174</v>
      </c>
      <c r="S72" s="80">
        <v>6</v>
      </c>
      <c r="T72" s="80">
        <v>18</v>
      </c>
      <c r="U72" s="80" t="s">
        <v>562</v>
      </c>
      <c r="V72" s="80" t="s">
        <v>126</v>
      </c>
      <c r="W72" s="80" t="s">
        <v>127</v>
      </c>
      <c r="X72" s="80"/>
      <c r="Y72" s="80"/>
    </row>
    <row r="73" spans="1:25">
      <c r="A73" s="80">
        <f t="shared" si="1"/>
        <v>72</v>
      </c>
      <c r="B73" s="10">
        <v>45964.615462962996</v>
      </c>
      <c r="C73" s="80" t="s">
        <v>563</v>
      </c>
      <c r="D73" s="80" t="s">
        <v>620</v>
      </c>
      <c r="E73" s="80" t="s">
        <v>615</v>
      </c>
      <c r="F73" s="80" t="s">
        <v>616</v>
      </c>
      <c r="G73" s="80" t="s">
        <v>617</v>
      </c>
      <c r="H73" s="80" t="s">
        <v>115</v>
      </c>
      <c r="I73" s="80" t="s">
        <v>149</v>
      </c>
      <c r="J73" s="80" t="s">
        <v>117</v>
      </c>
      <c r="K73" s="80">
        <v>14</v>
      </c>
      <c r="L73" s="80" t="s">
        <v>618</v>
      </c>
      <c r="M73" s="80" t="s">
        <v>619</v>
      </c>
      <c r="N73" s="80" t="s">
        <v>120</v>
      </c>
      <c r="O73" s="80" t="s">
        <v>152</v>
      </c>
      <c r="P73" s="80" t="s">
        <v>135</v>
      </c>
      <c r="Q73" s="80" t="s">
        <v>123</v>
      </c>
      <c r="R73" s="80" t="s">
        <v>174</v>
      </c>
      <c r="S73" s="80">
        <v>6</v>
      </c>
      <c r="T73" s="80">
        <v>18</v>
      </c>
      <c r="U73" s="80" t="s">
        <v>565</v>
      </c>
      <c r="V73" s="80" t="s">
        <v>126</v>
      </c>
      <c r="W73" s="80" t="s">
        <v>127</v>
      </c>
      <c r="X73" s="80"/>
      <c r="Y73" s="80"/>
    </row>
    <row r="74" spans="1:25">
      <c r="A74" s="80">
        <f t="shared" si="1"/>
        <v>73</v>
      </c>
      <c r="B74" s="10">
        <v>45964.6163310185</v>
      </c>
      <c r="C74" s="80" t="s">
        <v>157</v>
      </c>
      <c r="D74" s="80" t="s">
        <v>621</v>
      </c>
      <c r="E74" s="80" t="s">
        <v>622</v>
      </c>
      <c r="F74" s="80" t="s">
        <v>623</v>
      </c>
      <c r="G74" s="80" t="s">
        <v>624</v>
      </c>
      <c r="H74" s="80" t="s">
        <v>115</v>
      </c>
      <c r="I74" s="80" t="s">
        <v>149</v>
      </c>
      <c r="J74" s="80" t="s">
        <v>117</v>
      </c>
      <c r="K74" s="80">
        <v>23</v>
      </c>
      <c r="L74" s="80" t="s">
        <v>625</v>
      </c>
      <c r="M74" s="80" t="s">
        <v>626</v>
      </c>
      <c r="N74" s="80" t="s">
        <v>120</v>
      </c>
      <c r="O74" s="80" t="s">
        <v>627</v>
      </c>
      <c r="P74" s="80" t="s">
        <v>269</v>
      </c>
      <c r="Q74" s="80" t="s">
        <v>123</v>
      </c>
      <c r="R74" s="80" t="s">
        <v>174</v>
      </c>
      <c r="S74" s="80">
        <v>12</v>
      </c>
      <c r="T74" s="80">
        <v>12</v>
      </c>
      <c r="U74" s="80" t="s">
        <v>167</v>
      </c>
      <c r="V74" s="80" t="s">
        <v>126</v>
      </c>
      <c r="W74" s="80" t="s">
        <v>127</v>
      </c>
      <c r="X74" s="80"/>
      <c r="Y74" s="80"/>
    </row>
    <row r="75" spans="1:25">
      <c r="A75" s="80">
        <f t="shared" si="1"/>
        <v>74</v>
      </c>
      <c r="B75" s="10">
        <v>45964.631030092598</v>
      </c>
      <c r="C75" s="80" t="s">
        <v>157</v>
      </c>
      <c r="D75" s="80" t="s">
        <v>628</v>
      </c>
      <c r="E75" s="80" t="s">
        <v>629</v>
      </c>
      <c r="F75" s="80" t="s">
        <v>630</v>
      </c>
      <c r="G75" s="80" t="s">
        <v>631</v>
      </c>
      <c r="H75" s="80" t="s">
        <v>115</v>
      </c>
      <c r="I75" s="80" t="s">
        <v>149</v>
      </c>
      <c r="J75" s="80" t="s">
        <v>117</v>
      </c>
      <c r="K75" s="80">
        <v>11</v>
      </c>
      <c r="L75" s="80" t="s">
        <v>632</v>
      </c>
      <c r="M75" s="80" t="s">
        <v>633</v>
      </c>
      <c r="N75" s="80" t="s">
        <v>120</v>
      </c>
      <c r="O75" s="80" t="s">
        <v>572</v>
      </c>
      <c r="P75" s="80" t="s">
        <v>588</v>
      </c>
      <c r="Q75" s="80" t="s">
        <v>123</v>
      </c>
      <c r="R75" s="80" t="s">
        <v>174</v>
      </c>
      <c r="S75" s="80">
        <v>9</v>
      </c>
      <c r="T75" s="80">
        <v>12</v>
      </c>
      <c r="U75" s="80" t="s">
        <v>167</v>
      </c>
      <c r="V75" s="80" t="s">
        <v>126</v>
      </c>
      <c r="W75" s="80" t="s">
        <v>127</v>
      </c>
      <c r="X75" s="80"/>
      <c r="Y75" s="80"/>
    </row>
    <row r="76" spans="1:25">
      <c r="A76" s="80">
        <f t="shared" si="1"/>
        <v>75</v>
      </c>
      <c r="B76" s="10">
        <v>45964.6312847222</v>
      </c>
      <c r="C76" s="80" t="s">
        <v>157</v>
      </c>
      <c r="D76" s="80" t="s">
        <v>634</v>
      </c>
      <c r="E76" s="80" t="s">
        <v>635</v>
      </c>
      <c r="F76" s="80" t="s">
        <v>636</v>
      </c>
      <c r="G76" s="80" t="s">
        <v>637</v>
      </c>
      <c r="H76" s="80" t="s">
        <v>115</v>
      </c>
      <c r="I76" s="80" t="s">
        <v>149</v>
      </c>
      <c r="J76" s="80" t="s">
        <v>117</v>
      </c>
      <c r="K76" s="80">
        <v>24</v>
      </c>
      <c r="L76" s="80" t="s">
        <v>638</v>
      </c>
      <c r="M76" s="80" t="s">
        <v>639</v>
      </c>
      <c r="N76" s="80" t="s">
        <v>120</v>
      </c>
      <c r="O76" s="80" t="s">
        <v>152</v>
      </c>
      <c r="P76" s="80" t="s">
        <v>135</v>
      </c>
      <c r="Q76" s="80" t="s">
        <v>123</v>
      </c>
      <c r="R76" s="80" t="s">
        <v>174</v>
      </c>
      <c r="S76" s="80">
        <v>19</v>
      </c>
      <c r="T76" s="80">
        <v>24</v>
      </c>
      <c r="U76" s="80" t="s">
        <v>167</v>
      </c>
      <c r="V76" s="80" t="s">
        <v>126</v>
      </c>
      <c r="W76" s="80" t="s">
        <v>127</v>
      </c>
      <c r="X76" s="80"/>
      <c r="Y76" s="80"/>
    </row>
    <row r="77" spans="1:25">
      <c r="A77" s="80">
        <f t="shared" si="1"/>
        <v>76</v>
      </c>
      <c r="B77" s="10">
        <v>45964.635266203702</v>
      </c>
      <c r="C77" s="80" t="s">
        <v>261</v>
      </c>
      <c r="D77" s="80" t="s">
        <v>640</v>
      </c>
      <c r="E77" s="80" t="s">
        <v>641</v>
      </c>
      <c r="F77" s="80" t="s">
        <v>642</v>
      </c>
      <c r="G77" s="80" t="s">
        <v>643</v>
      </c>
      <c r="H77" s="80" t="s">
        <v>115</v>
      </c>
      <c r="I77" s="80" t="s">
        <v>149</v>
      </c>
      <c r="J77" s="80" t="s">
        <v>117</v>
      </c>
      <c r="K77" s="80">
        <v>3</v>
      </c>
      <c r="L77" s="80" t="s">
        <v>644</v>
      </c>
      <c r="M77" s="80" t="s">
        <v>645</v>
      </c>
      <c r="N77" s="80" t="s">
        <v>164</v>
      </c>
      <c r="O77" s="80" t="s">
        <v>202</v>
      </c>
      <c r="P77" s="80" t="s">
        <v>231</v>
      </c>
      <c r="Q77" s="80" t="s">
        <v>123</v>
      </c>
      <c r="R77" s="80" t="s">
        <v>136</v>
      </c>
      <c r="S77" s="80">
        <v>10</v>
      </c>
      <c r="T77" s="80">
        <v>24</v>
      </c>
      <c r="U77" s="80" t="s">
        <v>270</v>
      </c>
      <c r="V77" s="80" t="s">
        <v>126</v>
      </c>
      <c r="W77" s="80" t="s">
        <v>127</v>
      </c>
      <c r="X77" s="80"/>
      <c r="Y77" s="80"/>
    </row>
    <row r="78" spans="1:25">
      <c r="A78" s="80">
        <f t="shared" si="1"/>
        <v>77</v>
      </c>
      <c r="B78" s="10">
        <v>45964.637303240699</v>
      </c>
      <c r="C78" s="80" t="s">
        <v>362</v>
      </c>
      <c r="D78" s="80" t="s">
        <v>646</v>
      </c>
      <c r="E78" s="80" t="s">
        <v>647</v>
      </c>
      <c r="F78" s="80" t="s">
        <v>648</v>
      </c>
      <c r="G78" s="80" t="s">
        <v>649</v>
      </c>
      <c r="H78" s="80" t="s">
        <v>174</v>
      </c>
      <c r="I78" s="80" t="s">
        <v>149</v>
      </c>
      <c r="J78" s="80" t="s">
        <v>149</v>
      </c>
      <c r="K78" s="80">
        <v>1</v>
      </c>
      <c r="L78" s="80" t="s">
        <v>650</v>
      </c>
      <c r="M78" s="80" t="s">
        <v>651</v>
      </c>
      <c r="N78" s="80" t="s">
        <v>120</v>
      </c>
      <c r="O78" s="80" t="s">
        <v>652</v>
      </c>
      <c r="P78" s="80" t="s">
        <v>135</v>
      </c>
      <c r="Q78" s="80" t="s">
        <v>123</v>
      </c>
      <c r="R78" s="80" t="s">
        <v>174</v>
      </c>
      <c r="S78" s="80">
        <v>12</v>
      </c>
      <c r="T78" s="80">
        <v>12</v>
      </c>
      <c r="U78" s="80" t="s">
        <v>364</v>
      </c>
      <c r="V78" s="80" t="s">
        <v>126</v>
      </c>
      <c r="W78" s="80" t="s">
        <v>127</v>
      </c>
      <c r="X78" s="80"/>
      <c r="Y78" s="80"/>
    </row>
    <row r="79" spans="1:25">
      <c r="A79" s="80">
        <f t="shared" si="1"/>
        <v>78</v>
      </c>
      <c r="B79" s="10">
        <v>45964.638067129599</v>
      </c>
      <c r="C79" s="80" t="s">
        <v>157</v>
      </c>
      <c r="D79" s="80" t="s">
        <v>653</v>
      </c>
      <c r="E79" s="80" t="s">
        <v>654</v>
      </c>
      <c r="F79" s="80" t="s">
        <v>655</v>
      </c>
      <c r="G79" s="80" t="s">
        <v>656</v>
      </c>
      <c r="H79" s="80" t="s">
        <v>148</v>
      </c>
      <c r="I79" s="80" t="s">
        <v>46</v>
      </c>
      <c r="J79" s="80" t="s">
        <v>149</v>
      </c>
      <c r="K79" s="80">
        <v>13</v>
      </c>
      <c r="L79" s="80" t="s">
        <v>657</v>
      </c>
      <c r="M79" s="80" t="s">
        <v>658</v>
      </c>
      <c r="N79" s="80" t="s">
        <v>120</v>
      </c>
      <c r="O79" s="80" t="s">
        <v>152</v>
      </c>
      <c r="P79" s="80" t="s">
        <v>414</v>
      </c>
      <c r="Q79" s="80" t="s">
        <v>123</v>
      </c>
      <c r="R79" s="80" t="s">
        <v>136</v>
      </c>
      <c r="S79" s="80">
        <v>7</v>
      </c>
      <c r="T79" s="80">
        <v>24</v>
      </c>
      <c r="U79" s="80" t="s">
        <v>167</v>
      </c>
      <c r="V79" s="80" t="s">
        <v>126</v>
      </c>
      <c r="W79" s="80" t="s">
        <v>659</v>
      </c>
      <c r="X79" s="80"/>
      <c r="Y79" s="80"/>
    </row>
    <row r="80" spans="1:25">
      <c r="A80" s="80">
        <f t="shared" si="1"/>
        <v>79</v>
      </c>
      <c r="B80" s="10">
        <v>45964.643206018503</v>
      </c>
      <c r="C80" s="80" t="s">
        <v>456</v>
      </c>
      <c r="D80" s="80" t="s">
        <v>660</v>
      </c>
      <c r="E80" s="80" t="s">
        <v>661</v>
      </c>
      <c r="F80" s="80" t="s">
        <v>662</v>
      </c>
      <c r="G80" s="80" t="s">
        <v>663</v>
      </c>
      <c r="H80" s="80" t="s">
        <v>115</v>
      </c>
      <c r="I80" s="80" t="s">
        <v>149</v>
      </c>
      <c r="J80" s="80" t="s">
        <v>117</v>
      </c>
      <c r="K80" s="80">
        <v>5</v>
      </c>
      <c r="L80" s="80" t="s">
        <v>664</v>
      </c>
      <c r="M80" s="80" t="s">
        <v>665</v>
      </c>
      <c r="N80" s="80" t="s">
        <v>120</v>
      </c>
      <c r="O80" s="80" t="s">
        <v>611</v>
      </c>
      <c r="P80" s="80" t="s">
        <v>666</v>
      </c>
      <c r="Q80" s="80" t="s">
        <v>123</v>
      </c>
      <c r="R80" s="80" t="s">
        <v>174</v>
      </c>
      <c r="S80" s="80">
        <v>6</v>
      </c>
      <c r="T80" s="80">
        <v>18</v>
      </c>
      <c r="U80" s="80" t="s">
        <v>466</v>
      </c>
      <c r="V80" s="80" t="s">
        <v>126</v>
      </c>
      <c r="W80" s="80" t="s">
        <v>127</v>
      </c>
      <c r="X80" s="80"/>
      <c r="Y80" s="80"/>
    </row>
    <row r="81" spans="1:25">
      <c r="A81" s="80">
        <f t="shared" si="1"/>
        <v>80</v>
      </c>
      <c r="B81" s="10">
        <v>45964.646979166697</v>
      </c>
      <c r="C81" s="80" t="s">
        <v>553</v>
      </c>
      <c r="D81" s="80" t="s">
        <v>667</v>
      </c>
      <c r="E81" s="80" t="s">
        <v>668</v>
      </c>
      <c r="F81" s="80" t="s">
        <v>669</v>
      </c>
      <c r="G81" s="80" t="s">
        <v>670</v>
      </c>
      <c r="H81" s="80" t="s">
        <v>115</v>
      </c>
      <c r="I81" s="80" t="s">
        <v>149</v>
      </c>
      <c r="J81" s="80" t="s">
        <v>117</v>
      </c>
      <c r="K81" s="80">
        <v>26</v>
      </c>
      <c r="L81" s="80" t="s">
        <v>671</v>
      </c>
      <c r="M81" s="80" t="s">
        <v>672</v>
      </c>
      <c r="N81" s="80" t="s">
        <v>164</v>
      </c>
      <c r="O81" s="80" t="s">
        <v>464</v>
      </c>
      <c r="P81" s="80" t="s">
        <v>135</v>
      </c>
      <c r="Q81" s="80" t="s">
        <v>123</v>
      </c>
      <c r="R81" s="80" t="s">
        <v>174</v>
      </c>
      <c r="S81" s="80">
        <v>15</v>
      </c>
      <c r="T81" s="80">
        <v>24</v>
      </c>
      <c r="U81" s="80" t="s">
        <v>562</v>
      </c>
      <c r="V81" s="80" t="s">
        <v>126</v>
      </c>
      <c r="W81" s="80" t="s">
        <v>127</v>
      </c>
      <c r="X81" s="80"/>
      <c r="Y81" s="80"/>
    </row>
    <row r="82" spans="1:25">
      <c r="A82" s="80">
        <f t="shared" si="1"/>
        <v>81</v>
      </c>
      <c r="B82" s="10">
        <v>45964.651412036997</v>
      </c>
      <c r="C82" s="80" t="s">
        <v>320</v>
      </c>
      <c r="D82" s="80" t="s">
        <v>673</v>
      </c>
      <c r="E82" s="80" t="s">
        <v>635</v>
      </c>
      <c r="F82" s="80" t="s">
        <v>636</v>
      </c>
      <c r="G82" s="80" t="s">
        <v>637</v>
      </c>
      <c r="H82" s="80" t="s">
        <v>115</v>
      </c>
      <c r="I82" s="80" t="s">
        <v>149</v>
      </c>
      <c r="J82" s="80" t="s">
        <v>117</v>
      </c>
      <c r="K82" s="80">
        <v>24</v>
      </c>
      <c r="L82" s="80" t="s">
        <v>638</v>
      </c>
      <c r="M82" s="80" t="s">
        <v>639</v>
      </c>
      <c r="N82" s="80" t="s">
        <v>120</v>
      </c>
      <c r="O82" s="80" t="s">
        <v>152</v>
      </c>
      <c r="P82" s="80" t="s">
        <v>135</v>
      </c>
      <c r="Q82" s="80" t="s">
        <v>123</v>
      </c>
      <c r="R82" s="80" t="s">
        <v>174</v>
      </c>
      <c r="S82" s="80">
        <v>19</v>
      </c>
      <c r="T82" s="80">
        <v>24</v>
      </c>
      <c r="U82" s="80" t="s">
        <v>328</v>
      </c>
      <c r="V82" s="80" t="s">
        <v>126</v>
      </c>
      <c r="W82" s="80" t="s">
        <v>127</v>
      </c>
      <c r="X82" s="80"/>
      <c r="Y82" s="80"/>
    </row>
    <row r="83" spans="1:25">
      <c r="A83" s="80">
        <f t="shared" si="1"/>
        <v>82</v>
      </c>
      <c r="B83" s="10">
        <v>45964.658009259299</v>
      </c>
      <c r="C83" s="80" t="s">
        <v>157</v>
      </c>
      <c r="D83" s="80" t="s">
        <v>674</v>
      </c>
      <c r="E83" s="80" t="s">
        <v>675</v>
      </c>
      <c r="F83" s="80" t="s">
        <v>676</v>
      </c>
      <c r="G83" s="80" t="s">
        <v>677</v>
      </c>
      <c r="H83" s="80" t="s">
        <v>115</v>
      </c>
      <c r="I83" s="80" t="s">
        <v>149</v>
      </c>
      <c r="J83" s="80" t="s">
        <v>117</v>
      </c>
      <c r="K83" s="80">
        <v>1</v>
      </c>
      <c r="L83" s="80" t="s">
        <v>678</v>
      </c>
      <c r="M83" s="80" t="s">
        <v>679</v>
      </c>
      <c r="N83" s="80" t="s">
        <v>120</v>
      </c>
      <c r="O83" s="80" t="s">
        <v>371</v>
      </c>
      <c r="P83" s="80" t="s">
        <v>135</v>
      </c>
      <c r="Q83" s="80" t="s">
        <v>123</v>
      </c>
      <c r="R83" s="80" t="s">
        <v>124</v>
      </c>
      <c r="S83" s="80">
        <v>5</v>
      </c>
      <c r="T83" s="80">
        <v>12</v>
      </c>
      <c r="U83" s="80" t="s">
        <v>167</v>
      </c>
      <c r="V83" s="80" t="s">
        <v>126</v>
      </c>
      <c r="W83" s="80" t="s">
        <v>127</v>
      </c>
      <c r="X83" s="80"/>
      <c r="Y83" s="80"/>
    </row>
    <row r="84" spans="1:25">
      <c r="A84" s="80">
        <f t="shared" si="1"/>
        <v>83</v>
      </c>
      <c r="B84" s="10">
        <v>45964.6583217593</v>
      </c>
      <c r="C84" s="80" t="s">
        <v>143</v>
      </c>
      <c r="D84" s="80" t="s">
        <v>680</v>
      </c>
      <c r="E84" s="80" t="s">
        <v>681</v>
      </c>
      <c r="F84" s="80" t="s">
        <v>682</v>
      </c>
      <c r="G84" s="80" t="s">
        <v>683</v>
      </c>
      <c r="H84" s="80" t="s">
        <v>684</v>
      </c>
      <c r="I84" s="80" t="s">
        <v>149</v>
      </c>
      <c r="J84" s="80" t="s">
        <v>149</v>
      </c>
      <c r="K84" s="80">
        <v>1</v>
      </c>
      <c r="L84" s="80" t="s">
        <v>685</v>
      </c>
      <c r="M84" s="80" t="s">
        <v>686</v>
      </c>
      <c r="N84" s="80" t="s">
        <v>120</v>
      </c>
      <c r="O84" s="80" t="s">
        <v>687</v>
      </c>
      <c r="P84" s="80" t="s">
        <v>287</v>
      </c>
      <c r="Q84" s="80" t="s">
        <v>123</v>
      </c>
      <c r="R84" s="80" t="s">
        <v>136</v>
      </c>
      <c r="S84" s="80">
        <v>3</v>
      </c>
      <c r="T84" s="80">
        <v>12</v>
      </c>
      <c r="U84" s="80" t="s">
        <v>153</v>
      </c>
      <c r="V84" s="80" t="s">
        <v>126</v>
      </c>
      <c r="W84" s="80" t="s">
        <v>137</v>
      </c>
      <c r="X84" s="80"/>
      <c r="Y84" s="80"/>
    </row>
    <row r="85" spans="1:25">
      <c r="A85" s="80">
        <f t="shared" si="1"/>
        <v>84</v>
      </c>
      <c r="B85" s="10">
        <v>45964.658587963</v>
      </c>
      <c r="C85" s="80" t="s">
        <v>320</v>
      </c>
      <c r="D85" s="80" t="s">
        <v>688</v>
      </c>
      <c r="E85" s="80" t="s">
        <v>689</v>
      </c>
      <c r="F85" s="80" t="s">
        <v>690</v>
      </c>
      <c r="G85" s="80" t="s">
        <v>691</v>
      </c>
      <c r="H85" s="80" t="s">
        <v>115</v>
      </c>
      <c r="I85" s="80" t="s">
        <v>149</v>
      </c>
      <c r="J85" s="80" t="s">
        <v>149</v>
      </c>
      <c r="K85" s="80">
        <v>9</v>
      </c>
      <c r="L85" s="80" t="s">
        <v>692</v>
      </c>
      <c r="M85" s="80" t="s">
        <v>693</v>
      </c>
      <c r="N85" s="80" t="s">
        <v>120</v>
      </c>
      <c r="O85" s="80" t="s">
        <v>121</v>
      </c>
      <c r="P85" s="80" t="s">
        <v>694</v>
      </c>
      <c r="Q85" s="80" t="s">
        <v>123</v>
      </c>
      <c r="R85" s="80" t="s">
        <v>174</v>
      </c>
      <c r="S85" s="80">
        <v>1</v>
      </c>
      <c r="T85" s="80">
        <v>12</v>
      </c>
      <c r="U85" s="80" t="s">
        <v>328</v>
      </c>
      <c r="V85" s="80" t="s">
        <v>126</v>
      </c>
      <c r="W85" s="80" t="s">
        <v>127</v>
      </c>
      <c r="X85" s="80"/>
      <c r="Y85" s="80"/>
    </row>
    <row r="86" spans="1:25">
      <c r="A86" s="80">
        <f t="shared" si="1"/>
        <v>85</v>
      </c>
      <c r="B86" s="10">
        <v>45964.661122685196</v>
      </c>
      <c r="C86" s="80" t="s">
        <v>320</v>
      </c>
      <c r="D86" s="80" t="s">
        <v>695</v>
      </c>
      <c r="E86" s="80" t="s">
        <v>696</v>
      </c>
      <c r="F86" s="80" t="s">
        <v>697</v>
      </c>
      <c r="G86" s="80" t="s">
        <v>698</v>
      </c>
      <c r="H86" s="80" t="s">
        <v>115</v>
      </c>
      <c r="I86" s="80" t="s">
        <v>149</v>
      </c>
      <c r="J86" s="80" t="s">
        <v>117</v>
      </c>
      <c r="K86" s="80">
        <v>5</v>
      </c>
      <c r="L86" s="80" t="s">
        <v>699</v>
      </c>
      <c r="M86" s="80" t="s">
        <v>700</v>
      </c>
      <c r="N86" s="80" t="s">
        <v>120</v>
      </c>
      <c r="O86" s="80" t="s">
        <v>247</v>
      </c>
      <c r="P86" s="80" t="s">
        <v>701</v>
      </c>
      <c r="Q86" s="80" t="s">
        <v>123</v>
      </c>
      <c r="R86" s="80" t="s">
        <v>174</v>
      </c>
      <c r="S86" s="80">
        <v>3</v>
      </c>
      <c r="T86" s="80">
        <v>18</v>
      </c>
      <c r="U86" s="80" t="s">
        <v>328</v>
      </c>
      <c r="V86" s="80" t="s">
        <v>126</v>
      </c>
      <c r="W86" s="80" t="s">
        <v>127</v>
      </c>
      <c r="X86" s="80"/>
      <c r="Y86" s="80"/>
    </row>
    <row r="87" spans="1:25">
      <c r="A87" s="80">
        <f t="shared" si="1"/>
        <v>86</v>
      </c>
      <c r="B87" s="10">
        <v>45964.663576388899</v>
      </c>
      <c r="C87" s="80" t="s">
        <v>320</v>
      </c>
      <c r="D87" s="80" t="s">
        <v>702</v>
      </c>
      <c r="E87" s="80" t="s">
        <v>703</v>
      </c>
      <c r="F87" s="80" t="s">
        <v>704</v>
      </c>
      <c r="G87" s="80" t="s">
        <v>705</v>
      </c>
      <c r="H87" s="80" t="s">
        <v>115</v>
      </c>
      <c r="I87" s="80" t="s">
        <v>149</v>
      </c>
      <c r="J87" s="80" t="s">
        <v>117</v>
      </c>
      <c r="K87" s="80">
        <v>15</v>
      </c>
      <c r="L87" s="80" t="s">
        <v>706</v>
      </c>
      <c r="M87" s="80" t="s">
        <v>707</v>
      </c>
      <c r="N87" s="80" t="s">
        <v>120</v>
      </c>
      <c r="O87" s="80" t="s">
        <v>510</v>
      </c>
      <c r="P87" s="80" t="s">
        <v>135</v>
      </c>
      <c r="Q87" s="80" t="s">
        <v>123</v>
      </c>
      <c r="R87" s="80" t="s">
        <v>174</v>
      </c>
      <c r="S87" s="80">
        <v>8</v>
      </c>
      <c r="T87" s="80">
        <v>18</v>
      </c>
      <c r="U87" s="80" t="s">
        <v>328</v>
      </c>
      <c r="V87" s="80" t="s">
        <v>126</v>
      </c>
      <c r="W87" s="80" t="s">
        <v>127</v>
      </c>
      <c r="X87" s="80"/>
      <c r="Y87" s="80"/>
    </row>
    <row r="88" spans="1:25">
      <c r="A88" s="80">
        <f t="shared" si="1"/>
        <v>87</v>
      </c>
      <c r="B88" s="10">
        <v>45964.664664351898</v>
      </c>
      <c r="C88" s="80" t="s">
        <v>157</v>
      </c>
      <c r="D88" s="80" t="s">
        <v>708</v>
      </c>
      <c r="E88" s="80" t="s">
        <v>709</v>
      </c>
      <c r="F88" s="80" t="s">
        <v>710</v>
      </c>
      <c r="G88" s="80" t="s">
        <v>711</v>
      </c>
      <c r="H88" s="80" t="s">
        <v>115</v>
      </c>
      <c r="I88" s="80" t="s">
        <v>149</v>
      </c>
      <c r="J88" s="80" t="s">
        <v>117</v>
      </c>
      <c r="K88" s="80">
        <v>19</v>
      </c>
      <c r="L88" s="80" t="s">
        <v>712</v>
      </c>
      <c r="M88" s="80" t="s">
        <v>713</v>
      </c>
      <c r="N88" s="80" t="s">
        <v>120</v>
      </c>
      <c r="O88" s="80" t="s">
        <v>187</v>
      </c>
      <c r="P88" s="80" t="s">
        <v>279</v>
      </c>
      <c r="Q88" s="80" t="s">
        <v>123</v>
      </c>
      <c r="R88" s="80" t="s">
        <v>174</v>
      </c>
      <c r="S88" s="80">
        <v>7</v>
      </c>
      <c r="T88" s="80">
        <v>12</v>
      </c>
      <c r="U88" s="80" t="s">
        <v>167</v>
      </c>
      <c r="V88" s="80" t="s">
        <v>126</v>
      </c>
      <c r="W88" s="80" t="s">
        <v>127</v>
      </c>
      <c r="X88" s="80"/>
      <c r="Y88" s="80"/>
    </row>
    <row r="89" spans="1:25">
      <c r="A89" s="80">
        <f t="shared" si="1"/>
        <v>88</v>
      </c>
      <c r="B89" s="10">
        <v>45964.666342592602</v>
      </c>
      <c r="C89" s="80" t="s">
        <v>320</v>
      </c>
      <c r="D89" s="80" t="s">
        <v>714</v>
      </c>
      <c r="E89" s="80" t="s">
        <v>715</v>
      </c>
      <c r="F89" s="80" t="s">
        <v>716</v>
      </c>
      <c r="G89" s="80" t="s">
        <v>717</v>
      </c>
      <c r="H89" s="80" t="s">
        <v>115</v>
      </c>
      <c r="I89" s="80" t="s">
        <v>149</v>
      </c>
      <c r="J89" s="80" t="s">
        <v>117</v>
      </c>
      <c r="K89" s="80">
        <v>16</v>
      </c>
      <c r="L89" s="80" t="s">
        <v>718</v>
      </c>
      <c r="M89" s="80" t="s">
        <v>719</v>
      </c>
      <c r="N89" s="80" t="s">
        <v>164</v>
      </c>
      <c r="O89" s="80" t="s">
        <v>720</v>
      </c>
      <c r="P89" s="80" t="s">
        <v>178</v>
      </c>
      <c r="Q89" s="80" t="s">
        <v>123</v>
      </c>
      <c r="R89" s="80" t="s">
        <v>174</v>
      </c>
      <c r="S89" s="80">
        <v>7</v>
      </c>
      <c r="T89" s="80">
        <v>12</v>
      </c>
      <c r="U89" s="80" t="s">
        <v>328</v>
      </c>
      <c r="V89" s="80" t="s">
        <v>126</v>
      </c>
      <c r="W89" s="80" t="s">
        <v>127</v>
      </c>
      <c r="X89" s="80"/>
      <c r="Y89" s="80"/>
    </row>
    <row r="90" spans="1:25">
      <c r="A90" s="80">
        <f t="shared" si="1"/>
        <v>89</v>
      </c>
      <c r="B90" s="10">
        <v>45964.673692129603</v>
      </c>
      <c r="C90" s="80" t="s">
        <v>329</v>
      </c>
      <c r="D90" s="80" t="s">
        <v>721</v>
      </c>
      <c r="E90" s="80" t="s">
        <v>722</v>
      </c>
      <c r="F90" s="80" t="s">
        <v>723</v>
      </c>
      <c r="G90" s="80" t="s">
        <v>724</v>
      </c>
      <c r="H90" s="80" t="s">
        <v>115</v>
      </c>
      <c r="I90" s="80" t="s">
        <v>149</v>
      </c>
      <c r="J90" s="80" t="s">
        <v>461</v>
      </c>
      <c r="K90" s="80">
        <v>6</v>
      </c>
      <c r="L90" s="80" t="s">
        <v>725</v>
      </c>
      <c r="M90" s="80" t="s">
        <v>726</v>
      </c>
      <c r="N90" s="80" t="s">
        <v>120</v>
      </c>
      <c r="O90" s="80" t="s">
        <v>572</v>
      </c>
      <c r="P90" s="80" t="s">
        <v>287</v>
      </c>
      <c r="Q90" s="80" t="s">
        <v>123</v>
      </c>
      <c r="R90" s="80" t="s">
        <v>174</v>
      </c>
      <c r="S90" s="80">
        <v>12</v>
      </c>
      <c r="T90" s="80">
        <v>18</v>
      </c>
      <c r="U90" s="80" t="s">
        <v>336</v>
      </c>
      <c r="V90" s="80" t="s">
        <v>126</v>
      </c>
      <c r="W90" s="80" t="s">
        <v>127</v>
      </c>
      <c r="X90" s="80"/>
      <c r="Y90" s="80"/>
    </row>
    <row r="91" spans="1:25">
      <c r="A91" s="80">
        <f t="shared" si="1"/>
        <v>90</v>
      </c>
      <c r="B91" s="10">
        <v>45964.677835648101</v>
      </c>
      <c r="C91" s="80" t="s">
        <v>157</v>
      </c>
      <c r="D91" s="80" t="s">
        <v>727</v>
      </c>
      <c r="E91" s="80" t="s">
        <v>728</v>
      </c>
      <c r="F91" s="80" t="s">
        <v>729</v>
      </c>
      <c r="G91" s="80" t="s">
        <v>730</v>
      </c>
      <c r="H91" s="80" t="s">
        <v>115</v>
      </c>
      <c r="I91" s="80" t="s">
        <v>149</v>
      </c>
      <c r="J91" s="80" t="s">
        <v>117</v>
      </c>
      <c r="K91" s="80">
        <v>15</v>
      </c>
      <c r="L91" s="80" t="s">
        <v>731</v>
      </c>
      <c r="M91" s="80" t="s">
        <v>732</v>
      </c>
      <c r="N91" s="80" t="s">
        <v>120</v>
      </c>
      <c r="O91" s="80" t="s">
        <v>247</v>
      </c>
      <c r="P91" s="80" t="s">
        <v>122</v>
      </c>
      <c r="Q91" s="80" t="s">
        <v>123</v>
      </c>
      <c r="R91" s="80" t="s">
        <v>174</v>
      </c>
      <c r="S91" s="80">
        <v>4</v>
      </c>
      <c r="T91" s="80">
        <v>6</v>
      </c>
      <c r="U91" s="80" t="s">
        <v>167</v>
      </c>
      <c r="V91" s="80" t="s">
        <v>126</v>
      </c>
      <c r="W91" s="80" t="s">
        <v>127</v>
      </c>
      <c r="X91" s="80"/>
      <c r="Y91" s="80"/>
    </row>
    <row r="92" spans="1:25">
      <c r="A92" s="80">
        <f t="shared" si="1"/>
        <v>91</v>
      </c>
      <c r="B92" s="10">
        <v>45964.713912036997</v>
      </c>
      <c r="C92" s="80" t="s">
        <v>329</v>
      </c>
      <c r="D92" s="80" t="s">
        <v>733</v>
      </c>
      <c r="E92" s="80" t="s">
        <v>734</v>
      </c>
      <c r="F92" s="80" t="s">
        <v>735</v>
      </c>
      <c r="G92" s="80" t="s">
        <v>736</v>
      </c>
      <c r="H92" s="80" t="s">
        <v>115</v>
      </c>
      <c r="I92" s="80" t="s">
        <v>149</v>
      </c>
      <c r="J92" s="80" t="s">
        <v>149</v>
      </c>
      <c r="K92" s="80">
        <v>22</v>
      </c>
      <c r="L92" s="80" t="s">
        <v>737</v>
      </c>
      <c r="M92" s="80" t="s">
        <v>738</v>
      </c>
      <c r="N92" s="80" t="s">
        <v>120</v>
      </c>
      <c r="O92" s="80" t="s">
        <v>152</v>
      </c>
      <c r="P92" s="80" t="s">
        <v>135</v>
      </c>
      <c r="Q92" s="80" t="s">
        <v>123</v>
      </c>
      <c r="R92" s="80" t="s">
        <v>174</v>
      </c>
      <c r="S92" s="80">
        <v>1</v>
      </c>
      <c r="T92" s="80">
        <v>18</v>
      </c>
      <c r="U92" s="80" t="s">
        <v>336</v>
      </c>
      <c r="V92" s="80" t="s">
        <v>126</v>
      </c>
      <c r="W92" s="80" t="s">
        <v>127</v>
      </c>
      <c r="X92" s="80"/>
      <c r="Y92" s="80"/>
    </row>
    <row r="93" spans="1:25">
      <c r="A93" s="80">
        <f t="shared" si="1"/>
        <v>92</v>
      </c>
      <c r="B93" s="10">
        <v>45964.716574074097</v>
      </c>
      <c r="C93" s="80" t="s">
        <v>329</v>
      </c>
      <c r="D93" s="80" t="s">
        <v>739</v>
      </c>
      <c r="E93" s="80" t="s">
        <v>740</v>
      </c>
      <c r="F93" s="80" t="s">
        <v>741</v>
      </c>
      <c r="G93" s="80" t="s">
        <v>742</v>
      </c>
      <c r="H93" s="80" t="s">
        <v>115</v>
      </c>
      <c r="I93" s="80" t="s">
        <v>149</v>
      </c>
      <c r="J93" s="80" t="s">
        <v>117</v>
      </c>
      <c r="K93" s="80">
        <v>13</v>
      </c>
      <c r="L93" s="80" t="s">
        <v>743</v>
      </c>
      <c r="M93" s="80" t="s">
        <v>744</v>
      </c>
      <c r="N93" s="80" t="s">
        <v>120</v>
      </c>
      <c r="O93" s="80" t="s">
        <v>327</v>
      </c>
      <c r="P93" s="80" t="s">
        <v>135</v>
      </c>
      <c r="Q93" s="80" t="s">
        <v>123</v>
      </c>
      <c r="R93" s="80" t="s">
        <v>174</v>
      </c>
      <c r="S93" s="80">
        <v>11</v>
      </c>
      <c r="T93" s="80">
        <v>12</v>
      </c>
      <c r="U93" s="80" t="s">
        <v>336</v>
      </c>
      <c r="V93" s="80" t="s">
        <v>126</v>
      </c>
      <c r="W93" s="80" t="s">
        <v>127</v>
      </c>
      <c r="X93" s="80"/>
      <c r="Y93" s="80"/>
    </row>
    <row r="94" spans="1:25">
      <c r="A94" s="80">
        <f t="shared" si="1"/>
        <v>93</v>
      </c>
      <c r="B94" s="10">
        <v>45964.716574074097</v>
      </c>
      <c r="C94" s="11" t="s">
        <v>261</v>
      </c>
      <c r="D94" s="11" t="s">
        <v>745</v>
      </c>
      <c r="E94" s="11" t="s">
        <v>746</v>
      </c>
      <c r="F94" s="11" t="s">
        <v>747</v>
      </c>
      <c r="G94" s="80" t="s">
        <v>748</v>
      </c>
      <c r="H94" s="80" t="s">
        <v>210</v>
      </c>
      <c r="I94" s="80" t="s">
        <v>35</v>
      </c>
      <c r="J94" s="80" t="s">
        <v>149</v>
      </c>
      <c r="K94" s="80">
        <v>11</v>
      </c>
      <c r="L94" s="80" t="s">
        <v>749</v>
      </c>
      <c r="M94" s="80" t="s">
        <v>750</v>
      </c>
      <c r="N94" s="80" t="s">
        <v>120</v>
      </c>
      <c r="O94" s="80" t="s">
        <v>247</v>
      </c>
      <c r="P94" s="80" t="s">
        <v>178</v>
      </c>
      <c r="Q94" s="80" t="s">
        <v>123</v>
      </c>
      <c r="R94" s="80" t="s">
        <v>136</v>
      </c>
      <c r="S94" s="80">
        <v>3</v>
      </c>
      <c r="T94" s="80">
        <v>12</v>
      </c>
      <c r="U94" s="80" t="s">
        <v>270</v>
      </c>
      <c r="V94" s="80" t="s">
        <v>126</v>
      </c>
      <c r="W94" s="80" t="s">
        <v>204</v>
      </c>
      <c r="X94" s="80" t="s">
        <v>205</v>
      </c>
      <c r="Y94" s="80"/>
    </row>
    <row r="95" spans="1:25">
      <c r="A95" s="80">
        <f t="shared" si="1"/>
        <v>94</v>
      </c>
      <c r="B95" s="10">
        <v>45964.637303240699</v>
      </c>
      <c r="C95" s="80" t="s">
        <v>362</v>
      </c>
      <c r="D95" s="80" t="s">
        <v>646</v>
      </c>
      <c r="E95" s="80" t="s">
        <v>647</v>
      </c>
      <c r="F95" s="80" t="s">
        <v>648</v>
      </c>
      <c r="G95" s="80" t="s">
        <v>649</v>
      </c>
      <c r="H95" s="80" t="s">
        <v>174</v>
      </c>
      <c r="I95" s="80" t="s">
        <v>149</v>
      </c>
      <c r="J95" s="80" t="s">
        <v>149</v>
      </c>
      <c r="K95" s="80">
        <v>1</v>
      </c>
      <c r="L95" s="80" t="s">
        <v>650</v>
      </c>
      <c r="M95" s="80" t="s">
        <v>651</v>
      </c>
      <c r="N95" s="80" t="s">
        <v>120</v>
      </c>
      <c r="O95" s="80" t="s">
        <v>652</v>
      </c>
      <c r="P95" s="80" t="s">
        <v>135</v>
      </c>
      <c r="Q95" s="80" t="s">
        <v>123</v>
      </c>
      <c r="R95" s="80" t="s">
        <v>174</v>
      </c>
      <c r="S95" s="80">
        <v>12</v>
      </c>
      <c r="T95" s="80">
        <v>12</v>
      </c>
      <c r="U95" s="80" t="s">
        <v>364</v>
      </c>
      <c r="V95" s="80" t="s">
        <v>126</v>
      </c>
      <c r="W95" s="80" t="s">
        <v>127</v>
      </c>
      <c r="X95" s="80"/>
      <c r="Y95" s="80"/>
    </row>
    <row r="96" spans="1:25">
      <c r="A96" s="80">
        <f t="shared" si="1"/>
        <v>95</v>
      </c>
      <c r="B96" s="10">
        <v>45964.638067129599</v>
      </c>
      <c r="C96" s="80" t="s">
        <v>157</v>
      </c>
      <c r="D96" s="80" t="s">
        <v>653</v>
      </c>
      <c r="E96" s="80" t="s">
        <v>654</v>
      </c>
      <c r="F96" s="80" t="s">
        <v>655</v>
      </c>
      <c r="G96" s="80" t="s">
        <v>656</v>
      </c>
      <c r="H96" s="80" t="s">
        <v>148</v>
      </c>
      <c r="I96" s="80" t="s">
        <v>46</v>
      </c>
      <c r="J96" s="80" t="s">
        <v>149</v>
      </c>
      <c r="K96" s="80">
        <v>13</v>
      </c>
      <c r="L96" s="80" t="s">
        <v>657</v>
      </c>
      <c r="M96" s="80" t="s">
        <v>658</v>
      </c>
      <c r="N96" s="80" t="s">
        <v>120</v>
      </c>
      <c r="O96" s="80" t="s">
        <v>152</v>
      </c>
      <c r="P96" s="80" t="s">
        <v>414</v>
      </c>
      <c r="Q96" s="80" t="s">
        <v>123</v>
      </c>
      <c r="R96" s="80" t="s">
        <v>136</v>
      </c>
      <c r="S96" s="80">
        <v>7</v>
      </c>
      <c r="T96" s="80">
        <v>24</v>
      </c>
      <c r="U96" s="80" t="s">
        <v>167</v>
      </c>
      <c r="V96" s="80" t="s">
        <v>126</v>
      </c>
      <c r="W96" s="80" t="s">
        <v>5333</v>
      </c>
      <c r="X96" s="80"/>
      <c r="Y96" s="80"/>
    </row>
    <row r="97" spans="1:25">
      <c r="A97" s="80">
        <f t="shared" si="1"/>
        <v>96</v>
      </c>
      <c r="B97" s="10">
        <v>45964.643206018503</v>
      </c>
      <c r="C97" s="80" t="s">
        <v>456</v>
      </c>
      <c r="D97" s="80" t="s">
        <v>660</v>
      </c>
      <c r="E97" s="80" t="s">
        <v>661</v>
      </c>
      <c r="F97" s="80" t="s">
        <v>662</v>
      </c>
      <c r="G97" s="80" t="s">
        <v>663</v>
      </c>
      <c r="H97" s="80" t="s">
        <v>115</v>
      </c>
      <c r="I97" s="80" t="s">
        <v>149</v>
      </c>
      <c r="J97" s="80" t="s">
        <v>117</v>
      </c>
      <c r="K97" s="80">
        <v>5</v>
      </c>
      <c r="L97" s="80" t="s">
        <v>664</v>
      </c>
      <c r="M97" s="80" t="s">
        <v>665</v>
      </c>
      <c r="N97" s="80" t="s">
        <v>120</v>
      </c>
      <c r="O97" s="80" t="s">
        <v>611</v>
      </c>
      <c r="P97" s="80" t="s">
        <v>666</v>
      </c>
      <c r="Q97" s="80" t="s">
        <v>123</v>
      </c>
      <c r="R97" s="80" t="s">
        <v>174</v>
      </c>
      <c r="S97" s="80">
        <v>6</v>
      </c>
      <c r="T97" s="80">
        <v>18</v>
      </c>
      <c r="U97" s="80" t="s">
        <v>466</v>
      </c>
      <c r="V97" s="80" t="s">
        <v>126</v>
      </c>
      <c r="W97" s="80" t="s">
        <v>127</v>
      </c>
      <c r="X97" s="80"/>
      <c r="Y97" s="80"/>
    </row>
    <row r="98" spans="1:25">
      <c r="A98" s="80">
        <f t="shared" si="1"/>
        <v>97</v>
      </c>
      <c r="B98" s="10">
        <v>45964.646979166697</v>
      </c>
      <c r="C98" s="80" t="s">
        <v>553</v>
      </c>
      <c r="D98" s="80" t="s">
        <v>667</v>
      </c>
      <c r="E98" s="80" t="s">
        <v>668</v>
      </c>
      <c r="F98" s="80" t="s">
        <v>669</v>
      </c>
      <c r="G98" s="80" t="s">
        <v>670</v>
      </c>
      <c r="H98" s="80" t="s">
        <v>115</v>
      </c>
      <c r="I98" s="80" t="s">
        <v>149</v>
      </c>
      <c r="J98" s="80" t="s">
        <v>117</v>
      </c>
      <c r="K98" s="80">
        <v>26</v>
      </c>
      <c r="L98" s="80" t="s">
        <v>671</v>
      </c>
      <c r="M98" s="80" t="s">
        <v>672</v>
      </c>
      <c r="N98" s="80" t="s">
        <v>164</v>
      </c>
      <c r="O98" s="80" t="s">
        <v>464</v>
      </c>
      <c r="P98" s="80" t="s">
        <v>135</v>
      </c>
      <c r="Q98" s="80" t="s">
        <v>123</v>
      </c>
      <c r="R98" s="80" t="s">
        <v>174</v>
      </c>
      <c r="S98" s="80">
        <v>15</v>
      </c>
      <c r="T98" s="80">
        <v>24</v>
      </c>
      <c r="U98" s="80" t="s">
        <v>562</v>
      </c>
      <c r="V98" s="80" t="s">
        <v>126</v>
      </c>
      <c r="W98" s="80" t="s">
        <v>127</v>
      </c>
      <c r="X98" s="80"/>
      <c r="Y98" s="80"/>
    </row>
    <row r="99" spans="1:25">
      <c r="A99" s="80">
        <f t="shared" si="1"/>
        <v>98</v>
      </c>
      <c r="B99" s="10">
        <v>45964.651412036997</v>
      </c>
      <c r="C99" s="80" t="s">
        <v>320</v>
      </c>
      <c r="D99" s="80" t="s">
        <v>673</v>
      </c>
      <c r="E99" s="80" t="s">
        <v>635</v>
      </c>
      <c r="F99" s="80" t="s">
        <v>636</v>
      </c>
      <c r="G99" s="80" t="s">
        <v>637</v>
      </c>
      <c r="H99" s="80" t="s">
        <v>115</v>
      </c>
      <c r="I99" s="80" t="s">
        <v>149</v>
      </c>
      <c r="J99" s="80" t="s">
        <v>117</v>
      </c>
      <c r="K99" s="80">
        <v>24</v>
      </c>
      <c r="L99" s="80" t="s">
        <v>638</v>
      </c>
      <c r="M99" s="80" t="s">
        <v>639</v>
      </c>
      <c r="N99" s="80" t="s">
        <v>120</v>
      </c>
      <c r="O99" s="80" t="s">
        <v>152</v>
      </c>
      <c r="P99" s="80" t="s">
        <v>135</v>
      </c>
      <c r="Q99" s="80" t="s">
        <v>123</v>
      </c>
      <c r="R99" s="80" t="s">
        <v>174</v>
      </c>
      <c r="S99" s="80">
        <v>19</v>
      </c>
      <c r="T99" s="80">
        <v>24</v>
      </c>
      <c r="U99" s="80" t="s">
        <v>328</v>
      </c>
      <c r="V99" s="80" t="s">
        <v>126</v>
      </c>
      <c r="W99" s="80" t="s">
        <v>127</v>
      </c>
      <c r="X99" s="80"/>
      <c r="Y99" s="80"/>
    </row>
    <row r="100" spans="1:25">
      <c r="A100" s="80">
        <f t="shared" si="1"/>
        <v>99</v>
      </c>
      <c r="B100" s="10">
        <v>45964.658009259299</v>
      </c>
      <c r="C100" s="80" t="s">
        <v>157</v>
      </c>
      <c r="D100" s="80" t="s">
        <v>674</v>
      </c>
      <c r="E100" s="80" t="s">
        <v>675</v>
      </c>
      <c r="F100" s="80" t="s">
        <v>676</v>
      </c>
      <c r="G100" s="80" t="s">
        <v>677</v>
      </c>
      <c r="H100" s="80" t="s">
        <v>115</v>
      </c>
      <c r="I100" s="80" t="s">
        <v>149</v>
      </c>
      <c r="J100" s="80" t="s">
        <v>117</v>
      </c>
      <c r="K100" s="80">
        <v>1</v>
      </c>
      <c r="L100" s="80" t="s">
        <v>678</v>
      </c>
      <c r="M100" s="80" t="s">
        <v>679</v>
      </c>
      <c r="N100" s="80" t="s">
        <v>120</v>
      </c>
      <c r="O100" s="80" t="s">
        <v>371</v>
      </c>
      <c r="P100" s="80" t="s">
        <v>135</v>
      </c>
      <c r="Q100" s="80" t="s">
        <v>123</v>
      </c>
      <c r="R100" s="80" t="s">
        <v>124</v>
      </c>
      <c r="S100" s="80">
        <v>5</v>
      </c>
      <c r="T100" s="80">
        <v>12</v>
      </c>
      <c r="U100" s="80" t="s">
        <v>167</v>
      </c>
      <c r="V100" s="80" t="s">
        <v>126</v>
      </c>
      <c r="W100" s="80" t="s">
        <v>127</v>
      </c>
      <c r="X100" s="80"/>
      <c r="Y100" s="80"/>
    </row>
    <row r="101" spans="1:25">
      <c r="A101" s="80">
        <f t="shared" si="1"/>
        <v>100</v>
      </c>
      <c r="B101" s="10">
        <v>45964.6583217593</v>
      </c>
      <c r="C101" s="80" t="s">
        <v>143</v>
      </c>
      <c r="D101" s="80" t="s">
        <v>680</v>
      </c>
      <c r="E101" s="80" t="s">
        <v>681</v>
      </c>
      <c r="F101" s="80" t="s">
        <v>682</v>
      </c>
      <c r="G101" s="80" t="s">
        <v>683</v>
      </c>
      <c r="H101" s="80" t="s">
        <v>684</v>
      </c>
      <c r="I101" s="80" t="s">
        <v>149</v>
      </c>
      <c r="J101" s="80" t="s">
        <v>149</v>
      </c>
      <c r="K101" s="80">
        <v>1</v>
      </c>
      <c r="L101" s="80" t="s">
        <v>685</v>
      </c>
      <c r="M101" s="80" t="s">
        <v>686</v>
      </c>
      <c r="N101" s="80" t="s">
        <v>120</v>
      </c>
      <c r="O101" s="80" t="s">
        <v>687</v>
      </c>
      <c r="P101" s="80" t="s">
        <v>287</v>
      </c>
      <c r="Q101" s="80" t="s">
        <v>123</v>
      </c>
      <c r="R101" s="80" t="s">
        <v>136</v>
      </c>
      <c r="S101" s="80">
        <v>3</v>
      </c>
      <c r="T101" s="80">
        <v>12</v>
      </c>
      <c r="U101" s="80" t="s">
        <v>153</v>
      </c>
      <c r="V101" s="80" t="s">
        <v>126</v>
      </c>
      <c r="W101" s="80" t="s">
        <v>137</v>
      </c>
      <c r="X101" s="80"/>
      <c r="Y101" s="80"/>
    </row>
    <row r="102" spans="1:25">
      <c r="A102" s="80">
        <f t="shared" si="1"/>
        <v>101</v>
      </c>
      <c r="B102" s="10">
        <v>45964.658587963</v>
      </c>
      <c r="C102" s="80" t="s">
        <v>320</v>
      </c>
      <c r="D102" s="80" t="s">
        <v>688</v>
      </c>
      <c r="E102" s="80" t="s">
        <v>689</v>
      </c>
      <c r="F102" s="80" t="s">
        <v>690</v>
      </c>
      <c r="G102" s="80" t="s">
        <v>691</v>
      </c>
      <c r="H102" s="80" t="s">
        <v>115</v>
      </c>
      <c r="I102" s="80" t="s">
        <v>149</v>
      </c>
      <c r="J102" s="80" t="s">
        <v>149</v>
      </c>
      <c r="K102" s="80">
        <v>9</v>
      </c>
      <c r="L102" s="80" t="s">
        <v>692</v>
      </c>
      <c r="M102" s="80" t="s">
        <v>693</v>
      </c>
      <c r="N102" s="80" t="s">
        <v>120</v>
      </c>
      <c r="O102" s="80" t="s">
        <v>121</v>
      </c>
      <c r="P102" s="80" t="s">
        <v>694</v>
      </c>
      <c r="Q102" s="80" t="s">
        <v>123</v>
      </c>
      <c r="R102" s="80" t="s">
        <v>174</v>
      </c>
      <c r="S102" s="80">
        <v>1</v>
      </c>
      <c r="T102" s="80">
        <v>12</v>
      </c>
      <c r="U102" s="80" t="s">
        <v>328</v>
      </c>
      <c r="V102" s="80" t="s">
        <v>126</v>
      </c>
      <c r="W102" s="80" t="s">
        <v>127</v>
      </c>
      <c r="X102" s="80"/>
      <c r="Y102" s="80"/>
    </row>
    <row r="103" spans="1:25">
      <c r="A103" s="80">
        <f t="shared" si="1"/>
        <v>102</v>
      </c>
      <c r="B103" s="10">
        <v>45964.661122685196</v>
      </c>
      <c r="C103" s="80" t="s">
        <v>320</v>
      </c>
      <c r="D103" s="80" t="s">
        <v>695</v>
      </c>
      <c r="E103" s="80" t="s">
        <v>696</v>
      </c>
      <c r="F103" s="80" t="s">
        <v>697</v>
      </c>
      <c r="G103" s="80" t="s">
        <v>698</v>
      </c>
      <c r="H103" s="80" t="s">
        <v>115</v>
      </c>
      <c r="I103" s="80" t="s">
        <v>149</v>
      </c>
      <c r="J103" s="80" t="s">
        <v>117</v>
      </c>
      <c r="K103" s="80">
        <v>5</v>
      </c>
      <c r="L103" s="80" t="s">
        <v>699</v>
      </c>
      <c r="M103" s="80" t="s">
        <v>700</v>
      </c>
      <c r="N103" s="80" t="s">
        <v>120</v>
      </c>
      <c r="O103" s="80" t="s">
        <v>247</v>
      </c>
      <c r="P103" s="80" t="s">
        <v>701</v>
      </c>
      <c r="Q103" s="80" t="s">
        <v>123</v>
      </c>
      <c r="R103" s="80" t="s">
        <v>174</v>
      </c>
      <c r="S103" s="80">
        <v>3</v>
      </c>
      <c r="T103" s="80">
        <v>18</v>
      </c>
      <c r="U103" s="80" t="s">
        <v>328</v>
      </c>
      <c r="V103" s="80" t="s">
        <v>126</v>
      </c>
      <c r="W103" s="80" t="s">
        <v>127</v>
      </c>
      <c r="X103" s="80"/>
      <c r="Y103" s="80"/>
    </row>
    <row r="104" spans="1:25">
      <c r="A104" s="80">
        <f t="shared" si="1"/>
        <v>103</v>
      </c>
      <c r="B104" s="10">
        <v>45964.663576388899</v>
      </c>
      <c r="C104" s="80" t="s">
        <v>320</v>
      </c>
      <c r="D104" s="80" t="s">
        <v>702</v>
      </c>
      <c r="E104" s="80" t="s">
        <v>703</v>
      </c>
      <c r="F104" s="80" t="s">
        <v>704</v>
      </c>
      <c r="G104" s="80" t="s">
        <v>705</v>
      </c>
      <c r="H104" s="80" t="s">
        <v>115</v>
      </c>
      <c r="I104" s="80" t="s">
        <v>149</v>
      </c>
      <c r="J104" s="80" t="s">
        <v>117</v>
      </c>
      <c r="K104" s="80">
        <v>15</v>
      </c>
      <c r="L104" s="80" t="s">
        <v>706</v>
      </c>
      <c r="M104" s="80" t="s">
        <v>707</v>
      </c>
      <c r="N104" s="80" t="s">
        <v>120</v>
      </c>
      <c r="O104" s="80" t="s">
        <v>510</v>
      </c>
      <c r="P104" s="80" t="s">
        <v>135</v>
      </c>
      <c r="Q104" s="80" t="s">
        <v>123</v>
      </c>
      <c r="R104" s="80" t="s">
        <v>174</v>
      </c>
      <c r="S104" s="80">
        <v>8</v>
      </c>
      <c r="T104" s="80">
        <v>18</v>
      </c>
      <c r="U104" s="80" t="s">
        <v>328</v>
      </c>
      <c r="V104" s="80" t="s">
        <v>126</v>
      </c>
      <c r="W104" s="80" t="s">
        <v>127</v>
      </c>
      <c r="X104" s="80"/>
      <c r="Y104" s="80"/>
    </row>
    <row r="105" spans="1:25">
      <c r="A105" s="80">
        <f t="shared" si="1"/>
        <v>104</v>
      </c>
      <c r="B105" s="10">
        <v>45964.664664351898</v>
      </c>
      <c r="C105" s="80" t="s">
        <v>157</v>
      </c>
      <c r="D105" s="80" t="s">
        <v>708</v>
      </c>
      <c r="E105" s="80" t="s">
        <v>709</v>
      </c>
      <c r="F105" s="80" t="s">
        <v>710</v>
      </c>
      <c r="G105" s="80" t="s">
        <v>711</v>
      </c>
      <c r="H105" s="80" t="s">
        <v>115</v>
      </c>
      <c r="I105" s="80" t="s">
        <v>149</v>
      </c>
      <c r="J105" s="80" t="s">
        <v>117</v>
      </c>
      <c r="K105" s="80">
        <v>19</v>
      </c>
      <c r="L105" s="80" t="s">
        <v>712</v>
      </c>
      <c r="M105" s="80" t="s">
        <v>713</v>
      </c>
      <c r="N105" s="80" t="s">
        <v>120</v>
      </c>
      <c r="O105" s="80" t="s">
        <v>187</v>
      </c>
      <c r="P105" s="80" t="s">
        <v>279</v>
      </c>
      <c r="Q105" s="80" t="s">
        <v>123</v>
      </c>
      <c r="R105" s="80" t="s">
        <v>174</v>
      </c>
      <c r="S105" s="80">
        <v>7</v>
      </c>
      <c r="T105" s="80">
        <v>12</v>
      </c>
      <c r="U105" s="80" t="s">
        <v>167</v>
      </c>
      <c r="V105" s="80" t="s">
        <v>126</v>
      </c>
      <c r="W105" s="80" t="s">
        <v>127</v>
      </c>
      <c r="X105" s="80"/>
      <c r="Y105" s="80"/>
    </row>
    <row r="106" spans="1:25">
      <c r="A106" s="80">
        <f t="shared" si="1"/>
        <v>105</v>
      </c>
      <c r="B106" s="10">
        <v>45964.666342592602</v>
      </c>
      <c r="C106" s="80" t="s">
        <v>320</v>
      </c>
      <c r="D106" s="80" t="s">
        <v>714</v>
      </c>
      <c r="E106" s="80" t="s">
        <v>715</v>
      </c>
      <c r="F106" s="80" t="s">
        <v>716</v>
      </c>
      <c r="G106" s="80" t="s">
        <v>717</v>
      </c>
      <c r="H106" s="80" t="s">
        <v>115</v>
      </c>
      <c r="I106" s="80" t="s">
        <v>149</v>
      </c>
      <c r="J106" s="80" t="s">
        <v>117</v>
      </c>
      <c r="K106" s="80">
        <v>16</v>
      </c>
      <c r="L106" s="80" t="s">
        <v>718</v>
      </c>
      <c r="M106" s="80" t="s">
        <v>719</v>
      </c>
      <c r="N106" s="80" t="s">
        <v>164</v>
      </c>
      <c r="O106" s="80" t="s">
        <v>720</v>
      </c>
      <c r="P106" s="80" t="s">
        <v>178</v>
      </c>
      <c r="Q106" s="80" t="s">
        <v>123</v>
      </c>
      <c r="R106" s="80" t="s">
        <v>174</v>
      </c>
      <c r="S106" s="80">
        <v>7</v>
      </c>
      <c r="T106" s="80">
        <v>12</v>
      </c>
      <c r="U106" s="80" t="s">
        <v>328</v>
      </c>
      <c r="V106" s="80" t="s">
        <v>126</v>
      </c>
      <c r="W106" s="80" t="s">
        <v>127</v>
      </c>
      <c r="X106" s="80"/>
      <c r="Y106" s="80"/>
    </row>
    <row r="107" spans="1:25">
      <c r="A107" s="80">
        <f t="shared" si="1"/>
        <v>106</v>
      </c>
      <c r="B107" s="10">
        <v>45964.673692129603</v>
      </c>
      <c r="C107" s="80" t="s">
        <v>329</v>
      </c>
      <c r="D107" s="80" t="s">
        <v>721</v>
      </c>
      <c r="E107" s="80" t="s">
        <v>722</v>
      </c>
      <c r="F107" s="80" t="s">
        <v>723</v>
      </c>
      <c r="G107" s="80" t="s">
        <v>724</v>
      </c>
      <c r="H107" s="80" t="s">
        <v>115</v>
      </c>
      <c r="I107" s="80" t="s">
        <v>149</v>
      </c>
      <c r="J107" s="80" t="s">
        <v>461</v>
      </c>
      <c r="K107" s="80">
        <v>6</v>
      </c>
      <c r="L107" s="80" t="s">
        <v>725</v>
      </c>
      <c r="M107" s="80" t="s">
        <v>726</v>
      </c>
      <c r="N107" s="80" t="s">
        <v>120</v>
      </c>
      <c r="O107" s="80" t="s">
        <v>572</v>
      </c>
      <c r="P107" s="80" t="s">
        <v>287</v>
      </c>
      <c r="Q107" s="80" t="s">
        <v>123</v>
      </c>
      <c r="R107" s="80" t="s">
        <v>174</v>
      </c>
      <c r="S107" s="80">
        <v>12</v>
      </c>
      <c r="T107" s="80">
        <v>18</v>
      </c>
      <c r="U107" s="80" t="s">
        <v>336</v>
      </c>
      <c r="V107" s="80" t="s">
        <v>126</v>
      </c>
      <c r="W107" s="80" t="s">
        <v>127</v>
      </c>
      <c r="X107" s="80"/>
      <c r="Y107" s="80"/>
    </row>
    <row r="108" spans="1:25">
      <c r="A108" s="80">
        <f t="shared" si="1"/>
        <v>107</v>
      </c>
      <c r="B108" s="10">
        <v>45964.677835648101</v>
      </c>
      <c r="C108" s="80" t="s">
        <v>157</v>
      </c>
      <c r="D108" s="80" t="s">
        <v>727</v>
      </c>
      <c r="E108" s="80" t="s">
        <v>728</v>
      </c>
      <c r="F108" s="80" t="s">
        <v>729</v>
      </c>
      <c r="G108" s="80" t="s">
        <v>730</v>
      </c>
      <c r="H108" s="80" t="s">
        <v>115</v>
      </c>
      <c r="I108" s="80" t="s">
        <v>149</v>
      </c>
      <c r="J108" s="80" t="s">
        <v>117</v>
      </c>
      <c r="K108" s="80">
        <v>15</v>
      </c>
      <c r="L108" s="80" t="s">
        <v>731</v>
      </c>
      <c r="M108" s="80" t="s">
        <v>732</v>
      </c>
      <c r="N108" s="80" t="s">
        <v>120</v>
      </c>
      <c r="O108" s="80" t="s">
        <v>247</v>
      </c>
      <c r="P108" s="80" t="s">
        <v>122</v>
      </c>
      <c r="Q108" s="80" t="s">
        <v>123</v>
      </c>
      <c r="R108" s="80" t="s">
        <v>174</v>
      </c>
      <c r="S108" s="80">
        <v>4</v>
      </c>
      <c r="T108" s="80">
        <v>6</v>
      </c>
      <c r="U108" s="80" t="s">
        <v>167</v>
      </c>
      <c r="V108" s="80" t="s">
        <v>126</v>
      </c>
      <c r="W108" s="80" t="s">
        <v>127</v>
      </c>
      <c r="X108" s="80"/>
      <c r="Y108" s="80"/>
    </row>
    <row r="109" spans="1:25">
      <c r="A109" s="80">
        <f t="shared" si="1"/>
        <v>108</v>
      </c>
      <c r="B109" s="10">
        <v>45964.713912036997</v>
      </c>
      <c r="C109" s="80" t="s">
        <v>329</v>
      </c>
      <c r="D109" s="80" t="s">
        <v>733</v>
      </c>
      <c r="E109" s="80" t="s">
        <v>734</v>
      </c>
      <c r="F109" s="80" t="s">
        <v>735</v>
      </c>
      <c r="G109" s="80" t="s">
        <v>736</v>
      </c>
      <c r="H109" s="80" t="s">
        <v>115</v>
      </c>
      <c r="I109" s="80" t="s">
        <v>149</v>
      </c>
      <c r="J109" s="80" t="s">
        <v>149</v>
      </c>
      <c r="K109" s="80">
        <v>22</v>
      </c>
      <c r="L109" s="80" t="s">
        <v>737</v>
      </c>
      <c r="M109" s="80" t="s">
        <v>738</v>
      </c>
      <c r="N109" s="80" t="s">
        <v>120</v>
      </c>
      <c r="O109" s="80" t="s">
        <v>152</v>
      </c>
      <c r="P109" s="80" t="s">
        <v>135</v>
      </c>
      <c r="Q109" s="80" t="s">
        <v>123</v>
      </c>
      <c r="R109" s="80" t="s">
        <v>174</v>
      </c>
      <c r="S109" s="80">
        <v>1</v>
      </c>
      <c r="T109" s="80">
        <v>18</v>
      </c>
      <c r="U109" s="80" t="s">
        <v>336</v>
      </c>
      <c r="V109" s="80" t="s">
        <v>126</v>
      </c>
      <c r="W109" s="80" t="s">
        <v>127</v>
      </c>
      <c r="X109" s="80"/>
      <c r="Y109" s="80"/>
    </row>
    <row r="110" spans="1:25">
      <c r="A110" s="80">
        <f t="shared" si="1"/>
        <v>109</v>
      </c>
      <c r="B110" s="10">
        <v>45964.716574074097</v>
      </c>
      <c r="C110" s="80" t="s">
        <v>329</v>
      </c>
      <c r="D110" s="80" t="s">
        <v>739</v>
      </c>
      <c r="E110" s="80" t="s">
        <v>740</v>
      </c>
      <c r="F110" s="80" t="s">
        <v>741</v>
      </c>
      <c r="G110" s="80" t="s">
        <v>742</v>
      </c>
      <c r="H110" s="80" t="s">
        <v>115</v>
      </c>
      <c r="I110" s="80" t="s">
        <v>149</v>
      </c>
      <c r="J110" s="80" t="s">
        <v>117</v>
      </c>
      <c r="K110" s="80">
        <v>13</v>
      </c>
      <c r="L110" s="80" t="s">
        <v>743</v>
      </c>
      <c r="M110" s="80" t="s">
        <v>744</v>
      </c>
      <c r="N110" s="80" t="s">
        <v>120</v>
      </c>
      <c r="O110" s="80" t="s">
        <v>327</v>
      </c>
      <c r="P110" s="80" t="s">
        <v>135</v>
      </c>
      <c r="Q110" s="80" t="s">
        <v>123</v>
      </c>
      <c r="R110" s="80" t="s">
        <v>174</v>
      </c>
      <c r="S110" s="80">
        <v>11</v>
      </c>
      <c r="T110" s="80">
        <v>12</v>
      </c>
      <c r="U110" s="80" t="s">
        <v>336</v>
      </c>
      <c r="V110" s="80" t="s">
        <v>126</v>
      </c>
      <c r="W110" s="80" t="s">
        <v>127</v>
      </c>
      <c r="X110" s="80"/>
      <c r="Y110" s="80"/>
    </row>
    <row r="111" spans="1:25">
      <c r="A111" s="80">
        <f t="shared" si="1"/>
        <v>110</v>
      </c>
      <c r="B111" s="10">
        <v>45964.741006944401</v>
      </c>
      <c r="C111" s="80" t="s">
        <v>157</v>
      </c>
      <c r="D111" s="80" t="s">
        <v>751</v>
      </c>
      <c r="E111" s="80" t="s">
        <v>752</v>
      </c>
      <c r="F111" s="80" t="s">
        <v>753</v>
      </c>
      <c r="G111" s="80" t="s">
        <v>754</v>
      </c>
      <c r="H111" s="80" t="s">
        <v>115</v>
      </c>
      <c r="I111" s="80" t="s">
        <v>149</v>
      </c>
      <c r="J111" s="80" t="s">
        <v>149</v>
      </c>
      <c r="K111" s="80">
        <v>9</v>
      </c>
      <c r="L111" s="80" t="s">
        <v>755</v>
      </c>
      <c r="M111" s="80" t="s">
        <v>756</v>
      </c>
      <c r="N111" s="80" t="s">
        <v>164</v>
      </c>
      <c r="O111" s="80" t="s">
        <v>757</v>
      </c>
      <c r="P111" s="80" t="s">
        <v>269</v>
      </c>
      <c r="Q111" s="80" t="s">
        <v>123</v>
      </c>
      <c r="R111" s="80" t="s">
        <v>174</v>
      </c>
      <c r="S111" s="80">
        <v>2</v>
      </c>
      <c r="T111" s="80">
        <v>12</v>
      </c>
      <c r="U111" s="80" t="s">
        <v>167</v>
      </c>
      <c r="V111" s="80" t="s">
        <v>126</v>
      </c>
      <c r="W111" s="80" t="s">
        <v>127</v>
      </c>
      <c r="X111" s="80"/>
      <c r="Y111" s="80"/>
    </row>
    <row r="112" spans="1:25">
      <c r="A112" s="80">
        <f t="shared" si="1"/>
        <v>111</v>
      </c>
      <c r="B112" s="10">
        <v>45964.7425462963</v>
      </c>
      <c r="C112" s="80" t="s">
        <v>456</v>
      </c>
      <c r="D112" s="80" t="s">
        <v>758</v>
      </c>
      <c r="E112" s="80" t="s">
        <v>759</v>
      </c>
      <c r="F112" s="80" t="s">
        <v>760</v>
      </c>
      <c r="G112" s="80" t="s">
        <v>761</v>
      </c>
      <c r="H112" s="80" t="s">
        <v>115</v>
      </c>
      <c r="I112" s="80" t="s">
        <v>149</v>
      </c>
      <c r="J112" s="80" t="s">
        <v>149</v>
      </c>
      <c r="K112" s="80">
        <v>9</v>
      </c>
      <c r="L112" s="80" t="s">
        <v>762</v>
      </c>
      <c r="M112" s="80" t="s">
        <v>763</v>
      </c>
      <c r="N112" s="80" t="s">
        <v>120</v>
      </c>
      <c r="O112" s="80" t="s">
        <v>449</v>
      </c>
      <c r="P112" s="80" t="s">
        <v>178</v>
      </c>
      <c r="Q112" s="80" t="s">
        <v>123</v>
      </c>
      <c r="R112" s="80" t="s">
        <v>174</v>
      </c>
      <c r="S112" s="80">
        <v>1</v>
      </c>
      <c r="T112" s="80">
        <v>12</v>
      </c>
      <c r="U112" s="80" t="s">
        <v>466</v>
      </c>
      <c r="V112" s="80" t="s">
        <v>126</v>
      </c>
      <c r="W112" s="80" t="s">
        <v>127</v>
      </c>
      <c r="X112" s="80"/>
      <c r="Y112" s="80"/>
    </row>
    <row r="113" spans="1:25">
      <c r="A113" s="80">
        <f t="shared" si="1"/>
        <v>112</v>
      </c>
      <c r="B113" s="10">
        <v>45964.7433101852</v>
      </c>
      <c r="C113" s="80" t="s">
        <v>157</v>
      </c>
      <c r="D113" s="80" t="s">
        <v>764</v>
      </c>
      <c r="E113" s="80" t="s">
        <v>765</v>
      </c>
      <c r="F113" s="80" t="s">
        <v>766</v>
      </c>
      <c r="G113" s="80" t="s">
        <v>767</v>
      </c>
      <c r="H113" s="80" t="s">
        <v>115</v>
      </c>
      <c r="I113" s="80" t="s">
        <v>149</v>
      </c>
      <c r="J113" s="80" t="s">
        <v>117</v>
      </c>
      <c r="K113" s="80">
        <v>4</v>
      </c>
      <c r="L113" s="80" t="s">
        <v>768</v>
      </c>
      <c r="M113" s="80" t="s">
        <v>769</v>
      </c>
      <c r="N113" s="80" t="s">
        <v>164</v>
      </c>
      <c r="O113" s="80" t="s">
        <v>770</v>
      </c>
      <c r="P113" s="80" t="s">
        <v>178</v>
      </c>
      <c r="Q113" s="80" t="s">
        <v>123</v>
      </c>
      <c r="R113" s="80" t="s">
        <v>174</v>
      </c>
      <c r="S113" s="80">
        <v>8</v>
      </c>
      <c r="T113" s="80">
        <v>12</v>
      </c>
      <c r="U113" s="80" t="s">
        <v>167</v>
      </c>
      <c r="V113" s="80" t="s">
        <v>126</v>
      </c>
      <c r="W113" s="80" t="s">
        <v>127</v>
      </c>
      <c r="X113" s="80"/>
      <c r="Y113" s="80"/>
    </row>
    <row r="114" spans="1:25">
      <c r="A114" s="80">
        <f t="shared" si="1"/>
        <v>113</v>
      </c>
      <c r="B114" s="10">
        <v>45964.750150462998</v>
      </c>
      <c r="C114" s="80" t="s">
        <v>456</v>
      </c>
      <c r="D114" s="80" t="s">
        <v>771</v>
      </c>
      <c r="E114" s="80" t="s">
        <v>772</v>
      </c>
      <c r="F114" s="80" t="s">
        <v>773</v>
      </c>
      <c r="G114" s="80" t="s">
        <v>774</v>
      </c>
      <c r="H114" s="80" t="s">
        <v>174</v>
      </c>
      <c r="I114" s="80" t="s">
        <v>149</v>
      </c>
      <c r="J114" s="80" t="s">
        <v>149</v>
      </c>
      <c r="K114" s="80">
        <v>1</v>
      </c>
      <c r="L114" s="80" t="s">
        <v>775</v>
      </c>
      <c r="M114" s="80" t="s">
        <v>776</v>
      </c>
      <c r="N114" s="80" t="s">
        <v>120</v>
      </c>
      <c r="O114" s="80" t="s">
        <v>152</v>
      </c>
      <c r="P114" s="80" t="s">
        <v>269</v>
      </c>
      <c r="Q114" s="80" t="s">
        <v>123</v>
      </c>
      <c r="R114" s="80" t="s">
        <v>174</v>
      </c>
      <c r="S114" s="80">
        <v>1</v>
      </c>
      <c r="T114" s="80">
        <v>12</v>
      </c>
      <c r="U114" s="80" t="s">
        <v>466</v>
      </c>
      <c r="V114" s="80" t="s">
        <v>126</v>
      </c>
      <c r="W114" s="80" t="s">
        <v>127</v>
      </c>
      <c r="X114" s="80"/>
      <c r="Y114" s="80"/>
    </row>
    <row r="115" spans="1:25">
      <c r="A115" s="80">
        <f t="shared" si="1"/>
        <v>114</v>
      </c>
      <c r="B115" s="10">
        <v>45964.7523842593</v>
      </c>
      <c r="C115" s="80" t="s">
        <v>456</v>
      </c>
      <c r="D115" s="80" t="s">
        <v>777</v>
      </c>
      <c r="E115" s="80" t="s">
        <v>778</v>
      </c>
      <c r="F115" s="80" t="s">
        <v>779</v>
      </c>
      <c r="G115" s="80" t="s">
        <v>780</v>
      </c>
      <c r="H115" s="80" t="s">
        <v>115</v>
      </c>
      <c r="I115" s="80" t="s">
        <v>149</v>
      </c>
      <c r="J115" s="80" t="s">
        <v>117</v>
      </c>
      <c r="K115" s="80">
        <v>16</v>
      </c>
      <c r="L115" s="80" t="s">
        <v>781</v>
      </c>
      <c r="M115" s="80" t="s">
        <v>782</v>
      </c>
      <c r="N115" s="80" t="s">
        <v>120</v>
      </c>
      <c r="O115" s="80" t="s">
        <v>152</v>
      </c>
      <c r="P115" s="80" t="s">
        <v>135</v>
      </c>
      <c r="Q115" s="80" t="s">
        <v>123</v>
      </c>
      <c r="R115" s="80" t="s">
        <v>174</v>
      </c>
      <c r="S115" s="80">
        <v>18</v>
      </c>
      <c r="T115" s="80">
        <v>36</v>
      </c>
      <c r="U115" s="80" t="s">
        <v>466</v>
      </c>
      <c r="V115" s="80" t="s">
        <v>126</v>
      </c>
      <c r="W115" s="80" t="s">
        <v>127</v>
      </c>
      <c r="X115" s="80"/>
      <c r="Y115" s="80"/>
    </row>
    <row r="116" spans="1:25">
      <c r="A116" s="80">
        <f t="shared" si="1"/>
        <v>115</v>
      </c>
      <c r="B116" s="10">
        <v>45964.754571759302</v>
      </c>
      <c r="C116" s="80" t="s">
        <v>783</v>
      </c>
      <c r="D116" s="80" t="s">
        <v>784</v>
      </c>
      <c r="E116" s="80" t="s">
        <v>785</v>
      </c>
      <c r="F116" s="80" t="s">
        <v>786</v>
      </c>
      <c r="G116" s="80" t="s">
        <v>787</v>
      </c>
      <c r="H116" s="80" t="s">
        <v>174</v>
      </c>
      <c r="I116" s="80" t="s">
        <v>149</v>
      </c>
      <c r="J116" s="80" t="s">
        <v>149</v>
      </c>
      <c r="K116" s="80">
        <v>1</v>
      </c>
      <c r="L116" s="80" t="s">
        <v>788</v>
      </c>
      <c r="M116" s="80" t="s">
        <v>789</v>
      </c>
      <c r="N116" s="80" t="s">
        <v>120</v>
      </c>
      <c r="O116" s="80" t="s">
        <v>790</v>
      </c>
      <c r="P116" s="80" t="s">
        <v>269</v>
      </c>
      <c r="Q116" s="80" t="s">
        <v>123</v>
      </c>
      <c r="R116" s="80" t="s">
        <v>174</v>
      </c>
      <c r="S116" s="80">
        <v>1</v>
      </c>
      <c r="T116" s="80">
        <v>12</v>
      </c>
      <c r="U116" s="80" t="s">
        <v>791</v>
      </c>
      <c r="V116" s="80" t="s">
        <v>141</v>
      </c>
      <c r="W116" s="80" t="s">
        <v>137</v>
      </c>
      <c r="X116" s="80"/>
      <c r="Y116" s="80"/>
    </row>
    <row r="117" spans="1:25">
      <c r="A117" s="80">
        <f t="shared" si="1"/>
        <v>116</v>
      </c>
      <c r="B117" s="10">
        <v>45964.774594907401</v>
      </c>
      <c r="C117" s="80" t="s">
        <v>157</v>
      </c>
      <c r="D117" s="80" t="s">
        <v>792</v>
      </c>
      <c r="E117" s="80" t="s">
        <v>793</v>
      </c>
      <c r="F117" s="80" t="s">
        <v>794</v>
      </c>
      <c r="G117" s="80" t="s">
        <v>795</v>
      </c>
      <c r="H117" s="80" t="s">
        <v>174</v>
      </c>
      <c r="I117" s="80" t="s">
        <v>149</v>
      </c>
      <c r="J117" s="80" t="s">
        <v>149</v>
      </c>
      <c r="K117" s="80">
        <v>14</v>
      </c>
      <c r="L117" s="80" t="s">
        <v>796</v>
      </c>
      <c r="M117" s="80" t="s">
        <v>797</v>
      </c>
      <c r="N117" s="80" t="s">
        <v>120</v>
      </c>
      <c r="O117" s="80" t="s">
        <v>611</v>
      </c>
      <c r="P117" s="80" t="s">
        <v>135</v>
      </c>
      <c r="Q117" s="80" t="s">
        <v>123</v>
      </c>
      <c r="R117" s="80" t="s">
        <v>174</v>
      </c>
      <c r="S117" s="80">
        <v>2</v>
      </c>
      <c r="T117" s="80">
        <v>18</v>
      </c>
      <c r="U117" s="80" t="s">
        <v>167</v>
      </c>
      <c r="V117" s="80" t="s">
        <v>126</v>
      </c>
      <c r="W117" s="80" t="s">
        <v>127</v>
      </c>
      <c r="X117" s="80"/>
      <c r="Y117" s="80"/>
    </row>
    <row r="118" spans="1:25">
      <c r="A118" s="80">
        <f t="shared" si="1"/>
        <v>117</v>
      </c>
      <c r="B118" s="10">
        <v>45964.814143518503</v>
      </c>
      <c r="C118" s="80" t="s">
        <v>329</v>
      </c>
      <c r="D118" s="80" t="s">
        <v>798</v>
      </c>
      <c r="E118" s="80" t="s">
        <v>799</v>
      </c>
      <c r="F118" s="80" t="s">
        <v>800</v>
      </c>
      <c r="G118" s="80" t="s">
        <v>801</v>
      </c>
      <c r="H118" s="80" t="s">
        <v>115</v>
      </c>
      <c r="I118" s="80" t="s">
        <v>149</v>
      </c>
      <c r="J118" s="80" t="s">
        <v>117</v>
      </c>
      <c r="K118" s="80">
        <v>1</v>
      </c>
      <c r="L118" s="80" t="s">
        <v>802</v>
      </c>
      <c r="M118" s="80" t="s">
        <v>803</v>
      </c>
      <c r="N118" s="80" t="s">
        <v>120</v>
      </c>
      <c r="O118" s="80" t="s">
        <v>213</v>
      </c>
      <c r="P118" s="80" t="s">
        <v>135</v>
      </c>
      <c r="Q118" s="80" t="s">
        <v>123</v>
      </c>
      <c r="R118" s="80" t="s">
        <v>136</v>
      </c>
      <c r="S118" s="80">
        <v>14</v>
      </c>
      <c r="T118" s="80">
        <v>24</v>
      </c>
      <c r="U118" s="80" t="s">
        <v>336</v>
      </c>
      <c r="V118" s="80" t="s">
        <v>126</v>
      </c>
      <c r="W118" s="80" t="s">
        <v>127</v>
      </c>
      <c r="X118" s="80"/>
      <c r="Y118" s="80"/>
    </row>
    <row r="119" spans="1:25">
      <c r="A119" s="80">
        <f t="shared" si="1"/>
        <v>118</v>
      </c>
      <c r="B119" s="10">
        <v>45964.8147453704</v>
      </c>
      <c r="C119" s="80" t="s">
        <v>589</v>
      </c>
      <c r="D119" s="80" t="s">
        <v>804</v>
      </c>
      <c r="E119" s="80" t="s">
        <v>805</v>
      </c>
      <c r="F119" s="80" t="s">
        <v>806</v>
      </c>
      <c r="G119" s="80" t="s">
        <v>807</v>
      </c>
      <c r="H119" s="80" t="s">
        <v>210</v>
      </c>
      <c r="I119" s="80" t="s">
        <v>35</v>
      </c>
      <c r="J119" s="80" t="s">
        <v>149</v>
      </c>
      <c r="K119" s="80">
        <v>15</v>
      </c>
      <c r="L119" s="80" t="s">
        <v>808</v>
      </c>
      <c r="M119" s="80" t="s">
        <v>809</v>
      </c>
      <c r="N119" s="80" t="s">
        <v>120</v>
      </c>
      <c r="O119" s="80" t="s">
        <v>213</v>
      </c>
      <c r="P119" s="80" t="s">
        <v>269</v>
      </c>
      <c r="Q119" s="80" t="s">
        <v>123</v>
      </c>
      <c r="R119" s="80" t="s">
        <v>136</v>
      </c>
      <c r="S119" s="80">
        <v>14</v>
      </c>
      <c r="T119" s="80">
        <v>24</v>
      </c>
      <c r="U119" s="80" t="s">
        <v>596</v>
      </c>
      <c r="V119" s="80" t="s">
        <v>126</v>
      </c>
      <c r="W119" s="80" t="s">
        <v>810</v>
      </c>
      <c r="X119" s="80"/>
      <c r="Y119" s="80"/>
    </row>
    <row r="120" spans="1:25">
      <c r="A120" s="80">
        <f t="shared" si="1"/>
        <v>119</v>
      </c>
      <c r="B120" s="10">
        <v>45964.8539467593</v>
      </c>
      <c r="C120" s="80" t="s">
        <v>329</v>
      </c>
      <c r="D120" s="80" t="s">
        <v>811</v>
      </c>
      <c r="E120" s="80" t="s">
        <v>812</v>
      </c>
      <c r="F120" s="80" t="s">
        <v>813</v>
      </c>
      <c r="G120" s="80" t="s">
        <v>814</v>
      </c>
      <c r="H120" s="80" t="s">
        <v>115</v>
      </c>
      <c r="I120" s="80" t="s">
        <v>149</v>
      </c>
      <c r="J120" s="80" t="s">
        <v>117</v>
      </c>
      <c r="K120" s="80">
        <v>9</v>
      </c>
      <c r="L120" s="80" t="s">
        <v>815</v>
      </c>
      <c r="M120" s="80" t="s">
        <v>816</v>
      </c>
      <c r="N120" s="80" t="s">
        <v>164</v>
      </c>
      <c r="O120" s="80" t="s">
        <v>817</v>
      </c>
      <c r="P120" s="80" t="s">
        <v>588</v>
      </c>
      <c r="Q120" s="80" t="s">
        <v>123</v>
      </c>
      <c r="R120" s="80" t="s">
        <v>174</v>
      </c>
      <c r="S120" s="80">
        <v>12</v>
      </c>
      <c r="T120" s="80">
        <v>12</v>
      </c>
      <c r="U120" s="80" t="s">
        <v>336</v>
      </c>
      <c r="V120" s="80" t="s">
        <v>126</v>
      </c>
      <c r="W120" s="80" t="s">
        <v>127</v>
      </c>
      <c r="X120" s="80"/>
      <c r="Y120" s="80"/>
    </row>
    <row r="121" spans="1:25">
      <c r="A121" s="80">
        <f t="shared" si="1"/>
        <v>120</v>
      </c>
      <c r="B121" s="10">
        <v>45964.872662037</v>
      </c>
      <c r="C121" s="80" t="s">
        <v>818</v>
      </c>
      <c r="D121" s="80" t="s">
        <v>819</v>
      </c>
      <c r="E121" s="80" t="s">
        <v>820</v>
      </c>
      <c r="F121" s="80" t="s">
        <v>821</v>
      </c>
      <c r="G121" s="80" t="s">
        <v>822</v>
      </c>
      <c r="H121" s="80" t="s">
        <v>115</v>
      </c>
      <c r="I121" s="80" t="s">
        <v>149</v>
      </c>
      <c r="J121" s="80" t="s">
        <v>149</v>
      </c>
      <c r="K121" s="80">
        <v>4</v>
      </c>
      <c r="L121" s="80" t="s">
        <v>823</v>
      </c>
      <c r="M121" s="80" t="s">
        <v>824</v>
      </c>
      <c r="N121" s="80" t="s">
        <v>120</v>
      </c>
      <c r="O121" s="80" t="s">
        <v>371</v>
      </c>
      <c r="P121" s="80" t="s">
        <v>214</v>
      </c>
      <c r="Q121" s="80" t="s">
        <v>123</v>
      </c>
      <c r="R121" s="80" t="s">
        <v>174</v>
      </c>
      <c r="S121" s="80">
        <v>1</v>
      </c>
      <c r="T121" s="80">
        <v>18</v>
      </c>
      <c r="U121" s="80" t="s">
        <v>825</v>
      </c>
      <c r="V121" s="80" t="s">
        <v>126</v>
      </c>
      <c r="W121" s="80" t="s">
        <v>127</v>
      </c>
      <c r="X121" s="80"/>
      <c r="Y121" s="80"/>
    </row>
    <row r="122" spans="1:25">
      <c r="A122" s="80">
        <f t="shared" si="1"/>
        <v>121</v>
      </c>
      <c r="B122" s="10">
        <v>45964.8753587963</v>
      </c>
      <c r="C122" s="80" t="s">
        <v>222</v>
      </c>
      <c r="D122" s="80" t="s">
        <v>826</v>
      </c>
      <c r="E122" s="80" t="s">
        <v>827</v>
      </c>
      <c r="F122" s="80" t="s">
        <v>828</v>
      </c>
      <c r="G122" s="80" t="s">
        <v>829</v>
      </c>
      <c r="H122" s="80" t="s">
        <v>115</v>
      </c>
      <c r="I122" s="80" t="s">
        <v>149</v>
      </c>
      <c r="J122" s="80" t="s">
        <v>117</v>
      </c>
      <c r="K122" s="80">
        <v>19</v>
      </c>
      <c r="L122" s="80" t="s">
        <v>830</v>
      </c>
      <c r="M122" s="80" t="s">
        <v>831</v>
      </c>
      <c r="N122" s="80" t="s">
        <v>120</v>
      </c>
      <c r="O122" s="80" t="s">
        <v>611</v>
      </c>
      <c r="P122" s="80" t="s">
        <v>832</v>
      </c>
      <c r="Q122" s="80" t="s">
        <v>123</v>
      </c>
      <c r="R122" s="80" t="s">
        <v>174</v>
      </c>
      <c r="S122" s="80">
        <v>8</v>
      </c>
      <c r="T122" s="80">
        <v>18</v>
      </c>
      <c r="U122" s="80" t="s">
        <v>232</v>
      </c>
      <c r="V122" s="80" t="s">
        <v>126</v>
      </c>
      <c r="W122" s="80" t="s">
        <v>127</v>
      </c>
      <c r="X122" s="80"/>
      <c r="Y122" s="80"/>
    </row>
    <row r="123" spans="1:25">
      <c r="A123" s="80">
        <f t="shared" si="1"/>
        <v>122</v>
      </c>
      <c r="B123" s="10">
        <v>45964.957129629598</v>
      </c>
      <c r="C123" s="80" t="s">
        <v>494</v>
      </c>
      <c r="D123" s="80" t="s">
        <v>833</v>
      </c>
      <c r="E123" s="80" t="s">
        <v>834</v>
      </c>
      <c r="F123" s="80" t="s">
        <v>835</v>
      </c>
      <c r="G123" s="80" t="s">
        <v>836</v>
      </c>
      <c r="H123" s="80" t="s">
        <v>115</v>
      </c>
      <c r="I123" s="80" t="s">
        <v>149</v>
      </c>
      <c r="J123" s="80" t="s">
        <v>461</v>
      </c>
      <c r="K123" s="80">
        <v>7</v>
      </c>
      <c r="L123" s="80" t="s">
        <v>837</v>
      </c>
      <c r="M123" s="80" t="s">
        <v>838</v>
      </c>
      <c r="N123" s="80" t="s">
        <v>120</v>
      </c>
      <c r="O123" s="80" t="s">
        <v>213</v>
      </c>
      <c r="P123" s="80" t="s">
        <v>178</v>
      </c>
      <c r="Q123" s="80" t="s">
        <v>123</v>
      </c>
      <c r="R123" s="80" t="s">
        <v>174</v>
      </c>
      <c r="S123" s="80">
        <v>9</v>
      </c>
      <c r="T123" s="80">
        <v>12</v>
      </c>
      <c r="U123" s="80" t="s">
        <v>503</v>
      </c>
      <c r="V123" s="80" t="s">
        <v>126</v>
      </c>
      <c r="W123" s="80" t="s">
        <v>137</v>
      </c>
      <c r="X123" s="80"/>
      <c r="Y123" s="80"/>
    </row>
    <row r="124" spans="1:25">
      <c r="A124" s="80">
        <f t="shared" si="1"/>
        <v>123</v>
      </c>
      <c r="B124" s="10">
        <v>45965.376087962999</v>
      </c>
      <c r="C124" s="80" t="s">
        <v>168</v>
      </c>
      <c r="D124" s="80" t="s">
        <v>839</v>
      </c>
      <c r="E124" s="80" t="s">
        <v>576</v>
      </c>
      <c r="F124" s="80" t="s">
        <v>577</v>
      </c>
      <c r="G124" s="80" t="s">
        <v>578</v>
      </c>
      <c r="H124" s="80" t="s">
        <v>115</v>
      </c>
      <c r="I124" s="80" t="s">
        <v>244</v>
      </c>
      <c r="J124" s="80" t="s">
        <v>117</v>
      </c>
      <c r="K124" s="80">
        <v>2</v>
      </c>
      <c r="L124" s="80" t="s">
        <v>579</v>
      </c>
      <c r="M124" s="80" t="s">
        <v>580</v>
      </c>
      <c r="N124" s="80" t="s">
        <v>120</v>
      </c>
      <c r="O124" s="80" t="s">
        <v>449</v>
      </c>
      <c r="P124" s="80" t="s">
        <v>581</v>
      </c>
      <c r="Q124" s="80" t="s">
        <v>123</v>
      </c>
      <c r="R124" s="80" t="s">
        <v>124</v>
      </c>
      <c r="S124" s="80">
        <v>2</v>
      </c>
      <c r="T124" s="80">
        <v>12</v>
      </c>
      <c r="U124" s="80" t="s">
        <v>179</v>
      </c>
      <c r="V124" s="80" t="s">
        <v>126</v>
      </c>
      <c r="W124" s="80" t="s">
        <v>127</v>
      </c>
      <c r="X124" s="80"/>
      <c r="Y124" s="80"/>
    </row>
    <row r="125" spans="1:25">
      <c r="A125" s="80">
        <f t="shared" si="1"/>
        <v>124</v>
      </c>
      <c r="B125" s="10">
        <v>45965.391087962998</v>
      </c>
      <c r="C125" s="80" t="s">
        <v>840</v>
      </c>
      <c r="D125" s="80" t="s">
        <v>841</v>
      </c>
      <c r="E125" s="80" t="s">
        <v>451</v>
      </c>
      <c r="F125" s="80" t="s">
        <v>452</v>
      </c>
      <c r="G125" s="80" t="s">
        <v>453</v>
      </c>
      <c r="H125" s="80" t="s">
        <v>115</v>
      </c>
      <c r="I125" s="80" t="s">
        <v>842</v>
      </c>
      <c r="J125" s="80" t="s">
        <v>117</v>
      </c>
      <c r="K125" s="80">
        <v>1</v>
      </c>
      <c r="L125" s="80" t="s">
        <v>454</v>
      </c>
      <c r="M125" s="80" t="s">
        <v>455</v>
      </c>
      <c r="N125" s="80" t="s">
        <v>120</v>
      </c>
      <c r="O125" s="80" t="s">
        <v>230</v>
      </c>
      <c r="P125" s="80" t="s">
        <v>178</v>
      </c>
      <c r="Q125" s="80" t="s">
        <v>123</v>
      </c>
      <c r="R125" s="80" t="s">
        <v>136</v>
      </c>
      <c r="S125" s="80">
        <v>2</v>
      </c>
      <c r="T125" s="80">
        <v>18</v>
      </c>
      <c r="U125" s="80" t="s">
        <v>843</v>
      </c>
      <c r="V125" s="80" t="s">
        <v>126</v>
      </c>
      <c r="W125" s="80" t="s">
        <v>127</v>
      </c>
      <c r="X125" s="80"/>
      <c r="Y125" s="80"/>
    </row>
    <row r="126" spans="1:25">
      <c r="A126" s="80">
        <f t="shared" si="1"/>
        <v>125</v>
      </c>
      <c r="B126" s="10">
        <v>45965.392071759299</v>
      </c>
      <c r="C126" s="80" t="s">
        <v>329</v>
      </c>
      <c r="D126" s="80" t="s">
        <v>844</v>
      </c>
      <c r="E126" s="80" t="s">
        <v>451</v>
      </c>
      <c r="F126" s="80" t="s">
        <v>452</v>
      </c>
      <c r="G126" s="80" t="s">
        <v>453</v>
      </c>
      <c r="H126" s="80" t="s">
        <v>115</v>
      </c>
      <c r="I126" s="80" t="s">
        <v>842</v>
      </c>
      <c r="J126" s="80" t="s">
        <v>117</v>
      </c>
      <c r="K126" s="80">
        <v>1</v>
      </c>
      <c r="L126" s="80" t="s">
        <v>454</v>
      </c>
      <c r="M126" s="80" t="s">
        <v>455</v>
      </c>
      <c r="N126" s="80" t="s">
        <v>120</v>
      </c>
      <c r="O126" s="80" t="s">
        <v>230</v>
      </c>
      <c r="P126" s="80" t="s">
        <v>178</v>
      </c>
      <c r="Q126" s="80" t="s">
        <v>123</v>
      </c>
      <c r="R126" s="80" t="s">
        <v>136</v>
      </c>
      <c r="S126" s="80">
        <v>2</v>
      </c>
      <c r="T126" s="80">
        <v>18</v>
      </c>
      <c r="U126" s="80" t="s">
        <v>336</v>
      </c>
      <c r="V126" s="80" t="s">
        <v>126</v>
      </c>
      <c r="W126" s="80" t="s">
        <v>127</v>
      </c>
      <c r="X126" s="80"/>
      <c r="Y126" s="80"/>
    </row>
    <row r="127" spans="1:25">
      <c r="A127" s="80">
        <f t="shared" si="1"/>
        <v>126</v>
      </c>
      <c r="B127" s="10">
        <v>45965.434965277796</v>
      </c>
      <c r="C127" s="80" t="s">
        <v>110</v>
      </c>
      <c r="D127" s="80" t="s">
        <v>845</v>
      </c>
      <c r="E127" s="80" t="s">
        <v>846</v>
      </c>
      <c r="F127" s="80" t="s">
        <v>847</v>
      </c>
      <c r="G127" s="80" t="s">
        <v>848</v>
      </c>
      <c r="H127" s="80" t="s">
        <v>115</v>
      </c>
      <c r="I127" s="80" t="s">
        <v>849</v>
      </c>
      <c r="J127" s="80" t="s">
        <v>117</v>
      </c>
      <c r="K127" s="80">
        <v>18</v>
      </c>
      <c r="L127" s="80" t="s">
        <v>850</v>
      </c>
      <c r="M127" s="80" t="s">
        <v>851</v>
      </c>
      <c r="N127" s="80" t="s">
        <v>120</v>
      </c>
      <c r="O127" s="80" t="s">
        <v>121</v>
      </c>
      <c r="P127" s="80" t="s">
        <v>122</v>
      </c>
      <c r="Q127" s="80" t="s">
        <v>123</v>
      </c>
      <c r="R127" s="80" t="s">
        <v>174</v>
      </c>
      <c r="S127" s="80">
        <v>9</v>
      </c>
      <c r="T127" s="80">
        <v>18</v>
      </c>
      <c r="U127" s="80" t="s">
        <v>125</v>
      </c>
      <c r="V127" s="80" t="s">
        <v>126</v>
      </c>
      <c r="W127" s="80" t="s">
        <v>127</v>
      </c>
      <c r="X127" s="80"/>
      <c r="Y127" s="80"/>
    </row>
    <row r="128" spans="1:25">
      <c r="A128" s="80">
        <f t="shared" si="1"/>
        <v>127</v>
      </c>
      <c r="B128" s="10">
        <v>45965.4359259259</v>
      </c>
      <c r="C128" s="80" t="s">
        <v>110</v>
      </c>
      <c r="D128" s="80" t="s">
        <v>852</v>
      </c>
      <c r="E128" s="80" t="s">
        <v>853</v>
      </c>
      <c r="F128" s="80" t="s">
        <v>854</v>
      </c>
      <c r="G128" s="80" t="s">
        <v>855</v>
      </c>
      <c r="H128" s="80" t="s">
        <v>210</v>
      </c>
      <c r="I128" s="80" t="s">
        <v>50</v>
      </c>
      <c r="J128" s="80" t="s">
        <v>149</v>
      </c>
      <c r="K128" s="80">
        <v>23</v>
      </c>
      <c r="L128" s="80" t="s">
        <v>856</v>
      </c>
      <c r="M128" s="80" t="s">
        <v>857</v>
      </c>
      <c r="N128" s="80" t="s">
        <v>164</v>
      </c>
      <c r="O128" s="80" t="s">
        <v>202</v>
      </c>
      <c r="P128" s="80" t="s">
        <v>269</v>
      </c>
      <c r="Q128" s="80" t="s">
        <v>123</v>
      </c>
      <c r="R128" s="80" t="s">
        <v>215</v>
      </c>
      <c r="S128" s="80">
        <v>11</v>
      </c>
      <c r="T128" s="80">
        <v>36</v>
      </c>
      <c r="U128" s="80" t="s">
        <v>125</v>
      </c>
      <c r="V128" s="80" t="s">
        <v>126</v>
      </c>
      <c r="W128" s="80" t="s">
        <v>127</v>
      </c>
      <c r="X128" s="80"/>
      <c r="Y128" s="80"/>
    </row>
    <row r="129" spans="1:25">
      <c r="A129" s="80">
        <f t="shared" si="1"/>
        <v>128</v>
      </c>
      <c r="B129" s="10">
        <v>45965.450277777803</v>
      </c>
      <c r="C129" s="80" t="s">
        <v>110</v>
      </c>
      <c r="D129" s="80" t="s">
        <v>858</v>
      </c>
      <c r="E129" s="80" t="s">
        <v>859</v>
      </c>
      <c r="F129" s="80" t="s">
        <v>860</v>
      </c>
      <c r="G129" s="80" t="s">
        <v>861</v>
      </c>
      <c r="H129" s="80" t="s">
        <v>115</v>
      </c>
      <c r="I129" s="80" t="s">
        <v>849</v>
      </c>
      <c r="J129" s="80" t="s">
        <v>117</v>
      </c>
      <c r="K129" s="80">
        <v>24</v>
      </c>
      <c r="L129" s="80" t="s">
        <v>862</v>
      </c>
      <c r="M129" s="80" t="s">
        <v>863</v>
      </c>
      <c r="N129" s="80" t="s">
        <v>120</v>
      </c>
      <c r="O129" s="80" t="s">
        <v>121</v>
      </c>
      <c r="P129" s="80" t="s">
        <v>269</v>
      </c>
      <c r="Q129" s="80" t="s">
        <v>123</v>
      </c>
      <c r="R129" s="80" t="s">
        <v>174</v>
      </c>
      <c r="S129" s="80">
        <v>8</v>
      </c>
      <c r="T129" s="80">
        <v>12</v>
      </c>
      <c r="U129" s="80" t="s">
        <v>125</v>
      </c>
      <c r="V129" s="80" t="s">
        <v>126</v>
      </c>
      <c r="W129" s="80" t="s">
        <v>127</v>
      </c>
      <c r="X129" s="80"/>
      <c r="Y129" s="80"/>
    </row>
    <row r="130" spans="1:25">
      <c r="A130" s="80">
        <f t="shared" si="1"/>
        <v>129</v>
      </c>
      <c r="B130" s="10">
        <v>45965.451678240701</v>
      </c>
      <c r="C130" s="80" t="s">
        <v>840</v>
      </c>
      <c r="D130" s="80" t="s">
        <v>864</v>
      </c>
      <c r="E130" s="80" t="s">
        <v>827</v>
      </c>
      <c r="F130" s="80" t="s">
        <v>828</v>
      </c>
      <c r="G130" s="80" t="s">
        <v>829</v>
      </c>
      <c r="H130" s="80" t="s">
        <v>115</v>
      </c>
      <c r="I130" s="80" t="s">
        <v>865</v>
      </c>
      <c r="J130" s="80" t="s">
        <v>117</v>
      </c>
      <c r="K130" s="80">
        <v>19</v>
      </c>
      <c r="L130" s="80" t="s">
        <v>830</v>
      </c>
      <c r="M130" s="80" t="s">
        <v>831</v>
      </c>
      <c r="N130" s="80" t="s">
        <v>120</v>
      </c>
      <c r="O130" s="80" t="s">
        <v>611</v>
      </c>
      <c r="P130" s="80" t="s">
        <v>832</v>
      </c>
      <c r="Q130" s="80" t="s">
        <v>123</v>
      </c>
      <c r="R130" s="80" t="s">
        <v>174</v>
      </c>
      <c r="S130" s="80">
        <v>8</v>
      </c>
      <c r="T130" s="80">
        <v>18</v>
      </c>
      <c r="U130" s="80" t="s">
        <v>843</v>
      </c>
      <c r="V130" s="80" t="s">
        <v>126</v>
      </c>
      <c r="W130" s="80" t="s">
        <v>127</v>
      </c>
      <c r="X130" s="80"/>
      <c r="Y130" s="80"/>
    </row>
    <row r="131" spans="1:25">
      <c r="A131" s="80">
        <f t="shared" si="1"/>
        <v>130</v>
      </c>
      <c r="B131" s="10">
        <v>45965.452210648102</v>
      </c>
      <c r="C131" s="80" t="s">
        <v>604</v>
      </c>
      <c r="D131" s="80" t="s">
        <v>866</v>
      </c>
      <c r="E131" s="80" t="s">
        <v>827</v>
      </c>
      <c r="F131" s="80" t="s">
        <v>828</v>
      </c>
      <c r="G131" s="80" t="s">
        <v>829</v>
      </c>
      <c r="H131" s="80" t="s">
        <v>115</v>
      </c>
      <c r="I131" s="80" t="s">
        <v>865</v>
      </c>
      <c r="J131" s="80" t="s">
        <v>117</v>
      </c>
      <c r="K131" s="80">
        <v>19</v>
      </c>
      <c r="L131" s="80" t="s">
        <v>830</v>
      </c>
      <c r="M131" s="80" t="s">
        <v>831</v>
      </c>
      <c r="N131" s="80" t="s">
        <v>120</v>
      </c>
      <c r="O131" s="80" t="s">
        <v>611</v>
      </c>
      <c r="P131" s="80" t="s">
        <v>832</v>
      </c>
      <c r="Q131" s="80" t="s">
        <v>123</v>
      </c>
      <c r="R131" s="80" t="s">
        <v>174</v>
      </c>
      <c r="S131" s="80">
        <v>8</v>
      </c>
      <c r="T131" s="80">
        <v>18</v>
      </c>
      <c r="U131" s="80" t="s">
        <v>613</v>
      </c>
      <c r="V131" s="80" t="s">
        <v>126</v>
      </c>
      <c r="W131" s="80" t="s">
        <v>127</v>
      </c>
      <c r="X131" s="80"/>
      <c r="Y131" s="80"/>
    </row>
    <row r="132" spans="1:25">
      <c r="A132" s="80">
        <f t="shared" ref="A132:A195" si="2">A131+1</f>
        <v>131</v>
      </c>
      <c r="B132" s="10">
        <v>45965.454305555599</v>
      </c>
      <c r="C132" s="80" t="s">
        <v>110</v>
      </c>
      <c r="D132" s="80" t="s">
        <v>867</v>
      </c>
      <c r="E132" s="80" t="s">
        <v>868</v>
      </c>
      <c r="F132" s="80" t="s">
        <v>869</v>
      </c>
      <c r="G132" s="80" t="s">
        <v>870</v>
      </c>
      <c r="H132" s="80" t="s">
        <v>115</v>
      </c>
      <c r="I132" s="80" t="s">
        <v>849</v>
      </c>
      <c r="J132" s="80" t="s">
        <v>117</v>
      </c>
      <c r="K132" s="80">
        <v>8</v>
      </c>
      <c r="L132" s="80" t="s">
        <v>871</v>
      </c>
      <c r="M132" s="80" t="s">
        <v>872</v>
      </c>
      <c r="N132" s="80" t="s">
        <v>120</v>
      </c>
      <c r="O132" s="80" t="s">
        <v>873</v>
      </c>
      <c r="P132" s="80" t="s">
        <v>287</v>
      </c>
      <c r="Q132" s="80" t="s">
        <v>123</v>
      </c>
      <c r="R132" s="80" t="s">
        <v>174</v>
      </c>
      <c r="S132" s="80">
        <v>16</v>
      </c>
      <c r="T132" s="80">
        <v>24</v>
      </c>
      <c r="U132" s="80" t="s">
        <v>125</v>
      </c>
      <c r="V132" s="80" t="s">
        <v>126</v>
      </c>
      <c r="W132" s="80" t="s">
        <v>127</v>
      </c>
      <c r="X132" s="80"/>
      <c r="Y132" s="80"/>
    </row>
    <row r="133" spans="1:25">
      <c r="A133" s="80">
        <f t="shared" si="2"/>
        <v>132</v>
      </c>
      <c r="B133" s="10">
        <v>45965.462303240703</v>
      </c>
      <c r="C133" s="80" t="s">
        <v>359</v>
      </c>
      <c r="D133" s="80" t="s">
        <v>874</v>
      </c>
      <c r="E133" s="80" t="s">
        <v>875</v>
      </c>
      <c r="F133" s="80" t="s">
        <v>876</v>
      </c>
      <c r="G133" s="80" t="s">
        <v>877</v>
      </c>
      <c r="H133" s="80" t="s">
        <v>115</v>
      </c>
      <c r="I133" s="80" t="s">
        <v>842</v>
      </c>
      <c r="J133" s="80" t="s">
        <v>117</v>
      </c>
      <c r="K133" s="80">
        <v>15</v>
      </c>
      <c r="L133" s="80" t="s">
        <v>878</v>
      </c>
      <c r="M133" s="80" t="s">
        <v>879</v>
      </c>
      <c r="N133" s="80" t="s">
        <v>120</v>
      </c>
      <c r="O133" s="80" t="s">
        <v>572</v>
      </c>
      <c r="P133" s="80" t="s">
        <v>135</v>
      </c>
      <c r="Q133" s="80" t="s">
        <v>123</v>
      </c>
      <c r="R133" s="80" t="s">
        <v>174</v>
      </c>
      <c r="S133" s="80">
        <v>10</v>
      </c>
      <c r="T133" s="80">
        <v>12</v>
      </c>
      <c r="U133" s="80" t="s">
        <v>361</v>
      </c>
      <c r="V133" s="80" t="s">
        <v>126</v>
      </c>
      <c r="W133" s="80" t="s">
        <v>127</v>
      </c>
      <c r="X133" s="80"/>
      <c r="Y133" s="80"/>
    </row>
    <row r="134" spans="1:25">
      <c r="A134" s="80">
        <f t="shared" si="2"/>
        <v>133</v>
      </c>
      <c r="B134" s="10">
        <v>45965.464548611097</v>
      </c>
      <c r="C134" s="80" t="s">
        <v>880</v>
      </c>
      <c r="D134" s="80" t="s">
        <v>881</v>
      </c>
      <c r="E134" s="80" t="s">
        <v>827</v>
      </c>
      <c r="F134" s="80" t="s">
        <v>828</v>
      </c>
      <c r="G134" s="80" t="s">
        <v>829</v>
      </c>
      <c r="H134" s="80" t="s">
        <v>115</v>
      </c>
      <c r="I134" s="80" t="s">
        <v>865</v>
      </c>
      <c r="J134" s="80" t="s">
        <v>117</v>
      </c>
      <c r="K134" s="80">
        <v>19</v>
      </c>
      <c r="L134" s="80" t="s">
        <v>830</v>
      </c>
      <c r="M134" s="80" t="s">
        <v>831</v>
      </c>
      <c r="N134" s="80" t="s">
        <v>120</v>
      </c>
      <c r="O134" s="80" t="s">
        <v>611</v>
      </c>
      <c r="P134" s="80" t="s">
        <v>832</v>
      </c>
      <c r="Q134" s="80" t="s">
        <v>123</v>
      </c>
      <c r="R134" s="80" t="s">
        <v>174</v>
      </c>
      <c r="S134" s="80">
        <v>8</v>
      </c>
      <c r="T134" s="80">
        <v>18</v>
      </c>
      <c r="U134" s="80" t="s">
        <v>882</v>
      </c>
      <c r="V134" s="80" t="s">
        <v>126</v>
      </c>
      <c r="W134" s="80" t="s">
        <v>127</v>
      </c>
      <c r="X134" s="80"/>
      <c r="Y134" s="80"/>
    </row>
    <row r="135" spans="1:25">
      <c r="A135" s="80">
        <f t="shared" si="2"/>
        <v>134</v>
      </c>
      <c r="B135" s="10">
        <v>45965.465532407397</v>
      </c>
      <c r="C135" s="80" t="s">
        <v>589</v>
      </c>
      <c r="D135" s="80" t="s">
        <v>883</v>
      </c>
      <c r="E135" s="80" t="s">
        <v>884</v>
      </c>
      <c r="F135" s="80" t="s">
        <v>885</v>
      </c>
      <c r="G135" s="80" t="s">
        <v>886</v>
      </c>
      <c r="H135" s="80" t="s">
        <v>115</v>
      </c>
      <c r="I135" s="80" t="s">
        <v>237</v>
      </c>
      <c r="J135" s="80" t="s">
        <v>117</v>
      </c>
      <c r="K135" s="80">
        <v>3</v>
      </c>
      <c r="L135" s="80" t="s">
        <v>887</v>
      </c>
      <c r="M135" s="80" t="s">
        <v>888</v>
      </c>
      <c r="N135" s="80" t="s">
        <v>120</v>
      </c>
      <c r="O135" s="80" t="s">
        <v>230</v>
      </c>
      <c r="P135" s="80" t="s">
        <v>269</v>
      </c>
      <c r="Q135" s="80" t="s">
        <v>123</v>
      </c>
      <c r="R135" s="80" t="s">
        <v>136</v>
      </c>
      <c r="S135" s="80">
        <v>10</v>
      </c>
      <c r="T135" s="80">
        <v>18</v>
      </c>
      <c r="U135" s="80" t="s">
        <v>596</v>
      </c>
      <c r="V135" s="80" t="s">
        <v>126</v>
      </c>
      <c r="W135" s="80" t="s">
        <v>127</v>
      </c>
      <c r="X135" s="80"/>
      <c r="Y135" s="80"/>
    </row>
    <row r="136" spans="1:25">
      <c r="A136" s="80">
        <f t="shared" si="2"/>
        <v>135</v>
      </c>
      <c r="B136" s="10">
        <v>45965.466527777797</v>
      </c>
      <c r="C136" s="80" t="s">
        <v>362</v>
      </c>
      <c r="D136" s="80" t="s">
        <v>889</v>
      </c>
      <c r="E136" s="80" t="s">
        <v>884</v>
      </c>
      <c r="F136" s="80" t="s">
        <v>885</v>
      </c>
      <c r="G136" s="80" t="s">
        <v>886</v>
      </c>
      <c r="H136" s="80" t="s">
        <v>115</v>
      </c>
      <c r="I136" s="80" t="s">
        <v>237</v>
      </c>
      <c r="J136" s="80" t="s">
        <v>117</v>
      </c>
      <c r="K136" s="80">
        <v>3</v>
      </c>
      <c r="L136" s="80" t="s">
        <v>887</v>
      </c>
      <c r="M136" s="80" t="s">
        <v>888</v>
      </c>
      <c r="N136" s="80" t="s">
        <v>120</v>
      </c>
      <c r="O136" s="80" t="s">
        <v>230</v>
      </c>
      <c r="P136" s="80" t="s">
        <v>269</v>
      </c>
      <c r="Q136" s="80" t="s">
        <v>123</v>
      </c>
      <c r="R136" s="80" t="s">
        <v>136</v>
      </c>
      <c r="S136" s="80">
        <v>10</v>
      </c>
      <c r="T136" s="80">
        <v>18</v>
      </c>
      <c r="U136" s="80" t="s">
        <v>364</v>
      </c>
      <c r="V136" s="80" t="s">
        <v>126</v>
      </c>
      <c r="W136" s="80" t="s">
        <v>127</v>
      </c>
      <c r="X136" s="80"/>
      <c r="Y136" s="80"/>
    </row>
    <row r="137" spans="1:25">
      <c r="A137" s="80">
        <f t="shared" si="2"/>
        <v>136</v>
      </c>
      <c r="B137" s="10">
        <v>45965.467037037</v>
      </c>
      <c r="C137" s="80" t="s">
        <v>456</v>
      </c>
      <c r="D137" s="80" t="s">
        <v>890</v>
      </c>
      <c r="E137" s="80" t="s">
        <v>891</v>
      </c>
      <c r="F137" s="80" t="s">
        <v>892</v>
      </c>
      <c r="G137" s="80" t="s">
        <v>893</v>
      </c>
      <c r="H137" s="80" t="s">
        <v>115</v>
      </c>
      <c r="I137" s="80" t="s">
        <v>275</v>
      </c>
      <c r="J137" s="80" t="s">
        <v>149</v>
      </c>
      <c r="K137" s="80">
        <v>17</v>
      </c>
      <c r="L137" s="80" t="s">
        <v>894</v>
      </c>
      <c r="M137" s="80" t="s">
        <v>895</v>
      </c>
      <c r="N137" s="80" t="s">
        <v>120</v>
      </c>
      <c r="O137" s="80" t="s">
        <v>152</v>
      </c>
      <c r="P137" s="80" t="s">
        <v>352</v>
      </c>
      <c r="Q137" s="80" t="s">
        <v>123</v>
      </c>
      <c r="R137" s="80" t="s">
        <v>174</v>
      </c>
      <c r="S137" s="80">
        <v>9</v>
      </c>
      <c r="T137" s="80">
        <v>24</v>
      </c>
      <c r="U137" s="80" t="s">
        <v>466</v>
      </c>
      <c r="V137" s="80" t="s">
        <v>126</v>
      </c>
      <c r="W137" s="80" t="s">
        <v>127</v>
      </c>
      <c r="X137" s="80"/>
      <c r="Y137" s="80"/>
    </row>
    <row r="138" spans="1:25">
      <c r="A138" s="80">
        <f t="shared" si="2"/>
        <v>137</v>
      </c>
      <c r="B138" s="10">
        <v>45965.472951388903</v>
      </c>
      <c r="C138" s="80" t="s">
        <v>840</v>
      </c>
      <c r="D138" s="80" t="s">
        <v>896</v>
      </c>
      <c r="E138" s="80" t="s">
        <v>897</v>
      </c>
      <c r="F138" s="80" t="s">
        <v>898</v>
      </c>
      <c r="G138" s="80" t="s">
        <v>899</v>
      </c>
      <c r="H138" s="80" t="s">
        <v>148</v>
      </c>
      <c r="I138" s="80" t="s">
        <v>49</v>
      </c>
      <c r="J138" s="80" t="s">
        <v>149</v>
      </c>
      <c r="K138" s="80">
        <v>3</v>
      </c>
      <c r="L138" s="80" t="s">
        <v>900</v>
      </c>
      <c r="M138" s="80" t="s">
        <v>901</v>
      </c>
      <c r="N138" s="80" t="s">
        <v>120</v>
      </c>
      <c r="O138" s="80" t="s">
        <v>152</v>
      </c>
      <c r="P138" s="80" t="s">
        <v>295</v>
      </c>
      <c r="Q138" s="80" t="s">
        <v>123</v>
      </c>
      <c r="R138" s="80" t="s">
        <v>136</v>
      </c>
      <c r="S138" s="80">
        <v>5</v>
      </c>
      <c r="T138" s="80">
        <v>24</v>
      </c>
      <c r="U138" s="80" t="s">
        <v>843</v>
      </c>
      <c r="V138" s="80" t="s">
        <v>126</v>
      </c>
      <c r="W138" s="80" t="s">
        <v>5333</v>
      </c>
      <c r="X138" s="80"/>
      <c r="Y138" s="80"/>
    </row>
    <row r="139" spans="1:25">
      <c r="A139" s="80">
        <f t="shared" si="2"/>
        <v>138</v>
      </c>
      <c r="B139" s="10">
        <v>45965.473206018498</v>
      </c>
      <c r="C139" s="80" t="s">
        <v>280</v>
      </c>
      <c r="D139" s="80" t="s">
        <v>902</v>
      </c>
      <c r="E139" s="80" t="s">
        <v>903</v>
      </c>
      <c r="F139" s="80" t="s">
        <v>904</v>
      </c>
      <c r="G139" s="80" t="s">
        <v>905</v>
      </c>
      <c r="H139" s="80" t="s">
        <v>115</v>
      </c>
      <c r="I139" s="80" t="s">
        <v>865</v>
      </c>
      <c r="J139" s="80" t="s">
        <v>117</v>
      </c>
      <c r="K139" s="80">
        <v>16</v>
      </c>
      <c r="L139" s="80" t="s">
        <v>906</v>
      </c>
      <c r="M139" s="80" t="s">
        <v>907</v>
      </c>
      <c r="N139" s="80" t="s">
        <v>164</v>
      </c>
      <c r="O139" s="80" t="s">
        <v>202</v>
      </c>
      <c r="P139" s="80" t="s">
        <v>135</v>
      </c>
      <c r="Q139" s="80" t="s">
        <v>123</v>
      </c>
      <c r="R139" s="80" t="s">
        <v>174</v>
      </c>
      <c r="S139" s="80">
        <v>4</v>
      </c>
      <c r="T139" s="80">
        <v>24</v>
      </c>
      <c r="U139" s="80" t="s">
        <v>288</v>
      </c>
      <c r="V139" s="80" t="s">
        <v>126</v>
      </c>
      <c r="W139" s="80" t="s">
        <v>127</v>
      </c>
      <c r="X139" s="80"/>
      <c r="Y139" s="80"/>
    </row>
    <row r="140" spans="1:25">
      <c r="A140" s="80">
        <f t="shared" si="2"/>
        <v>139</v>
      </c>
      <c r="B140" s="10">
        <v>45965.478009259299</v>
      </c>
      <c r="C140" s="80" t="s">
        <v>589</v>
      </c>
      <c r="D140" s="80" t="s">
        <v>908</v>
      </c>
      <c r="E140" s="80" t="s">
        <v>909</v>
      </c>
      <c r="F140" s="80" t="s">
        <v>910</v>
      </c>
      <c r="G140" s="80" t="s">
        <v>911</v>
      </c>
      <c r="H140" s="80" t="s">
        <v>115</v>
      </c>
      <c r="I140" s="80" t="s">
        <v>227</v>
      </c>
      <c r="J140" s="80" t="s">
        <v>117</v>
      </c>
      <c r="K140" s="80">
        <v>13</v>
      </c>
      <c r="L140" s="80" t="s">
        <v>912</v>
      </c>
      <c r="M140" s="80" t="s">
        <v>913</v>
      </c>
      <c r="N140" s="80" t="s">
        <v>120</v>
      </c>
      <c r="O140" s="80" t="s">
        <v>152</v>
      </c>
      <c r="P140" s="80" t="s">
        <v>135</v>
      </c>
      <c r="Q140" s="80" t="s">
        <v>123</v>
      </c>
      <c r="R140" s="80" t="s">
        <v>174</v>
      </c>
      <c r="S140" s="80">
        <v>14</v>
      </c>
      <c r="T140" s="80">
        <v>24</v>
      </c>
      <c r="U140" s="80" t="s">
        <v>596</v>
      </c>
      <c r="V140" s="80" t="s">
        <v>126</v>
      </c>
      <c r="W140" s="80" t="s">
        <v>127</v>
      </c>
      <c r="X140" s="80"/>
      <c r="Y140" s="80"/>
    </row>
    <row r="141" spans="1:25">
      <c r="A141" s="80">
        <f t="shared" si="2"/>
        <v>140</v>
      </c>
      <c r="B141" s="10">
        <v>45965.478287037004</v>
      </c>
      <c r="C141" s="80" t="s">
        <v>840</v>
      </c>
      <c r="D141" s="80" t="s">
        <v>914</v>
      </c>
      <c r="E141" s="80" t="s">
        <v>915</v>
      </c>
      <c r="F141" s="80" t="s">
        <v>916</v>
      </c>
      <c r="G141" s="80" t="s">
        <v>917</v>
      </c>
      <c r="H141" s="80" t="s">
        <v>115</v>
      </c>
      <c r="I141" s="80" t="s">
        <v>918</v>
      </c>
      <c r="J141" s="80" t="s">
        <v>149</v>
      </c>
      <c r="K141" s="80">
        <v>10</v>
      </c>
      <c r="L141" s="80" t="s">
        <v>919</v>
      </c>
      <c r="M141" s="80" t="s">
        <v>920</v>
      </c>
      <c r="N141" s="80" t="s">
        <v>120</v>
      </c>
      <c r="O141" s="80" t="s">
        <v>327</v>
      </c>
      <c r="P141" s="80" t="s">
        <v>214</v>
      </c>
      <c r="Q141" s="80" t="s">
        <v>123</v>
      </c>
      <c r="R141" s="80" t="s">
        <v>174</v>
      </c>
      <c r="S141" s="80">
        <v>2</v>
      </c>
      <c r="T141" s="80">
        <v>12</v>
      </c>
      <c r="U141" s="80" t="s">
        <v>843</v>
      </c>
      <c r="V141" s="80" t="s">
        <v>126</v>
      </c>
      <c r="W141" s="80" t="s">
        <v>127</v>
      </c>
      <c r="X141" s="80"/>
      <c r="Y141" s="80"/>
    </row>
    <row r="142" spans="1:25">
      <c r="A142" s="80">
        <f t="shared" si="2"/>
        <v>141</v>
      </c>
      <c r="B142" s="10">
        <v>45965.4839699074</v>
      </c>
      <c r="C142" s="80" t="s">
        <v>921</v>
      </c>
      <c r="D142" s="80" t="s">
        <v>922</v>
      </c>
      <c r="E142" s="80" t="s">
        <v>915</v>
      </c>
      <c r="F142" s="80" t="s">
        <v>916</v>
      </c>
      <c r="G142" s="80" t="s">
        <v>917</v>
      </c>
      <c r="H142" s="80" t="s">
        <v>115</v>
      </c>
      <c r="I142" s="80" t="s">
        <v>918</v>
      </c>
      <c r="J142" s="80" t="s">
        <v>149</v>
      </c>
      <c r="K142" s="80">
        <v>10</v>
      </c>
      <c r="L142" s="80" t="s">
        <v>919</v>
      </c>
      <c r="M142" s="80" t="s">
        <v>920</v>
      </c>
      <c r="N142" s="80" t="s">
        <v>120</v>
      </c>
      <c r="O142" s="80" t="s">
        <v>327</v>
      </c>
      <c r="P142" s="80" t="s">
        <v>214</v>
      </c>
      <c r="Q142" s="80" t="s">
        <v>123</v>
      </c>
      <c r="R142" s="80" t="s">
        <v>174</v>
      </c>
      <c r="S142" s="80">
        <v>2</v>
      </c>
      <c r="T142" s="80">
        <v>12</v>
      </c>
      <c r="U142" s="80" t="s">
        <v>923</v>
      </c>
      <c r="V142" s="80" t="s">
        <v>141</v>
      </c>
      <c r="W142" s="80" t="s">
        <v>127</v>
      </c>
      <c r="X142" s="80"/>
      <c r="Y142" s="80"/>
    </row>
    <row r="143" spans="1:25">
      <c r="A143" s="80">
        <f t="shared" si="2"/>
        <v>142</v>
      </c>
      <c r="B143" s="10">
        <v>45965.484259259298</v>
      </c>
      <c r="C143" s="80" t="s">
        <v>921</v>
      </c>
      <c r="D143" s="80" t="s">
        <v>924</v>
      </c>
      <c r="E143" s="80" t="s">
        <v>925</v>
      </c>
      <c r="F143" s="80" t="s">
        <v>926</v>
      </c>
      <c r="G143" s="80" t="s">
        <v>927</v>
      </c>
      <c r="H143" s="80" t="s">
        <v>115</v>
      </c>
      <c r="I143" s="80" t="s">
        <v>237</v>
      </c>
      <c r="J143" s="80" t="s">
        <v>117</v>
      </c>
      <c r="K143" s="80">
        <v>20</v>
      </c>
      <c r="L143" s="80" t="s">
        <v>928</v>
      </c>
      <c r="M143" s="80" t="s">
        <v>929</v>
      </c>
      <c r="N143" s="80" t="s">
        <v>120</v>
      </c>
      <c r="O143" s="80" t="s">
        <v>187</v>
      </c>
      <c r="P143" s="80" t="s">
        <v>414</v>
      </c>
      <c r="Q143" s="80" t="s">
        <v>123</v>
      </c>
      <c r="R143" s="80" t="s">
        <v>174</v>
      </c>
      <c r="S143" s="80">
        <v>15</v>
      </c>
      <c r="T143" s="80">
        <v>18</v>
      </c>
      <c r="U143" s="80" t="s">
        <v>923</v>
      </c>
      <c r="V143" s="80" t="s">
        <v>141</v>
      </c>
      <c r="W143" s="80" t="s">
        <v>127</v>
      </c>
      <c r="X143" s="80"/>
      <c r="Y143" s="80"/>
    </row>
    <row r="144" spans="1:25">
      <c r="A144" s="80">
        <f t="shared" si="2"/>
        <v>143</v>
      </c>
      <c r="B144" s="10">
        <v>45965.4858564815</v>
      </c>
      <c r="C144" s="80" t="s">
        <v>589</v>
      </c>
      <c r="D144" s="80" t="s">
        <v>930</v>
      </c>
      <c r="E144" s="80" t="s">
        <v>931</v>
      </c>
      <c r="F144" s="80" t="s">
        <v>932</v>
      </c>
      <c r="G144" s="80" t="s">
        <v>933</v>
      </c>
      <c r="H144" s="80" t="s">
        <v>115</v>
      </c>
      <c r="I144" s="80" t="s">
        <v>244</v>
      </c>
      <c r="J144" s="80" t="s">
        <v>461</v>
      </c>
      <c r="K144" s="80">
        <v>5</v>
      </c>
      <c r="L144" s="80" t="s">
        <v>934</v>
      </c>
      <c r="M144" s="80" t="s">
        <v>935</v>
      </c>
      <c r="N144" s="80" t="s">
        <v>120</v>
      </c>
      <c r="O144" s="80" t="s">
        <v>572</v>
      </c>
      <c r="P144" s="80" t="s">
        <v>135</v>
      </c>
      <c r="Q144" s="80" t="s">
        <v>123</v>
      </c>
      <c r="R144" s="80" t="s">
        <v>136</v>
      </c>
      <c r="S144" s="80">
        <v>4</v>
      </c>
      <c r="T144" s="80">
        <v>24</v>
      </c>
      <c r="U144" s="80" t="s">
        <v>596</v>
      </c>
      <c r="V144" s="80" t="s">
        <v>126</v>
      </c>
      <c r="W144" s="80" t="s">
        <v>127</v>
      </c>
      <c r="X144" s="80"/>
      <c r="Y144" s="80"/>
    </row>
    <row r="145" spans="1:25">
      <c r="A145" s="80">
        <f t="shared" si="2"/>
        <v>144</v>
      </c>
      <c r="B145" s="10">
        <v>45965.487881944398</v>
      </c>
      <c r="C145" s="80" t="s">
        <v>840</v>
      </c>
      <c r="D145" s="80" t="s">
        <v>936</v>
      </c>
      <c r="E145" s="80" t="s">
        <v>728</v>
      </c>
      <c r="F145" s="80" t="s">
        <v>729</v>
      </c>
      <c r="G145" s="80" t="s">
        <v>730</v>
      </c>
      <c r="H145" s="80" t="s">
        <v>115</v>
      </c>
      <c r="I145" s="80" t="s">
        <v>865</v>
      </c>
      <c r="J145" s="80" t="s">
        <v>117</v>
      </c>
      <c r="K145" s="80">
        <v>15</v>
      </c>
      <c r="L145" s="80" t="s">
        <v>731</v>
      </c>
      <c r="M145" s="80" t="s">
        <v>732</v>
      </c>
      <c r="N145" s="80" t="s">
        <v>120</v>
      </c>
      <c r="O145" s="80" t="s">
        <v>247</v>
      </c>
      <c r="P145" s="80" t="s">
        <v>122</v>
      </c>
      <c r="Q145" s="80" t="s">
        <v>123</v>
      </c>
      <c r="R145" s="80" t="s">
        <v>174</v>
      </c>
      <c r="S145" s="80">
        <v>4</v>
      </c>
      <c r="T145" s="80">
        <v>6</v>
      </c>
      <c r="U145" s="80" t="s">
        <v>843</v>
      </c>
      <c r="V145" s="80" t="s">
        <v>126</v>
      </c>
      <c r="W145" s="80" t="s">
        <v>127</v>
      </c>
      <c r="X145" s="80"/>
      <c r="Y145" s="80"/>
    </row>
    <row r="146" spans="1:25">
      <c r="A146" s="80">
        <f t="shared" si="2"/>
        <v>145</v>
      </c>
      <c r="B146" s="10">
        <v>45965.493645833303</v>
      </c>
      <c r="C146" s="80" t="s">
        <v>880</v>
      </c>
      <c r="D146" s="80" t="s">
        <v>937</v>
      </c>
      <c r="E146" s="80" t="s">
        <v>938</v>
      </c>
      <c r="F146" s="80" t="s">
        <v>939</v>
      </c>
      <c r="G146" s="80" t="s">
        <v>940</v>
      </c>
      <c r="H146" s="80" t="s">
        <v>115</v>
      </c>
      <c r="I146" s="80" t="s">
        <v>865</v>
      </c>
      <c r="J146" s="80" t="s">
        <v>149</v>
      </c>
      <c r="K146" s="80">
        <v>14</v>
      </c>
      <c r="L146" s="80" t="s">
        <v>941</v>
      </c>
      <c r="M146" s="80" t="s">
        <v>942</v>
      </c>
      <c r="N146" s="80" t="s">
        <v>120</v>
      </c>
      <c r="O146" s="80" t="s">
        <v>943</v>
      </c>
      <c r="P146" s="80" t="s">
        <v>135</v>
      </c>
      <c r="Q146" s="80" t="s">
        <v>123</v>
      </c>
      <c r="R146" s="80" t="s">
        <v>174</v>
      </c>
      <c r="S146" s="80">
        <v>1</v>
      </c>
      <c r="T146" s="80">
        <v>12</v>
      </c>
      <c r="U146" s="80" t="s">
        <v>882</v>
      </c>
      <c r="V146" s="80" t="s">
        <v>126</v>
      </c>
      <c r="W146" s="80" t="s">
        <v>127</v>
      </c>
      <c r="X146" s="80"/>
      <c r="Y146" s="80"/>
    </row>
    <row r="147" spans="1:25">
      <c r="A147" s="80">
        <f t="shared" si="2"/>
        <v>146</v>
      </c>
      <c r="B147" s="10">
        <v>45965.494062500002</v>
      </c>
      <c r="C147" s="80" t="s">
        <v>840</v>
      </c>
      <c r="D147" s="80" t="s">
        <v>944</v>
      </c>
      <c r="E147" s="80" t="s">
        <v>938</v>
      </c>
      <c r="F147" s="80" t="s">
        <v>939</v>
      </c>
      <c r="G147" s="80" t="s">
        <v>940</v>
      </c>
      <c r="H147" s="80" t="s">
        <v>115</v>
      </c>
      <c r="I147" s="80" t="s">
        <v>865</v>
      </c>
      <c r="J147" s="80" t="s">
        <v>149</v>
      </c>
      <c r="K147" s="80">
        <v>14</v>
      </c>
      <c r="L147" s="80" t="s">
        <v>941</v>
      </c>
      <c r="M147" s="80" t="s">
        <v>942</v>
      </c>
      <c r="N147" s="80" t="s">
        <v>120</v>
      </c>
      <c r="O147" s="80" t="s">
        <v>943</v>
      </c>
      <c r="P147" s="80" t="s">
        <v>135</v>
      </c>
      <c r="Q147" s="80" t="s">
        <v>123</v>
      </c>
      <c r="R147" s="80" t="s">
        <v>174</v>
      </c>
      <c r="S147" s="80">
        <v>1</v>
      </c>
      <c r="T147" s="80">
        <v>12</v>
      </c>
      <c r="U147" s="80" t="s">
        <v>843</v>
      </c>
      <c r="V147" s="80" t="s">
        <v>126</v>
      </c>
      <c r="W147" s="80" t="s">
        <v>127</v>
      </c>
      <c r="X147" s="80"/>
      <c r="Y147" s="80"/>
    </row>
    <row r="148" spans="1:25">
      <c r="A148" s="80">
        <f t="shared" si="2"/>
        <v>147</v>
      </c>
      <c r="B148" s="10">
        <v>45965.506400462997</v>
      </c>
      <c r="C148" s="80" t="s">
        <v>297</v>
      </c>
      <c r="D148" s="80" t="s">
        <v>945</v>
      </c>
      <c r="E148" s="80" t="s">
        <v>946</v>
      </c>
      <c r="F148" s="80" t="s">
        <v>947</v>
      </c>
      <c r="G148" s="80" t="s">
        <v>948</v>
      </c>
      <c r="H148" s="80" t="s">
        <v>477</v>
      </c>
      <c r="I148" s="80" t="s">
        <v>50</v>
      </c>
      <c r="J148" s="80" t="s">
        <v>149</v>
      </c>
      <c r="K148" s="80">
        <v>5</v>
      </c>
      <c r="L148" s="80" t="s">
        <v>949</v>
      </c>
      <c r="M148" s="80" t="s">
        <v>950</v>
      </c>
      <c r="N148" s="80" t="s">
        <v>120</v>
      </c>
      <c r="O148" s="80" t="s">
        <v>121</v>
      </c>
      <c r="P148" s="80" t="s">
        <v>178</v>
      </c>
      <c r="Q148" s="80" t="s">
        <v>123</v>
      </c>
      <c r="R148" s="80" t="s">
        <v>215</v>
      </c>
      <c r="S148" s="80">
        <v>3</v>
      </c>
      <c r="T148" s="80">
        <v>24</v>
      </c>
      <c r="U148" s="80" t="s">
        <v>305</v>
      </c>
      <c r="V148" s="80" t="s">
        <v>126</v>
      </c>
      <c r="W148" s="80" t="s">
        <v>137</v>
      </c>
      <c r="X148" s="80"/>
      <c r="Y148" s="80"/>
    </row>
    <row r="149" spans="1:25">
      <c r="A149" s="80">
        <f t="shared" si="2"/>
        <v>148</v>
      </c>
      <c r="B149" s="10">
        <v>45965.524502314802</v>
      </c>
      <c r="C149" s="80" t="s">
        <v>320</v>
      </c>
      <c r="D149" s="80" t="s">
        <v>951</v>
      </c>
      <c r="E149" s="80" t="s">
        <v>952</v>
      </c>
      <c r="F149" s="80" t="s">
        <v>953</v>
      </c>
      <c r="G149" s="80" t="s">
        <v>954</v>
      </c>
      <c r="H149" s="80" t="s">
        <v>115</v>
      </c>
      <c r="I149" s="80" t="s">
        <v>955</v>
      </c>
      <c r="J149" s="80" t="s">
        <v>149</v>
      </c>
      <c r="K149" s="80">
        <v>16</v>
      </c>
      <c r="L149" s="80" t="s">
        <v>956</v>
      </c>
      <c r="M149" s="80" t="s">
        <v>957</v>
      </c>
      <c r="N149" s="80" t="s">
        <v>120</v>
      </c>
      <c r="O149" s="80" t="s">
        <v>240</v>
      </c>
      <c r="P149" s="80" t="s">
        <v>135</v>
      </c>
      <c r="Q149" s="80" t="s">
        <v>123</v>
      </c>
      <c r="R149" s="80" t="s">
        <v>174</v>
      </c>
      <c r="S149" s="80">
        <v>2</v>
      </c>
      <c r="T149" s="80">
        <v>12</v>
      </c>
      <c r="U149" s="80" t="s">
        <v>328</v>
      </c>
      <c r="V149" s="80" t="s">
        <v>126</v>
      </c>
      <c r="W149" s="80" t="s">
        <v>127</v>
      </c>
      <c r="X149" s="80"/>
      <c r="Y149" s="80"/>
    </row>
    <row r="150" spans="1:25">
      <c r="A150" s="80">
        <f t="shared" si="2"/>
        <v>149</v>
      </c>
      <c r="B150" s="10">
        <v>45965.526192129597</v>
      </c>
      <c r="C150" s="80" t="s">
        <v>320</v>
      </c>
      <c r="D150" s="80" t="s">
        <v>958</v>
      </c>
      <c r="E150" s="80" t="s">
        <v>959</v>
      </c>
      <c r="F150" s="80" t="s">
        <v>960</v>
      </c>
      <c r="G150" s="80" t="s">
        <v>961</v>
      </c>
      <c r="H150" s="80" t="s">
        <v>115</v>
      </c>
      <c r="I150" s="80" t="s">
        <v>244</v>
      </c>
      <c r="J150" s="80" t="s">
        <v>117</v>
      </c>
      <c r="K150" s="80">
        <v>1</v>
      </c>
      <c r="L150" s="80" t="s">
        <v>962</v>
      </c>
      <c r="M150" s="80" t="s">
        <v>963</v>
      </c>
      <c r="N150" s="80" t="s">
        <v>120</v>
      </c>
      <c r="O150" s="80" t="s">
        <v>572</v>
      </c>
      <c r="P150" s="80" t="s">
        <v>279</v>
      </c>
      <c r="Q150" s="80" t="s">
        <v>123</v>
      </c>
      <c r="R150" s="80" t="s">
        <v>136</v>
      </c>
      <c r="S150" s="80">
        <v>7</v>
      </c>
      <c r="T150" s="80">
        <v>12</v>
      </c>
      <c r="U150" s="80" t="s">
        <v>328</v>
      </c>
      <c r="V150" s="80" t="s">
        <v>126</v>
      </c>
      <c r="W150" s="80" t="s">
        <v>127</v>
      </c>
      <c r="X150" s="80"/>
      <c r="Y150" s="80"/>
    </row>
    <row r="151" spans="1:25">
      <c r="A151" s="80">
        <f t="shared" si="2"/>
        <v>150</v>
      </c>
      <c r="B151" s="10">
        <v>45965.530266203699</v>
      </c>
      <c r="C151" s="80" t="s">
        <v>320</v>
      </c>
      <c r="D151" s="80" t="s">
        <v>964</v>
      </c>
      <c r="E151" s="80" t="s">
        <v>965</v>
      </c>
      <c r="F151" s="80" t="s">
        <v>966</v>
      </c>
      <c r="G151" s="80" t="s">
        <v>967</v>
      </c>
      <c r="H151" s="80" t="s">
        <v>115</v>
      </c>
      <c r="I151" s="80" t="s">
        <v>865</v>
      </c>
      <c r="J151" s="80" t="s">
        <v>149</v>
      </c>
      <c r="K151" s="80">
        <v>6</v>
      </c>
      <c r="L151" s="80" t="s">
        <v>968</v>
      </c>
      <c r="M151" s="80" t="s">
        <v>969</v>
      </c>
      <c r="N151" s="80" t="s">
        <v>120</v>
      </c>
      <c r="O151" s="80" t="s">
        <v>240</v>
      </c>
      <c r="P151" s="80" t="s">
        <v>135</v>
      </c>
      <c r="Q151" s="80" t="s">
        <v>123</v>
      </c>
      <c r="R151" s="80" t="s">
        <v>174</v>
      </c>
      <c r="S151" s="80">
        <v>1</v>
      </c>
      <c r="T151" s="80">
        <v>18</v>
      </c>
      <c r="U151" s="80" t="s">
        <v>328</v>
      </c>
      <c r="V151" s="80" t="s">
        <v>126</v>
      </c>
      <c r="W151" s="80" t="s">
        <v>127</v>
      </c>
      <c r="X151" s="80"/>
      <c r="Y151" s="80"/>
    </row>
    <row r="152" spans="1:25">
      <c r="A152" s="80">
        <f t="shared" si="2"/>
        <v>151</v>
      </c>
      <c r="B152" s="10">
        <v>45965.531261574099</v>
      </c>
      <c r="C152" s="80" t="s">
        <v>320</v>
      </c>
      <c r="D152" s="80" t="s">
        <v>970</v>
      </c>
      <c r="E152" s="80" t="s">
        <v>971</v>
      </c>
      <c r="F152" s="80" t="s">
        <v>972</v>
      </c>
      <c r="G152" s="80" t="s">
        <v>973</v>
      </c>
      <c r="H152" s="80" t="s">
        <v>115</v>
      </c>
      <c r="I152" s="80" t="s">
        <v>865</v>
      </c>
      <c r="J152" s="80" t="s">
        <v>149</v>
      </c>
      <c r="K152" s="80">
        <v>9</v>
      </c>
      <c r="L152" s="80" t="s">
        <v>974</v>
      </c>
      <c r="M152" s="80" t="s">
        <v>975</v>
      </c>
      <c r="N152" s="80" t="s">
        <v>120</v>
      </c>
      <c r="O152" s="80" t="s">
        <v>976</v>
      </c>
      <c r="P152" s="80" t="s">
        <v>612</v>
      </c>
      <c r="Q152" s="80" t="s">
        <v>123</v>
      </c>
      <c r="R152" s="80" t="s">
        <v>174</v>
      </c>
      <c r="S152" s="80">
        <v>1</v>
      </c>
      <c r="T152" s="80">
        <v>12</v>
      </c>
      <c r="U152" s="80" t="s">
        <v>328</v>
      </c>
      <c r="V152" s="80" t="s">
        <v>126</v>
      </c>
      <c r="W152" s="80" t="s">
        <v>127</v>
      </c>
      <c r="X152" s="80"/>
      <c r="Y152" s="80"/>
    </row>
    <row r="153" spans="1:25">
      <c r="A153" s="80">
        <f t="shared" si="2"/>
        <v>152</v>
      </c>
      <c r="B153" s="10">
        <v>45965.533599536997</v>
      </c>
      <c r="C153" s="80" t="s">
        <v>604</v>
      </c>
      <c r="D153" s="80" t="s">
        <v>977</v>
      </c>
      <c r="E153" s="80" t="s">
        <v>978</v>
      </c>
      <c r="F153" s="80" t="s">
        <v>979</v>
      </c>
      <c r="G153" s="80" t="s">
        <v>980</v>
      </c>
      <c r="H153" s="80" t="s">
        <v>115</v>
      </c>
      <c r="I153" s="80" t="s">
        <v>237</v>
      </c>
      <c r="J153" s="80" t="s">
        <v>117</v>
      </c>
      <c r="K153" s="80">
        <v>8</v>
      </c>
      <c r="L153" s="80" t="s">
        <v>981</v>
      </c>
      <c r="M153" s="80" t="s">
        <v>982</v>
      </c>
      <c r="N153" s="80" t="s">
        <v>164</v>
      </c>
      <c r="O153" s="80" t="s">
        <v>983</v>
      </c>
      <c r="P153" s="80" t="s">
        <v>287</v>
      </c>
      <c r="Q153" s="80" t="s">
        <v>123</v>
      </c>
      <c r="R153" s="80" t="s">
        <v>174</v>
      </c>
      <c r="S153" s="80">
        <v>4</v>
      </c>
      <c r="T153" s="80">
        <v>6</v>
      </c>
      <c r="U153" s="80" t="s">
        <v>613</v>
      </c>
      <c r="V153" s="80" t="s">
        <v>126</v>
      </c>
      <c r="W153" s="80" t="s">
        <v>127</v>
      </c>
      <c r="X153" s="80"/>
      <c r="Y153" s="80"/>
    </row>
    <row r="154" spans="1:25">
      <c r="A154" s="80">
        <f t="shared" si="2"/>
        <v>153</v>
      </c>
      <c r="B154" s="10">
        <v>45965.546099537001</v>
      </c>
      <c r="C154" s="80" t="s">
        <v>320</v>
      </c>
      <c r="D154" s="80" t="s">
        <v>984</v>
      </c>
      <c r="E154" s="80" t="s">
        <v>985</v>
      </c>
      <c r="F154" s="80" t="s">
        <v>986</v>
      </c>
      <c r="G154" s="80" t="s">
        <v>987</v>
      </c>
      <c r="H154" s="80" t="s">
        <v>115</v>
      </c>
      <c r="I154" s="80" t="s">
        <v>865</v>
      </c>
      <c r="J154" s="80" t="s">
        <v>117</v>
      </c>
      <c r="K154" s="80">
        <v>15</v>
      </c>
      <c r="L154" s="80" t="s">
        <v>988</v>
      </c>
      <c r="M154" s="80" t="s">
        <v>989</v>
      </c>
      <c r="N154" s="80" t="s">
        <v>120</v>
      </c>
      <c r="O154" s="80" t="s">
        <v>990</v>
      </c>
      <c r="P154" s="80" t="s">
        <v>269</v>
      </c>
      <c r="Q154" s="80" t="s">
        <v>123</v>
      </c>
      <c r="R154" s="80" t="s">
        <v>174</v>
      </c>
      <c r="S154" s="80">
        <v>7</v>
      </c>
      <c r="T154" s="80">
        <v>12</v>
      </c>
      <c r="U154" s="80" t="s">
        <v>328</v>
      </c>
      <c r="V154" s="80" t="s">
        <v>126</v>
      </c>
      <c r="W154" s="80" t="s">
        <v>127</v>
      </c>
      <c r="X154" s="80"/>
      <c r="Y154" s="80"/>
    </row>
    <row r="155" spans="1:25">
      <c r="A155" s="80">
        <f t="shared" si="2"/>
        <v>154</v>
      </c>
      <c r="B155" s="10">
        <v>45965.546319444402</v>
      </c>
      <c r="C155" s="80" t="s">
        <v>320</v>
      </c>
      <c r="D155" s="80" t="s">
        <v>984</v>
      </c>
      <c r="E155" s="80" t="s">
        <v>635</v>
      </c>
      <c r="F155" s="80" t="s">
        <v>636</v>
      </c>
      <c r="G155" s="80" t="s">
        <v>637</v>
      </c>
      <c r="H155" s="80" t="s">
        <v>115</v>
      </c>
      <c r="I155" s="80" t="s">
        <v>244</v>
      </c>
      <c r="J155" s="80" t="s">
        <v>117</v>
      </c>
      <c r="K155" s="80">
        <v>24</v>
      </c>
      <c r="L155" s="80" t="s">
        <v>638</v>
      </c>
      <c r="M155" s="80" t="s">
        <v>639</v>
      </c>
      <c r="N155" s="80" t="s">
        <v>120</v>
      </c>
      <c r="O155" s="80" t="s">
        <v>152</v>
      </c>
      <c r="P155" s="80" t="s">
        <v>135</v>
      </c>
      <c r="Q155" s="80" t="s">
        <v>123</v>
      </c>
      <c r="R155" s="80" t="s">
        <v>174</v>
      </c>
      <c r="S155" s="80">
        <v>19</v>
      </c>
      <c r="T155" s="80">
        <v>24</v>
      </c>
      <c r="U155" s="80" t="s">
        <v>328</v>
      </c>
      <c r="V155" s="80" t="s">
        <v>126</v>
      </c>
      <c r="W155" s="80" t="s">
        <v>127</v>
      </c>
      <c r="X155" s="80"/>
      <c r="Y155" s="80"/>
    </row>
    <row r="156" spans="1:25">
      <c r="A156" s="80">
        <f t="shared" si="2"/>
        <v>155</v>
      </c>
      <c r="B156" s="10">
        <v>45965.549664351798</v>
      </c>
      <c r="C156" s="80" t="s">
        <v>563</v>
      </c>
      <c r="D156" s="80" t="s">
        <v>991</v>
      </c>
      <c r="E156" s="80" t="s">
        <v>675</v>
      </c>
      <c r="F156" s="80" t="s">
        <v>676</v>
      </c>
      <c r="G156" s="80" t="s">
        <v>677</v>
      </c>
      <c r="H156" s="80" t="s">
        <v>115</v>
      </c>
      <c r="I156" s="80" t="s">
        <v>842</v>
      </c>
      <c r="J156" s="80" t="s">
        <v>117</v>
      </c>
      <c r="K156" s="80">
        <v>1</v>
      </c>
      <c r="L156" s="80" t="s">
        <v>678</v>
      </c>
      <c r="M156" s="80" t="s">
        <v>679</v>
      </c>
      <c r="N156" s="80" t="s">
        <v>120</v>
      </c>
      <c r="O156" s="80" t="s">
        <v>371</v>
      </c>
      <c r="P156" s="80" t="s">
        <v>135</v>
      </c>
      <c r="Q156" s="80" t="s">
        <v>123</v>
      </c>
      <c r="R156" s="80" t="s">
        <v>136</v>
      </c>
      <c r="S156" s="80">
        <v>5</v>
      </c>
      <c r="T156" s="80">
        <v>12</v>
      </c>
      <c r="U156" s="80" t="s">
        <v>565</v>
      </c>
      <c r="V156" s="80" t="s">
        <v>126</v>
      </c>
      <c r="W156" s="80" t="s">
        <v>127</v>
      </c>
      <c r="X156" s="80"/>
      <c r="Y156" s="80"/>
    </row>
    <row r="157" spans="1:25">
      <c r="A157" s="80">
        <f t="shared" si="2"/>
        <v>156</v>
      </c>
      <c r="B157" s="10">
        <v>45965.55</v>
      </c>
      <c r="C157" s="80" t="s">
        <v>320</v>
      </c>
      <c r="D157" s="80" t="s">
        <v>992</v>
      </c>
      <c r="E157" s="80" t="s">
        <v>993</v>
      </c>
      <c r="F157" s="80" t="s">
        <v>994</v>
      </c>
      <c r="G157" s="80" t="s">
        <v>995</v>
      </c>
      <c r="H157" s="80" t="s">
        <v>115</v>
      </c>
      <c r="I157" s="80" t="s">
        <v>237</v>
      </c>
      <c r="J157" s="80" t="s">
        <v>117</v>
      </c>
      <c r="K157" s="80">
        <v>15</v>
      </c>
      <c r="L157" s="80" t="s">
        <v>996</v>
      </c>
      <c r="M157" s="80" t="s">
        <v>997</v>
      </c>
      <c r="N157" s="80" t="s">
        <v>120</v>
      </c>
      <c r="O157" s="80" t="s">
        <v>240</v>
      </c>
      <c r="P157" s="80" t="s">
        <v>135</v>
      </c>
      <c r="Q157" s="80" t="s">
        <v>123</v>
      </c>
      <c r="R157" s="80" t="s">
        <v>174</v>
      </c>
      <c r="S157" s="80">
        <v>9</v>
      </c>
      <c r="T157" s="80">
        <v>24</v>
      </c>
      <c r="U157" s="80" t="s">
        <v>328</v>
      </c>
      <c r="V157" s="80" t="s">
        <v>126</v>
      </c>
      <c r="W157" s="80" t="s">
        <v>127</v>
      </c>
      <c r="X157" s="80"/>
      <c r="Y157" s="80"/>
    </row>
    <row r="158" spans="1:25">
      <c r="A158" s="80">
        <f t="shared" si="2"/>
        <v>157</v>
      </c>
      <c r="B158" s="10">
        <v>45965.552638888897</v>
      </c>
      <c r="C158" s="80" t="s">
        <v>553</v>
      </c>
      <c r="D158" s="80" t="s">
        <v>998</v>
      </c>
      <c r="E158" s="80" t="s">
        <v>999</v>
      </c>
      <c r="F158" s="80" t="s">
        <v>1000</v>
      </c>
      <c r="G158" s="80" t="s">
        <v>1001</v>
      </c>
      <c r="H158" s="80" t="s">
        <v>115</v>
      </c>
      <c r="I158" s="80" t="s">
        <v>842</v>
      </c>
      <c r="J158" s="80" t="s">
        <v>117</v>
      </c>
      <c r="K158" s="80">
        <v>1</v>
      </c>
      <c r="L158" s="80" t="s">
        <v>1002</v>
      </c>
      <c r="M158" s="80" t="s">
        <v>1003</v>
      </c>
      <c r="N158" s="80" t="s">
        <v>120</v>
      </c>
      <c r="O158" s="80" t="s">
        <v>152</v>
      </c>
      <c r="P158" s="80" t="s">
        <v>135</v>
      </c>
      <c r="Q158" s="80" t="s">
        <v>123</v>
      </c>
      <c r="R158" s="80" t="s">
        <v>124</v>
      </c>
      <c r="S158" s="80">
        <v>14</v>
      </c>
      <c r="T158" s="80">
        <v>18</v>
      </c>
      <c r="U158" s="80" t="s">
        <v>562</v>
      </c>
      <c r="V158" s="80" t="s">
        <v>126</v>
      </c>
      <c r="W158" s="80" t="s">
        <v>127</v>
      </c>
      <c r="X158" s="80"/>
      <c r="Y158" s="80"/>
    </row>
    <row r="159" spans="1:25">
      <c r="A159" s="80">
        <f t="shared" si="2"/>
        <v>158</v>
      </c>
      <c r="B159" s="10">
        <v>45965.554085648102</v>
      </c>
      <c r="C159" s="80" t="s">
        <v>320</v>
      </c>
      <c r="D159" s="80" t="s">
        <v>1004</v>
      </c>
      <c r="E159" s="80" t="s">
        <v>437</v>
      </c>
      <c r="F159" s="80" t="s">
        <v>438</v>
      </c>
      <c r="G159" s="80" t="s">
        <v>439</v>
      </c>
      <c r="H159" s="80" t="s">
        <v>115</v>
      </c>
      <c r="I159" s="80" t="s">
        <v>865</v>
      </c>
      <c r="J159" s="80" t="s">
        <v>117</v>
      </c>
      <c r="K159" s="80">
        <v>6</v>
      </c>
      <c r="L159" s="80" t="s">
        <v>440</v>
      </c>
      <c r="M159" s="80" t="s">
        <v>441</v>
      </c>
      <c r="N159" s="80" t="s">
        <v>120</v>
      </c>
      <c r="O159" s="80" t="s">
        <v>213</v>
      </c>
      <c r="P159" s="80" t="s">
        <v>135</v>
      </c>
      <c r="Q159" s="80" t="s">
        <v>123</v>
      </c>
      <c r="R159" s="80" t="s">
        <v>174</v>
      </c>
      <c r="S159" s="80">
        <v>16</v>
      </c>
      <c r="T159" s="80">
        <v>24</v>
      </c>
      <c r="U159" s="80" t="s">
        <v>328</v>
      </c>
      <c r="V159" s="80" t="s">
        <v>126</v>
      </c>
      <c r="W159" s="80" t="s">
        <v>127</v>
      </c>
      <c r="X159" s="80"/>
      <c r="Y159" s="80"/>
    </row>
    <row r="160" spans="1:25">
      <c r="A160" s="80">
        <f t="shared" si="2"/>
        <v>159</v>
      </c>
      <c r="B160" s="10">
        <v>45965.5541435185</v>
      </c>
      <c r="C160" s="80" t="s">
        <v>553</v>
      </c>
      <c r="D160" s="80" t="s">
        <v>1005</v>
      </c>
      <c r="E160" s="80" t="s">
        <v>1006</v>
      </c>
      <c r="F160" s="80" t="s">
        <v>1007</v>
      </c>
      <c r="G160" s="80" t="s">
        <v>1008</v>
      </c>
      <c r="H160" s="80" t="s">
        <v>115</v>
      </c>
      <c r="I160" s="80" t="s">
        <v>865</v>
      </c>
      <c r="J160" s="80" t="s">
        <v>117</v>
      </c>
      <c r="K160" s="80">
        <v>16</v>
      </c>
      <c r="L160" s="80" t="s">
        <v>1009</v>
      </c>
      <c r="M160" s="80" t="s">
        <v>1010</v>
      </c>
      <c r="N160" s="80" t="s">
        <v>120</v>
      </c>
      <c r="O160" s="80" t="s">
        <v>1011</v>
      </c>
      <c r="P160" s="80" t="s">
        <v>135</v>
      </c>
      <c r="Q160" s="80" t="s">
        <v>123</v>
      </c>
      <c r="R160" s="80" t="s">
        <v>174</v>
      </c>
      <c r="S160" s="80">
        <v>4</v>
      </c>
      <c r="T160" s="80">
        <v>24</v>
      </c>
      <c r="U160" s="80" t="s">
        <v>562</v>
      </c>
      <c r="V160" s="80" t="s">
        <v>126</v>
      </c>
      <c r="W160" s="80" t="s">
        <v>127</v>
      </c>
      <c r="X160" s="80"/>
      <c r="Y160" s="80"/>
    </row>
    <row r="161" spans="1:25">
      <c r="A161" s="80">
        <f t="shared" si="2"/>
        <v>160</v>
      </c>
      <c r="B161" s="10">
        <v>45965.555567129602</v>
      </c>
      <c r="C161" s="80" t="s">
        <v>563</v>
      </c>
      <c r="D161" s="80" t="s">
        <v>1012</v>
      </c>
      <c r="E161" s="80" t="s">
        <v>437</v>
      </c>
      <c r="F161" s="80" t="s">
        <v>438</v>
      </c>
      <c r="G161" s="80" t="s">
        <v>439</v>
      </c>
      <c r="H161" s="80" t="s">
        <v>115</v>
      </c>
      <c r="I161" s="80" t="s">
        <v>865</v>
      </c>
      <c r="J161" s="80" t="s">
        <v>117</v>
      </c>
      <c r="K161" s="80">
        <v>6</v>
      </c>
      <c r="L161" s="80" t="s">
        <v>440</v>
      </c>
      <c r="M161" s="80" t="s">
        <v>441</v>
      </c>
      <c r="N161" s="80" t="s">
        <v>120</v>
      </c>
      <c r="O161" s="80" t="s">
        <v>213</v>
      </c>
      <c r="P161" s="80" t="s">
        <v>135</v>
      </c>
      <c r="Q161" s="80" t="s">
        <v>123</v>
      </c>
      <c r="R161" s="80" t="s">
        <v>174</v>
      </c>
      <c r="S161" s="80">
        <v>16</v>
      </c>
      <c r="T161" s="80">
        <v>24</v>
      </c>
      <c r="U161" s="80" t="s">
        <v>565</v>
      </c>
      <c r="V161" s="80" t="s">
        <v>126</v>
      </c>
      <c r="W161" s="80" t="s">
        <v>127</v>
      </c>
      <c r="X161" s="80"/>
      <c r="Y161" s="80"/>
    </row>
    <row r="162" spans="1:25">
      <c r="A162" s="80">
        <f t="shared" si="2"/>
        <v>161</v>
      </c>
      <c r="B162" s="10">
        <v>45965.555717592601</v>
      </c>
      <c r="C162" s="80" t="s">
        <v>604</v>
      </c>
      <c r="D162" s="80" t="s">
        <v>1013</v>
      </c>
      <c r="E162" s="80" t="s">
        <v>437</v>
      </c>
      <c r="F162" s="80" t="s">
        <v>438</v>
      </c>
      <c r="G162" s="80" t="s">
        <v>439</v>
      </c>
      <c r="H162" s="80" t="s">
        <v>115</v>
      </c>
      <c r="I162" s="80" t="s">
        <v>865</v>
      </c>
      <c r="J162" s="80" t="s">
        <v>117</v>
      </c>
      <c r="K162" s="80">
        <v>6</v>
      </c>
      <c r="L162" s="80" t="s">
        <v>440</v>
      </c>
      <c r="M162" s="80" t="s">
        <v>441</v>
      </c>
      <c r="N162" s="80" t="s">
        <v>120</v>
      </c>
      <c r="O162" s="80" t="s">
        <v>213</v>
      </c>
      <c r="P162" s="80" t="s">
        <v>135</v>
      </c>
      <c r="Q162" s="80" t="s">
        <v>123</v>
      </c>
      <c r="R162" s="80" t="s">
        <v>174</v>
      </c>
      <c r="S162" s="80">
        <v>16</v>
      </c>
      <c r="T162" s="80">
        <v>24</v>
      </c>
      <c r="U162" s="80" t="s">
        <v>613</v>
      </c>
      <c r="V162" s="80" t="s">
        <v>126</v>
      </c>
      <c r="W162" s="80" t="s">
        <v>127</v>
      </c>
      <c r="X162" s="80"/>
      <c r="Y162" s="80"/>
    </row>
    <row r="163" spans="1:25">
      <c r="A163" s="80">
        <f t="shared" si="2"/>
        <v>162</v>
      </c>
      <c r="B163" s="10">
        <v>45965.559374999997</v>
      </c>
      <c r="C163" s="80" t="s">
        <v>840</v>
      </c>
      <c r="D163" s="80" t="s">
        <v>1014</v>
      </c>
      <c r="E163" s="80" t="s">
        <v>437</v>
      </c>
      <c r="F163" s="80" t="s">
        <v>438</v>
      </c>
      <c r="G163" s="80" t="s">
        <v>439</v>
      </c>
      <c r="H163" s="80" t="s">
        <v>115</v>
      </c>
      <c r="I163" s="80" t="s">
        <v>865</v>
      </c>
      <c r="J163" s="80" t="s">
        <v>117</v>
      </c>
      <c r="K163" s="80">
        <v>6</v>
      </c>
      <c r="L163" s="80" t="s">
        <v>440</v>
      </c>
      <c r="M163" s="80" t="s">
        <v>441</v>
      </c>
      <c r="N163" s="80" t="s">
        <v>120</v>
      </c>
      <c r="O163" s="80" t="s">
        <v>213</v>
      </c>
      <c r="P163" s="80" t="s">
        <v>135</v>
      </c>
      <c r="Q163" s="80" t="s">
        <v>123</v>
      </c>
      <c r="R163" s="80" t="s">
        <v>174</v>
      </c>
      <c r="S163" s="80">
        <v>16</v>
      </c>
      <c r="T163" s="80">
        <v>24</v>
      </c>
      <c r="U163" s="80" t="s">
        <v>843</v>
      </c>
      <c r="V163" s="80" t="s">
        <v>126</v>
      </c>
      <c r="W163" s="80" t="s">
        <v>127</v>
      </c>
      <c r="X163" s="80"/>
      <c r="Y163" s="80"/>
    </row>
    <row r="164" spans="1:25">
      <c r="A164" s="80">
        <f t="shared" si="2"/>
        <v>163</v>
      </c>
      <c r="B164" s="10">
        <v>45965.559467592597</v>
      </c>
      <c r="C164" s="80" t="s">
        <v>222</v>
      </c>
      <c r="D164" s="80" t="s">
        <v>1015</v>
      </c>
      <c r="E164" s="80" t="s">
        <v>1016</v>
      </c>
      <c r="F164" s="80" t="s">
        <v>1017</v>
      </c>
      <c r="G164" s="80" t="s">
        <v>1018</v>
      </c>
      <c r="H164" s="80" t="s">
        <v>174</v>
      </c>
      <c r="I164" s="80" t="s">
        <v>174</v>
      </c>
      <c r="J164" s="80" t="s">
        <v>149</v>
      </c>
      <c r="K164" s="80">
        <v>1</v>
      </c>
      <c r="L164" s="80" t="s">
        <v>1019</v>
      </c>
      <c r="M164" s="80" t="s">
        <v>1020</v>
      </c>
      <c r="N164" s="80" t="s">
        <v>120</v>
      </c>
      <c r="O164" s="80" t="s">
        <v>449</v>
      </c>
      <c r="P164" s="80" t="s">
        <v>178</v>
      </c>
      <c r="Q164" s="80" t="s">
        <v>123</v>
      </c>
      <c r="R164" s="80" t="s">
        <v>174</v>
      </c>
      <c r="S164" s="80">
        <v>1</v>
      </c>
      <c r="T164" s="80">
        <v>18</v>
      </c>
      <c r="U164" s="80" t="s">
        <v>232</v>
      </c>
      <c r="V164" s="80" t="s">
        <v>126</v>
      </c>
      <c r="W164" s="80" t="s">
        <v>127</v>
      </c>
      <c r="X164" s="80"/>
      <c r="Y164" s="80"/>
    </row>
    <row r="165" spans="1:25">
      <c r="A165" s="80">
        <f t="shared" si="2"/>
        <v>164</v>
      </c>
      <c r="B165" s="10">
        <v>45965.559976851902</v>
      </c>
      <c r="C165" s="80" t="s">
        <v>320</v>
      </c>
      <c r="D165" s="80" t="s">
        <v>1021</v>
      </c>
      <c r="E165" s="80" t="s">
        <v>1022</v>
      </c>
      <c r="F165" s="80" t="s">
        <v>1023</v>
      </c>
      <c r="G165" s="80" t="s">
        <v>1024</v>
      </c>
      <c r="H165" s="80" t="s">
        <v>115</v>
      </c>
      <c r="I165" s="80" t="s">
        <v>842</v>
      </c>
      <c r="J165" s="80" t="s">
        <v>117</v>
      </c>
      <c r="K165" s="80">
        <v>3</v>
      </c>
      <c r="L165" s="80" t="s">
        <v>1025</v>
      </c>
      <c r="M165" s="80" t="s">
        <v>1026</v>
      </c>
      <c r="N165" s="80" t="s">
        <v>120</v>
      </c>
      <c r="O165" s="80" t="s">
        <v>187</v>
      </c>
      <c r="P165" s="80" t="s">
        <v>279</v>
      </c>
      <c r="Q165" s="80" t="s">
        <v>123</v>
      </c>
      <c r="R165" s="80" t="s">
        <v>136</v>
      </c>
      <c r="S165" s="80">
        <v>5</v>
      </c>
      <c r="T165" s="80">
        <v>24</v>
      </c>
      <c r="U165" s="80" t="s">
        <v>328</v>
      </c>
      <c r="V165" s="80" t="s">
        <v>126</v>
      </c>
      <c r="W165" s="80" t="s">
        <v>127</v>
      </c>
      <c r="X165" s="80"/>
      <c r="Y165" s="80"/>
    </row>
    <row r="166" spans="1:25">
      <c r="A166" s="80">
        <f t="shared" si="2"/>
        <v>165</v>
      </c>
      <c r="B166" s="10">
        <v>45965.5619560185</v>
      </c>
      <c r="C166" s="80" t="s">
        <v>553</v>
      </c>
      <c r="D166" s="80" t="s">
        <v>1027</v>
      </c>
      <c r="E166" s="80" t="s">
        <v>1028</v>
      </c>
      <c r="F166" s="80" t="s">
        <v>1029</v>
      </c>
      <c r="G166" s="80" t="s">
        <v>1030</v>
      </c>
      <c r="H166" s="80" t="s">
        <v>115</v>
      </c>
      <c r="I166" s="80" t="s">
        <v>865</v>
      </c>
      <c r="J166" s="80" t="s">
        <v>117</v>
      </c>
      <c r="K166" s="80">
        <v>3</v>
      </c>
      <c r="L166" s="80" t="s">
        <v>1031</v>
      </c>
      <c r="M166" s="80" t="s">
        <v>1032</v>
      </c>
      <c r="N166" s="80" t="s">
        <v>120</v>
      </c>
      <c r="O166" s="80" t="s">
        <v>187</v>
      </c>
      <c r="P166" s="80" t="s">
        <v>178</v>
      </c>
      <c r="Q166" s="80" t="s">
        <v>123</v>
      </c>
      <c r="R166" s="80" t="s">
        <v>124</v>
      </c>
      <c r="S166" s="80">
        <v>10</v>
      </c>
      <c r="T166" s="80">
        <v>12</v>
      </c>
      <c r="U166" s="80" t="s">
        <v>562</v>
      </c>
      <c r="V166" s="80" t="s">
        <v>126</v>
      </c>
      <c r="W166" s="80" t="s">
        <v>127</v>
      </c>
      <c r="X166" s="80"/>
      <c r="Y166" s="80"/>
    </row>
    <row r="167" spans="1:25">
      <c r="A167" s="80">
        <f t="shared" si="2"/>
        <v>166</v>
      </c>
      <c r="B167" s="10">
        <v>45965.5629050926</v>
      </c>
      <c r="C167" s="80" t="s">
        <v>840</v>
      </c>
      <c r="D167" s="80" t="s">
        <v>1033</v>
      </c>
      <c r="E167" s="80" t="s">
        <v>1034</v>
      </c>
      <c r="F167" s="80" t="s">
        <v>1035</v>
      </c>
      <c r="G167" s="80" t="s">
        <v>1036</v>
      </c>
      <c r="H167" s="80" t="s">
        <v>115</v>
      </c>
      <c r="I167" s="80" t="s">
        <v>842</v>
      </c>
      <c r="J167" s="80" t="s">
        <v>149</v>
      </c>
      <c r="K167" s="80">
        <v>10</v>
      </c>
      <c r="L167" s="80" t="s">
        <v>1037</v>
      </c>
      <c r="M167" s="80" t="s">
        <v>1038</v>
      </c>
      <c r="N167" s="80" t="s">
        <v>120</v>
      </c>
      <c r="O167" s="80" t="s">
        <v>152</v>
      </c>
      <c r="P167" s="80" t="s">
        <v>135</v>
      </c>
      <c r="Q167" s="80" t="s">
        <v>123</v>
      </c>
      <c r="R167" s="80" t="s">
        <v>174</v>
      </c>
      <c r="S167" s="80">
        <v>2</v>
      </c>
      <c r="T167" s="80">
        <v>12</v>
      </c>
      <c r="U167" s="80" t="s">
        <v>843</v>
      </c>
      <c r="V167" s="80" t="s">
        <v>126</v>
      </c>
      <c r="W167" s="80" t="s">
        <v>127</v>
      </c>
      <c r="X167" s="80"/>
      <c r="Y167" s="80"/>
    </row>
    <row r="168" spans="1:25">
      <c r="A168" s="80">
        <f t="shared" si="2"/>
        <v>167</v>
      </c>
      <c r="B168" s="10">
        <v>45965.562916666699</v>
      </c>
      <c r="C168" s="80" t="s">
        <v>553</v>
      </c>
      <c r="D168" s="80" t="s">
        <v>1039</v>
      </c>
      <c r="E168" s="80" t="s">
        <v>1034</v>
      </c>
      <c r="F168" s="80" t="s">
        <v>1035</v>
      </c>
      <c r="G168" s="80" t="s">
        <v>1036</v>
      </c>
      <c r="H168" s="80" t="s">
        <v>115</v>
      </c>
      <c r="I168" s="80" t="s">
        <v>842</v>
      </c>
      <c r="J168" s="80" t="s">
        <v>149</v>
      </c>
      <c r="K168" s="80">
        <v>10</v>
      </c>
      <c r="L168" s="80" t="s">
        <v>1037</v>
      </c>
      <c r="M168" s="80" t="s">
        <v>1038</v>
      </c>
      <c r="N168" s="80" t="s">
        <v>120</v>
      </c>
      <c r="O168" s="80" t="s">
        <v>152</v>
      </c>
      <c r="P168" s="80" t="s">
        <v>135</v>
      </c>
      <c r="Q168" s="80" t="s">
        <v>123</v>
      </c>
      <c r="R168" s="80" t="s">
        <v>174</v>
      </c>
      <c r="S168" s="80">
        <v>2</v>
      </c>
      <c r="T168" s="80">
        <v>12</v>
      </c>
      <c r="U168" s="80" t="s">
        <v>562</v>
      </c>
      <c r="V168" s="80" t="s">
        <v>126</v>
      </c>
      <c r="W168" s="80" t="s">
        <v>127</v>
      </c>
      <c r="X168" s="80"/>
      <c r="Y168" s="80"/>
    </row>
    <row r="169" spans="1:25">
      <c r="A169" s="80">
        <f t="shared" si="2"/>
        <v>168</v>
      </c>
      <c r="B169" s="10">
        <v>45965.568703703699</v>
      </c>
      <c r="C169" s="80" t="s">
        <v>222</v>
      </c>
      <c r="D169" s="80" t="s">
        <v>1040</v>
      </c>
      <c r="E169" s="80" t="s">
        <v>1041</v>
      </c>
      <c r="F169" s="80" t="s">
        <v>1042</v>
      </c>
      <c r="G169" s="80" t="s">
        <v>1043</v>
      </c>
      <c r="H169" s="80" t="s">
        <v>115</v>
      </c>
      <c r="I169" s="80" t="s">
        <v>865</v>
      </c>
      <c r="J169" s="80" t="s">
        <v>149</v>
      </c>
      <c r="K169" s="80">
        <v>20</v>
      </c>
      <c r="L169" s="80" t="s">
        <v>1044</v>
      </c>
      <c r="M169" s="80" t="s">
        <v>1045</v>
      </c>
      <c r="N169" s="80" t="s">
        <v>120</v>
      </c>
      <c r="O169" s="80" t="s">
        <v>449</v>
      </c>
      <c r="P169" s="80" t="s">
        <v>135</v>
      </c>
      <c r="Q169" s="80" t="s">
        <v>123</v>
      </c>
      <c r="R169" s="80" t="s">
        <v>174</v>
      </c>
      <c r="S169" s="80">
        <v>1</v>
      </c>
      <c r="T169" s="80">
        <v>18</v>
      </c>
      <c r="U169" s="80" t="s">
        <v>232</v>
      </c>
      <c r="V169" s="80" t="s">
        <v>126</v>
      </c>
      <c r="W169" s="80" t="s">
        <v>127</v>
      </c>
      <c r="X169" s="80"/>
      <c r="Y169" s="80"/>
    </row>
    <row r="170" spans="1:25">
      <c r="A170" s="80">
        <f t="shared" si="2"/>
        <v>169</v>
      </c>
      <c r="B170" s="10">
        <v>45965.570648148103</v>
      </c>
      <c r="C170" s="80" t="s">
        <v>280</v>
      </c>
      <c r="D170" s="80" t="s">
        <v>1046</v>
      </c>
      <c r="E170" s="80" t="s">
        <v>1047</v>
      </c>
      <c r="F170" s="80" t="s">
        <v>1048</v>
      </c>
      <c r="G170" s="80" t="s">
        <v>1049</v>
      </c>
      <c r="H170" s="80" t="s">
        <v>115</v>
      </c>
      <c r="I170" s="80" t="s">
        <v>842</v>
      </c>
      <c r="J170" s="80" t="s">
        <v>117</v>
      </c>
      <c r="K170" s="80">
        <v>14</v>
      </c>
      <c r="L170" s="80" t="s">
        <v>1050</v>
      </c>
      <c r="M170" s="80" t="s">
        <v>1051</v>
      </c>
      <c r="N170" s="80" t="s">
        <v>120</v>
      </c>
      <c r="O170" s="80" t="s">
        <v>152</v>
      </c>
      <c r="P170" s="80" t="s">
        <v>135</v>
      </c>
      <c r="Q170" s="80" t="s">
        <v>123</v>
      </c>
      <c r="R170" s="80" t="s">
        <v>174</v>
      </c>
      <c r="S170" s="80">
        <v>17</v>
      </c>
      <c r="T170" s="80">
        <v>18</v>
      </c>
      <c r="U170" s="80" t="s">
        <v>288</v>
      </c>
      <c r="V170" s="80" t="s">
        <v>126</v>
      </c>
      <c r="W170" s="80" t="s">
        <v>127</v>
      </c>
      <c r="X170" s="80"/>
      <c r="Y170" s="80"/>
    </row>
    <row r="171" spans="1:25">
      <c r="A171" s="80">
        <f t="shared" si="2"/>
        <v>170</v>
      </c>
      <c r="B171" s="10">
        <v>45965.571956018503</v>
      </c>
      <c r="C171" s="80" t="s">
        <v>280</v>
      </c>
      <c r="D171" s="80" t="s">
        <v>1052</v>
      </c>
      <c r="E171" s="80" t="s">
        <v>1053</v>
      </c>
      <c r="F171" s="80" t="s">
        <v>1054</v>
      </c>
      <c r="G171" s="80" t="s">
        <v>1055</v>
      </c>
      <c r="H171" s="80" t="s">
        <v>115</v>
      </c>
      <c r="I171" s="80" t="s">
        <v>865</v>
      </c>
      <c r="J171" s="80" t="s">
        <v>117</v>
      </c>
      <c r="K171" s="80">
        <v>12</v>
      </c>
      <c r="L171" s="80" t="s">
        <v>1056</v>
      </c>
      <c r="M171" s="80" t="s">
        <v>1057</v>
      </c>
      <c r="N171" s="80" t="s">
        <v>120</v>
      </c>
      <c r="O171" s="80" t="s">
        <v>510</v>
      </c>
      <c r="P171" s="80" t="s">
        <v>295</v>
      </c>
      <c r="Q171" s="80" t="s">
        <v>123</v>
      </c>
      <c r="R171" s="80" t="s">
        <v>174</v>
      </c>
      <c r="S171" s="80">
        <v>4</v>
      </c>
      <c r="T171" s="80">
        <v>18</v>
      </c>
      <c r="U171" s="80" t="s">
        <v>288</v>
      </c>
      <c r="V171" s="80" t="s">
        <v>126</v>
      </c>
      <c r="W171" s="80" t="s">
        <v>127</v>
      </c>
      <c r="X171" s="80"/>
      <c r="Y171" s="80"/>
    </row>
    <row r="172" spans="1:25">
      <c r="A172" s="80">
        <f t="shared" si="2"/>
        <v>171</v>
      </c>
      <c r="B172" s="10">
        <v>45965.572071759299</v>
      </c>
      <c r="C172" s="80" t="s">
        <v>359</v>
      </c>
      <c r="D172" s="80" t="s">
        <v>1058</v>
      </c>
      <c r="E172" s="80" t="s">
        <v>1053</v>
      </c>
      <c r="F172" s="80" t="s">
        <v>1054</v>
      </c>
      <c r="G172" s="80" t="s">
        <v>1055</v>
      </c>
      <c r="H172" s="80" t="s">
        <v>115</v>
      </c>
      <c r="I172" s="80" t="s">
        <v>865</v>
      </c>
      <c r="J172" s="80" t="s">
        <v>117</v>
      </c>
      <c r="K172" s="80">
        <v>12</v>
      </c>
      <c r="L172" s="80" t="s">
        <v>1056</v>
      </c>
      <c r="M172" s="80" t="s">
        <v>1057</v>
      </c>
      <c r="N172" s="80" t="s">
        <v>120</v>
      </c>
      <c r="O172" s="80" t="s">
        <v>510</v>
      </c>
      <c r="P172" s="80" t="s">
        <v>295</v>
      </c>
      <c r="Q172" s="80" t="s">
        <v>123</v>
      </c>
      <c r="R172" s="80" t="s">
        <v>174</v>
      </c>
      <c r="S172" s="80">
        <v>4</v>
      </c>
      <c r="T172" s="80">
        <v>18</v>
      </c>
      <c r="U172" s="80" t="s">
        <v>361</v>
      </c>
      <c r="V172" s="80" t="s">
        <v>126</v>
      </c>
      <c r="W172" s="80" t="s">
        <v>127</v>
      </c>
      <c r="X172" s="80"/>
      <c r="Y172" s="80"/>
    </row>
    <row r="173" spans="1:25">
      <c r="A173" s="80">
        <f t="shared" si="2"/>
        <v>172</v>
      </c>
      <c r="B173" s="10">
        <v>45965.577708333301</v>
      </c>
      <c r="C173" s="80" t="s">
        <v>222</v>
      </c>
      <c r="D173" s="80" t="s">
        <v>1059</v>
      </c>
      <c r="E173" s="80" t="s">
        <v>1060</v>
      </c>
      <c r="F173" s="80" t="s">
        <v>1061</v>
      </c>
      <c r="G173" s="80" t="s">
        <v>1062</v>
      </c>
      <c r="H173" s="80" t="s">
        <v>115</v>
      </c>
      <c r="I173" s="80" t="s">
        <v>865</v>
      </c>
      <c r="J173" s="80" t="s">
        <v>117</v>
      </c>
      <c r="K173" s="80">
        <v>20</v>
      </c>
      <c r="L173" s="80" t="s">
        <v>1063</v>
      </c>
      <c r="M173" s="80" t="s">
        <v>1064</v>
      </c>
      <c r="N173" s="80" t="s">
        <v>120</v>
      </c>
      <c r="O173" s="80" t="s">
        <v>572</v>
      </c>
      <c r="P173" s="80" t="s">
        <v>135</v>
      </c>
      <c r="Q173" s="80" t="s">
        <v>123</v>
      </c>
      <c r="R173" s="80" t="s">
        <v>174</v>
      </c>
      <c r="S173" s="80">
        <v>11</v>
      </c>
      <c r="T173" s="80">
        <v>18</v>
      </c>
      <c r="U173" s="80" t="s">
        <v>232</v>
      </c>
      <c r="V173" s="80" t="s">
        <v>126</v>
      </c>
      <c r="W173" s="80" t="s">
        <v>127</v>
      </c>
      <c r="X173" s="80"/>
      <c r="Y173" s="80"/>
    </row>
    <row r="174" spans="1:25">
      <c r="A174" s="80">
        <f t="shared" si="2"/>
        <v>173</v>
      </c>
      <c r="B174" s="10">
        <v>45965.579328703701</v>
      </c>
      <c r="C174" s="80" t="s">
        <v>359</v>
      </c>
      <c r="D174" s="80" t="s">
        <v>1065</v>
      </c>
      <c r="E174" s="80" t="s">
        <v>1066</v>
      </c>
      <c r="F174" s="80" t="s">
        <v>1067</v>
      </c>
      <c r="G174" s="80" t="s">
        <v>1068</v>
      </c>
      <c r="H174" s="80" t="s">
        <v>115</v>
      </c>
      <c r="I174" s="80" t="s">
        <v>1069</v>
      </c>
      <c r="J174" s="80" t="s">
        <v>117</v>
      </c>
      <c r="K174" s="80">
        <v>25</v>
      </c>
      <c r="L174" s="80" t="s">
        <v>1070</v>
      </c>
      <c r="M174" s="80" t="s">
        <v>1071</v>
      </c>
      <c r="N174" s="80" t="s">
        <v>120</v>
      </c>
      <c r="O174" s="80" t="s">
        <v>1072</v>
      </c>
      <c r="P174" s="80" t="s">
        <v>135</v>
      </c>
      <c r="Q174" s="80" t="s">
        <v>123</v>
      </c>
      <c r="R174" s="80" t="s">
        <v>174</v>
      </c>
      <c r="S174" s="80">
        <v>19</v>
      </c>
      <c r="T174" s="80">
        <v>24</v>
      </c>
      <c r="U174" s="80" t="s">
        <v>361</v>
      </c>
      <c r="V174" s="80" t="s">
        <v>126</v>
      </c>
      <c r="W174" s="80" t="s">
        <v>127</v>
      </c>
      <c r="X174" s="80"/>
      <c r="Y174" s="80"/>
    </row>
    <row r="175" spans="1:25">
      <c r="A175" s="80">
        <f t="shared" si="2"/>
        <v>174</v>
      </c>
      <c r="B175" s="10">
        <v>45965.579583333303</v>
      </c>
      <c r="C175" s="80" t="s">
        <v>329</v>
      </c>
      <c r="D175" s="80" t="s">
        <v>1073</v>
      </c>
      <c r="E175" s="80" t="s">
        <v>1074</v>
      </c>
      <c r="F175" s="80" t="s">
        <v>1075</v>
      </c>
      <c r="G175" s="80" t="s">
        <v>1076</v>
      </c>
      <c r="H175" s="80" t="s">
        <v>115</v>
      </c>
      <c r="I175" s="80" t="s">
        <v>955</v>
      </c>
      <c r="J175" s="80" t="s">
        <v>149</v>
      </c>
      <c r="K175" s="80">
        <v>8</v>
      </c>
      <c r="L175" s="80" t="s">
        <v>1077</v>
      </c>
      <c r="M175" s="80" t="s">
        <v>1078</v>
      </c>
      <c r="N175" s="80" t="s">
        <v>120</v>
      </c>
      <c r="O175" s="80" t="s">
        <v>152</v>
      </c>
      <c r="P175" s="80" t="s">
        <v>352</v>
      </c>
      <c r="Q175" s="80" t="s">
        <v>123</v>
      </c>
      <c r="R175" s="80" t="s">
        <v>174</v>
      </c>
      <c r="S175" s="80">
        <v>2</v>
      </c>
      <c r="T175" s="80">
        <v>18</v>
      </c>
      <c r="U175" s="80" t="s">
        <v>336</v>
      </c>
      <c r="V175" s="80" t="s">
        <v>126</v>
      </c>
      <c r="W175" s="80" t="s">
        <v>127</v>
      </c>
      <c r="X175" s="80"/>
      <c r="Y175" s="80"/>
    </row>
    <row r="176" spans="1:25">
      <c r="A176" s="80">
        <f t="shared" si="2"/>
        <v>175</v>
      </c>
      <c r="B176" s="10">
        <v>45965.585312499999</v>
      </c>
      <c r="C176" s="80" t="s">
        <v>157</v>
      </c>
      <c r="D176" s="80" t="s">
        <v>1079</v>
      </c>
      <c r="E176" s="80" t="s">
        <v>1080</v>
      </c>
      <c r="F176" s="80" t="s">
        <v>1081</v>
      </c>
      <c r="G176" s="80" t="s">
        <v>1082</v>
      </c>
      <c r="H176" s="80" t="s">
        <v>115</v>
      </c>
      <c r="I176" s="80" t="s">
        <v>237</v>
      </c>
      <c r="J176" s="80" t="s">
        <v>117</v>
      </c>
      <c r="K176" s="80">
        <v>12</v>
      </c>
      <c r="L176" s="80" t="s">
        <v>1083</v>
      </c>
      <c r="M176" s="80" t="s">
        <v>1084</v>
      </c>
      <c r="N176" s="80" t="s">
        <v>120</v>
      </c>
      <c r="O176" s="80" t="s">
        <v>572</v>
      </c>
      <c r="P176" s="80" t="s">
        <v>1085</v>
      </c>
      <c r="Q176" s="80" t="s">
        <v>123</v>
      </c>
      <c r="R176" s="80" t="s">
        <v>174</v>
      </c>
      <c r="S176" s="80">
        <v>9</v>
      </c>
      <c r="T176" s="80">
        <v>24</v>
      </c>
      <c r="U176" s="80" t="s">
        <v>167</v>
      </c>
      <c r="V176" s="80" t="s">
        <v>126</v>
      </c>
      <c r="W176" s="80" t="s">
        <v>127</v>
      </c>
      <c r="X176" s="80"/>
      <c r="Y176" s="80"/>
    </row>
    <row r="177" spans="1:25">
      <c r="A177" s="80">
        <f t="shared" si="2"/>
        <v>176</v>
      </c>
      <c r="B177" s="10">
        <v>45965.588761574101</v>
      </c>
      <c r="C177" s="80" t="s">
        <v>143</v>
      </c>
      <c r="D177" s="80" t="s">
        <v>1086</v>
      </c>
      <c r="E177" s="80" t="s">
        <v>1087</v>
      </c>
      <c r="F177" s="80" t="s">
        <v>1088</v>
      </c>
      <c r="G177" s="80" t="s">
        <v>1089</v>
      </c>
      <c r="H177" s="80" t="s">
        <v>115</v>
      </c>
      <c r="I177" s="80" t="s">
        <v>865</v>
      </c>
      <c r="J177" s="80" t="s">
        <v>117</v>
      </c>
      <c r="K177" s="80">
        <v>14</v>
      </c>
      <c r="L177" s="80" t="s">
        <v>1090</v>
      </c>
      <c r="M177" s="80" t="s">
        <v>1091</v>
      </c>
      <c r="N177" s="80" t="s">
        <v>120</v>
      </c>
      <c r="O177" s="80" t="s">
        <v>230</v>
      </c>
      <c r="P177" s="80" t="s">
        <v>178</v>
      </c>
      <c r="Q177" s="80" t="s">
        <v>123</v>
      </c>
      <c r="R177" s="80" t="s">
        <v>174</v>
      </c>
      <c r="S177" s="80">
        <v>4</v>
      </c>
      <c r="T177" s="80">
        <v>18</v>
      </c>
      <c r="U177" s="80" t="s">
        <v>153</v>
      </c>
      <c r="V177" s="80" t="s">
        <v>126</v>
      </c>
      <c r="W177" s="80" t="s">
        <v>137</v>
      </c>
      <c r="X177" s="80"/>
      <c r="Y177" s="80"/>
    </row>
    <row r="178" spans="1:25">
      <c r="A178" s="80">
        <f t="shared" si="2"/>
        <v>177</v>
      </c>
      <c r="B178" s="10">
        <v>45965.589525463001</v>
      </c>
      <c r="C178" s="80" t="s">
        <v>280</v>
      </c>
      <c r="D178" s="80" t="s">
        <v>1092</v>
      </c>
      <c r="E178" s="80" t="s">
        <v>1093</v>
      </c>
      <c r="F178" s="80" t="s">
        <v>1094</v>
      </c>
      <c r="G178" s="80" t="s">
        <v>1095</v>
      </c>
      <c r="H178" s="80" t="s">
        <v>115</v>
      </c>
      <c r="I178" s="80" t="s">
        <v>955</v>
      </c>
      <c r="J178" s="80" t="s">
        <v>117</v>
      </c>
      <c r="K178" s="80">
        <v>16</v>
      </c>
      <c r="L178" s="80" t="s">
        <v>1096</v>
      </c>
      <c r="M178" s="80" t="s">
        <v>1097</v>
      </c>
      <c r="N178" s="80" t="s">
        <v>120</v>
      </c>
      <c r="O178" s="80" t="s">
        <v>398</v>
      </c>
      <c r="P178" s="80" t="s">
        <v>178</v>
      </c>
      <c r="Q178" s="80" t="s">
        <v>123</v>
      </c>
      <c r="R178" s="80" t="s">
        <v>174</v>
      </c>
      <c r="S178" s="80">
        <v>3</v>
      </c>
      <c r="T178" s="80">
        <v>18</v>
      </c>
      <c r="U178" s="80" t="s">
        <v>288</v>
      </c>
      <c r="V178" s="80" t="s">
        <v>126</v>
      </c>
      <c r="W178" s="80" t="s">
        <v>127</v>
      </c>
      <c r="X178" s="80"/>
      <c r="Y178" s="80"/>
    </row>
    <row r="179" spans="1:25">
      <c r="A179" s="80">
        <f t="shared" si="2"/>
        <v>178</v>
      </c>
      <c r="B179" s="10">
        <v>45965.597071759301</v>
      </c>
      <c r="C179" s="80" t="s">
        <v>157</v>
      </c>
      <c r="D179" s="80" t="s">
        <v>1098</v>
      </c>
      <c r="E179" s="80" t="s">
        <v>1099</v>
      </c>
      <c r="F179" s="80" t="s">
        <v>1100</v>
      </c>
      <c r="G179" s="80" t="s">
        <v>1101</v>
      </c>
      <c r="H179" s="80" t="s">
        <v>115</v>
      </c>
      <c r="I179" s="80" t="s">
        <v>865</v>
      </c>
      <c r="J179" s="80" t="s">
        <v>149</v>
      </c>
      <c r="K179" s="80">
        <v>8</v>
      </c>
      <c r="L179" s="80" t="s">
        <v>1102</v>
      </c>
      <c r="M179" s="80" t="s">
        <v>1103</v>
      </c>
      <c r="N179" s="80" t="s">
        <v>120</v>
      </c>
      <c r="O179" s="80" t="s">
        <v>449</v>
      </c>
      <c r="P179" s="80" t="s">
        <v>178</v>
      </c>
      <c r="Q179" s="80" t="s">
        <v>123</v>
      </c>
      <c r="R179" s="80" t="s">
        <v>174</v>
      </c>
      <c r="S179" s="80">
        <v>1</v>
      </c>
      <c r="T179" s="80">
        <v>12</v>
      </c>
      <c r="U179" s="80" t="s">
        <v>167</v>
      </c>
      <c r="V179" s="80" t="s">
        <v>126</v>
      </c>
      <c r="W179" s="80" t="s">
        <v>127</v>
      </c>
      <c r="X179" s="80"/>
      <c r="Y179" s="80"/>
    </row>
    <row r="180" spans="1:25">
      <c r="A180" s="80">
        <f t="shared" si="2"/>
        <v>179</v>
      </c>
      <c r="B180" s="10">
        <v>45965.607777777797</v>
      </c>
      <c r="C180" s="80" t="s">
        <v>280</v>
      </c>
      <c r="D180" s="80" t="s">
        <v>1104</v>
      </c>
      <c r="E180" s="80" t="s">
        <v>1105</v>
      </c>
      <c r="F180" s="80" t="s">
        <v>1106</v>
      </c>
      <c r="G180" s="80" t="s">
        <v>1107</v>
      </c>
      <c r="H180" s="80" t="s">
        <v>115</v>
      </c>
      <c r="I180" s="80" t="s">
        <v>918</v>
      </c>
      <c r="J180" s="80" t="s">
        <v>117</v>
      </c>
      <c r="K180" s="80">
        <v>5</v>
      </c>
      <c r="L180" s="80" t="s">
        <v>1108</v>
      </c>
      <c r="M180" s="80" t="s">
        <v>1109</v>
      </c>
      <c r="N180" s="80" t="s">
        <v>120</v>
      </c>
      <c r="O180" s="80" t="s">
        <v>572</v>
      </c>
      <c r="P180" s="80" t="s">
        <v>178</v>
      </c>
      <c r="Q180" s="80" t="s">
        <v>123</v>
      </c>
      <c r="R180" s="80" t="s">
        <v>136</v>
      </c>
      <c r="S180" s="80">
        <v>7</v>
      </c>
      <c r="T180" s="80">
        <v>24</v>
      </c>
      <c r="U180" s="80" t="s">
        <v>288</v>
      </c>
      <c r="V180" s="80" t="s">
        <v>126</v>
      </c>
      <c r="W180" s="80" t="s">
        <v>127</v>
      </c>
      <c r="X180" s="80"/>
      <c r="Y180" s="80"/>
    </row>
    <row r="181" spans="1:25">
      <c r="A181" s="80">
        <f t="shared" si="2"/>
        <v>180</v>
      </c>
      <c r="B181" s="10">
        <v>45965.6080671296</v>
      </c>
      <c r="C181" s="80" t="s">
        <v>359</v>
      </c>
      <c r="D181" s="80" t="s">
        <v>1110</v>
      </c>
      <c r="E181" s="80" t="s">
        <v>1105</v>
      </c>
      <c r="F181" s="80" t="s">
        <v>1106</v>
      </c>
      <c r="G181" s="80" t="s">
        <v>1107</v>
      </c>
      <c r="H181" s="80" t="s">
        <v>115</v>
      </c>
      <c r="I181" s="80" t="s">
        <v>918</v>
      </c>
      <c r="J181" s="80" t="s">
        <v>117</v>
      </c>
      <c r="K181" s="80">
        <v>5</v>
      </c>
      <c r="L181" s="80" t="s">
        <v>1108</v>
      </c>
      <c r="M181" s="80" t="s">
        <v>1109</v>
      </c>
      <c r="N181" s="80" t="s">
        <v>120</v>
      </c>
      <c r="O181" s="80" t="s">
        <v>572</v>
      </c>
      <c r="P181" s="80" t="s">
        <v>178</v>
      </c>
      <c r="Q181" s="80" t="s">
        <v>123</v>
      </c>
      <c r="R181" s="80" t="s">
        <v>136</v>
      </c>
      <c r="S181" s="80">
        <v>7</v>
      </c>
      <c r="T181" s="80">
        <v>24</v>
      </c>
      <c r="U181" s="80" t="s">
        <v>361</v>
      </c>
      <c r="V181" s="80" t="s">
        <v>126</v>
      </c>
      <c r="W181" s="80" t="s">
        <v>127</v>
      </c>
      <c r="X181" s="80"/>
      <c r="Y181" s="80"/>
    </row>
    <row r="182" spans="1:25">
      <c r="A182" s="80">
        <f t="shared" si="2"/>
        <v>181</v>
      </c>
      <c r="B182" s="10">
        <v>45965.613379629598</v>
      </c>
      <c r="C182" s="80" t="s">
        <v>157</v>
      </c>
      <c r="D182" s="80" t="s">
        <v>1111</v>
      </c>
      <c r="E182" s="80" t="s">
        <v>1112</v>
      </c>
      <c r="F182" s="80" t="s">
        <v>1113</v>
      </c>
      <c r="G182" s="80" t="s">
        <v>1114</v>
      </c>
      <c r="H182" s="80" t="s">
        <v>174</v>
      </c>
      <c r="I182" s="80" t="s">
        <v>174</v>
      </c>
      <c r="J182" s="80" t="s">
        <v>149</v>
      </c>
      <c r="K182" s="80">
        <v>1</v>
      </c>
      <c r="L182" s="80" t="s">
        <v>1115</v>
      </c>
      <c r="M182" s="80" t="s">
        <v>1116</v>
      </c>
      <c r="N182" s="80" t="s">
        <v>164</v>
      </c>
      <c r="O182" s="80" t="s">
        <v>720</v>
      </c>
      <c r="P182" s="80" t="s">
        <v>214</v>
      </c>
      <c r="Q182" s="80" t="s">
        <v>123</v>
      </c>
      <c r="R182" s="80" t="s">
        <v>174</v>
      </c>
      <c r="S182" s="80">
        <v>6</v>
      </c>
      <c r="T182" s="80">
        <v>24</v>
      </c>
      <c r="U182" s="80" t="s">
        <v>167</v>
      </c>
      <c r="V182" s="80" t="s">
        <v>126</v>
      </c>
      <c r="W182" s="80" t="s">
        <v>127</v>
      </c>
      <c r="X182" s="80"/>
      <c r="Y182" s="80"/>
    </row>
    <row r="183" spans="1:25">
      <c r="A183" s="80">
        <f t="shared" si="2"/>
        <v>182</v>
      </c>
      <c r="B183" s="10">
        <v>45965.614456018498</v>
      </c>
      <c r="C183" s="80" t="s">
        <v>320</v>
      </c>
      <c r="D183" s="80" t="s">
        <v>1117</v>
      </c>
      <c r="E183" s="80" t="s">
        <v>1118</v>
      </c>
      <c r="F183" s="80" t="s">
        <v>1119</v>
      </c>
      <c r="G183" s="80" t="s">
        <v>1120</v>
      </c>
      <c r="H183" s="80" t="s">
        <v>115</v>
      </c>
      <c r="I183" s="80" t="s">
        <v>244</v>
      </c>
      <c r="J183" s="80" t="s">
        <v>117</v>
      </c>
      <c r="K183" s="80">
        <v>12</v>
      </c>
      <c r="L183" s="80" t="s">
        <v>1121</v>
      </c>
      <c r="M183" s="80" t="s">
        <v>1122</v>
      </c>
      <c r="N183" s="80" t="s">
        <v>120</v>
      </c>
      <c r="O183" s="80" t="s">
        <v>152</v>
      </c>
      <c r="P183" s="80" t="s">
        <v>135</v>
      </c>
      <c r="Q183" s="80" t="s">
        <v>123</v>
      </c>
      <c r="R183" s="80" t="s">
        <v>174</v>
      </c>
      <c r="S183" s="80">
        <v>7</v>
      </c>
      <c r="T183" s="80">
        <v>12</v>
      </c>
      <c r="U183" s="80" t="s">
        <v>328</v>
      </c>
      <c r="V183" s="80" t="s">
        <v>126</v>
      </c>
      <c r="W183" s="80" t="s">
        <v>127</v>
      </c>
      <c r="X183" s="80"/>
      <c r="Y183" s="80"/>
    </row>
    <row r="184" spans="1:25">
      <c r="A184" s="80">
        <f t="shared" si="2"/>
        <v>183</v>
      </c>
      <c r="B184" s="10">
        <v>45965.614976851903</v>
      </c>
      <c r="C184" s="80" t="s">
        <v>320</v>
      </c>
      <c r="D184" s="80" t="s">
        <v>1123</v>
      </c>
      <c r="E184" s="80" t="s">
        <v>1124</v>
      </c>
      <c r="F184" s="80" t="s">
        <v>1125</v>
      </c>
      <c r="G184" s="80" t="s">
        <v>1126</v>
      </c>
      <c r="H184" s="80" t="s">
        <v>115</v>
      </c>
      <c r="I184" s="80" t="s">
        <v>865</v>
      </c>
      <c r="J184" s="80" t="s">
        <v>149</v>
      </c>
      <c r="K184" s="80">
        <v>14</v>
      </c>
      <c r="L184" s="80" t="s">
        <v>1127</v>
      </c>
      <c r="M184" s="80" t="s">
        <v>1128</v>
      </c>
      <c r="N184" s="80" t="s">
        <v>164</v>
      </c>
      <c r="O184" s="80" t="s">
        <v>1129</v>
      </c>
      <c r="P184" s="80" t="s">
        <v>135</v>
      </c>
      <c r="Q184" s="80" t="s">
        <v>123</v>
      </c>
      <c r="R184" s="80" t="s">
        <v>174</v>
      </c>
      <c r="S184" s="80">
        <v>1</v>
      </c>
      <c r="T184" s="80">
        <v>12</v>
      </c>
      <c r="U184" s="80" t="s">
        <v>328</v>
      </c>
      <c r="V184" s="80" t="s">
        <v>126</v>
      </c>
      <c r="W184" s="80" t="s">
        <v>127</v>
      </c>
      <c r="X184" s="80"/>
      <c r="Y184" s="80"/>
    </row>
    <row r="185" spans="1:25">
      <c r="A185" s="80">
        <f t="shared" si="2"/>
        <v>184</v>
      </c>
      <c r="B185" s="10">
        <v>45965.615324074097</v>
      </c>
      <c r="C185" s="80" t="s">
        <v>222</v>
      </c>
      <c r="D185" s="80" t="s">
        <v>1130</v>
      </c>
      <c r="E185" s="80" t="s">
        <v>1131</v>
      </c>
      <c r="F185" s="80" t="s">
        <v>1132</v>
      </c>
      <c r="G185" s="80" t="s">
        <v>1133</v>
      </c>
      <c r="H185" s="80" t="s">
        <v>115</v>
      </c>
      <c r="I185" s="80" t="s">
        <v>865</v>
      </c>
      <c r="J185" s="80" t="s">
        <v>117</v>
      </c>
      <c r="K185" s="80">
        <v>5</v>
      </c>
      <c r="L185" s="80" t="s">
        <v>1134</v>
      </c>
      <c r="M185" s="80" t="s">
        <v>1135</v>
      </c>
      <c r="N185" s="80" t="s">
        <v>120</v>
      </c>
      <c r="O185" s="80" t="s">
        <v>572</v>
      </c>
      <c r="P185" s="80" t="s">
        <v>178</v>
      </c>
      <c r="Q185" s="80" t="s">
        <v>123</v>
      </c>
      <c r="R185" s="80" t="s">
        <v>136</v>
      </c>
      <c r="S185" s="80">
        <v>6</v>
      </c>
      <c r="T185" s="80">
        <v>12</v>
      </c>
      <c r="U185" s="80" t="s">
        <v>232</v>
      </c>
      <c r="V185" s="80" t="s">
        <v>126</v>
      </c>
      <c r="W185" s="80" t="s">
        <v>127</v>
      </c>
      <c r="X185" s="80"/>
      <c r="Y185" s="80"/>
    </row>
    <row r="186" spans="1:25">
      <c r="A186" s="80">
        <f t="shared" si="2"/>
        <v>185</v>
      </c>
      <c r="B186" s="10">
        <v>45965.617581018501</v>
      </c>
      <c r="C186" s="80" t="s">
        <v>329</v>
      </c>
      <c r="D186" s="80" t="s">
        <v>1136</v>
      </c>
      <c r="E186" s="80" t="s">
        <v>1137</v>
      </c>
      <c r="F186" s="80" t="s">
        <v>1138</v>
      </c>
      <c r="G186" s="80" t="s">
        <v>1139</v>
      </c>
      <c r="H186" s="80" t="s">
        <v>115</v>
      </c>
      <c r="I186" s="80" t="s">
        <v>237</v>
      </c>
      <c r="J186" s="80" t="s">
        <v>117</v>
      </c>
      <c r="K186" s="80">
        <v>10</v>
      </c>
      <c r="L186" s="80" t="s">
        <v>1140</v>
      </c>
      <c r="M186" s="80" t="s">
        <v>1141</v>
      </c>
      <c r="N186" s="80" t="s">
        <v>120</v>
      </c>
      <c r="O186" s="80" t="s">
        <v>247</v>
      </c>
      <c r="P186" s="80" t="s">
        <v>304</v>
      </c>
      <c r="Q186" s="80" t="s">
        <v>123</v>
      </c>
      <c r="R186" s="80" t="s">
        <v>174</v>
      </c>
      <c r="S186" s="80">
        <v>13</v>
      </c>
      <c r="T186" s="80">
        <v>18</v>
      </c>
      <c r="U186" s="80" t="s">
        <v>336</v>
      </c>
      <c r="V186" s="80" t="s">
        <v>126</v>
      </c>
      <c r="W186" s="80" t="s">
        <v>127</v>
      </c>
      <c r="X186" s="80"/>
      <c r="Y186" s="80"/>
    </row>
    <row r="187" spans="1:25">
      <c r="A187" s="80">
        <f t="shared" si="2"/>
        <v>186</v>
      </c>
      <c r="B187" s="10">
        <v>45965.634328703702</v>
      </c>
      <c r="C187" s="80" t="s">
        <v>157</v>
      </c>
      <c r="D187" s="80" t="s">
        <v>1142</v>
      </c>
      <c r="E187" s="80" t="s">
        <v>1143</v>
      </c>
      <c r="F187" s="80" t="s">
        <v>1144</v>
      </c>
      <c r="G187" s="80" t="s">
        <v>1145</v>
      </c>
      <c r="H187" s="80" t="s">
        <v>210</v>
      </c>
      <c r="I187" s="80" t="s">
        <v>35</v>
      </c>
      <c r="J187" s="80" t="s">
        <v>149</v>
      </c>
      <c r="K187" s="80">
        <v>13</v>
      </c>
      <c r="L187" s="80" t="s">
        <v>1146</v>
      </c>
      <c r="M187" s="80" t="s">
        <v>1147</v>
      </c>
      <c r="N187" s="80" t="s">
        <v>120</v>
      </c>
      <c r="O187" s="80" t="s">
        <v>152</v>
      </c>
      <c r="P187" s="80" t="s">
        <v>1148</v>
      </c>
      <c r="Q187" s="80" t="s">
        <v>123</v>
      </c>
      <c r="R187" s="80" t="s">
        <v>136</v>
      </c>
      <c r="S187" s="80">
        <v>15</v>
      </c>
      <c r="T187" s="80">
        <v>18</v>
      </c>
      <c r="U187" s="80" t="s">
        <v>167</v>
      </c>
      <c r="V187" s="80" t="s">
        <v>126</v>
      </c>
      <c r="W187" s="80" t="s">
        <v>5333</v>
      </c>
      <c r="X187" s="80"/>
      <c r="Y187" s="80"/>
    </row>
    <row r="188" spans="1:25">
      <c r="A188" s="80">
        <f t="shared" si="2"/>
        <v>187</v>
      </c>
      <c r="B188" s="10">
        <v>45965.672766203701</v>
      </c>
      <c r="C188" s="80" t="s">
        <v>604</v>
      </c>
      <c r="D188" s="80" t="s">
        <v>1149</v>
      </c>
      <c r="E188" s="80" t="s">
        <v>1150</v>
      </c>
      <c r="F188" s="80" t="s">
        <v>1151</v>
      </c>
      <c r="G188" s="80" t="s">
        <v>1152</v>
      </c>
      <c r="H188" s="80" t="s">
        <v>115</v>
      </c>
      <c r="I188" s="80" t="s">
        <v>865</v>
      </c>
      <c r="J188" s="80" t="s">
        <v>117</v>
      </c>
      <c r="K188" s="80">
        <v>23</v>
      </c>
      <c r="L188" s="80" t="s">
        <v>1153</v>
      </c>
      <c r="M188" s="80" t="s">
        <v>1154</v>
      </c>
      <c r="N188" s="80" t="s">
        <v>517</v>
      </c>
      <c r="O188" s="80" t="s">
        <v>518</v>
      </c>
      <c r="P188" s="80" t="s">
        <v>135</v>
      </c>
      <c r="Q188" s="80" t="s">
        <v>123</v>
      </c>
      <c r="R188" s="80" t="s">
        <v>174</v>
      </c>
      <c r="S188" s="80">
        <v>11</v>
      </c>
      <c r="T188" s="80">
        <v>12</v>
      </c>
      <c r="U188" s="80" t="s">
        <v>613</v>
      </c>
      <c r="V188" s="80" t="s">
        <v>126</v>
      </c>
      <c r="W188" s="80" t="s">
        <v>127</v>
      </c>
      <c r="X188" s="80"/>
      <c r="Y188" s="80"/>
    </row>
    <row r="189" spans="1:25">
      <c r="A189" s="80">
        <f t="shared" si="2"/>
        <v>188</v>
      </c>
      <c r="B189" s="10">
        <v>45965.675590277802</v>
      </c>
      <c r="C189" s="80" t="s">
        <v>143</v>
      </c>
      <c r="D189" s="80" t="s">
        <v>1155</v>
      </c>
      <c r="E189" s="80" t="s">
        <v>1156</v>
      </c>
      <c r="F189" s="80" t="s">
        <v>1157</v>
      </c>
      <c r="G189" s="80" t="s">
        <v>1158</v>
      </c>
      <c r="H189" s="80" t="s">
        <v>148</v>
      </c>
      <c r="I189" s="80" t="s">
        <v>50</v>
      </c>
      <c r="J189" s="80" t="s">
        <v>149</v>
      </c>
      <c r="K189" s="80">
        <v>23</v>
      </c>
      <c r="L189" s="80" t="s">
        <v>1159</v>
      </c>
      <c r="M189" s="80" t="s">
        <v>1160</v>
      </c>
      <c r="N189" s="80" t="s">
        <v>120</v>
      </c>
      <c r="O189" s="80" t="s">
        <v>121</v>
      </c>
      <c r="P189" s="80" t="s">
        <v>122</v>
      </c>
      <c r="Q189" s="80" t="s">
        <v>123</v>
      </c>
      <c r="R189" s="80" t="s">
        <v>136</v>
      </c>
      <c r="S189" s="80">
        <v>10</v>
      </c>
      <c r="T189" s="80">
        <v>36</v>
      </c>
      <c r="U189" s="80" t="s">
        <v>153</v>
      </c>
      <c r="V189" s="80" t="s">
        <v>126</v>
      </c>
      <c r="W189" s="80" t="s">
        <v>204</v>
      </c>
      <c r="X189" s="80" t="s">
        <v>205</v>
      </c>
      <c r="Y189" s="80"/>
    </row>
    <row r="190" spans="1:25">
      <c r="A190" s="80">
        <f t="shared" si="2"/>
        <v>189</v>
      </c>
      <c r="B190" s="10">
        <v>45965.677037037</v>
      </c>
      <c r="C190" s="80" t="s">
        <v>604</v>
      </c>
      <c r="D190" s="80" t="s">
        <v>1161</v>
      </c>
      <c r="E190" s="80" t="s">
        <v>1162</v>
      </c>
      <c r="F190" s="80" t="s">
        <v>1163</v>
      </c>
      <c r="G190" s="80" t="s">
        <v>1164</v>
      </c>
      <c r="H190" s="80" t="s">
        <v>477</v>
      </c>
      <c r="I190" s="80" t="s">
        <v>1165</v>
      </c>
      <c r="J190" s="80" t="s">
        <v>149</v>
      </c>
      <c r="K190" s="80">
        <v>21</v>
      </c>
      <c r="L190" s="80" t="s">
        <v>1166</v>
      </c>
      <c r="M190" s="80" t="s">
        <v>1167</v>
      </c>
      <c r="N190" s="80" t="s">
        <v>120</v>
      </c>
      <c r="O190" s="80" t="s">
        <v>240</v>
      </c>
      <c r="P190" s="80" t="s">
        <v>135</v>
      </c>
      <c r="Q190" s="80" t="s">
        <v>123</v>
      </c>
      <c r="R190" s="80" t="s">
        <v>136</v>
      </c>
      <c r="S190" s="80">
        <v>2</v>
      </c>
      <c r="T190" s="80">
        <v>18</v>
      </c>
      <c r="U190" s="80" t="s">
        <v>613</v>
      </c>
      <c r="V190" s="80" t="s">
        <v>126</v>
      </c>
      <c r="W190" s="80" t="s">
        <v>5333</v>
      </c>
      <c r="X190" s="80"/>
      <c r="Y190" s="80"/>
    </row>
    <row r="191" spans="1:25">
      <c r="A191" s="80">
        <f t="shared" si="2"/>
        <v>190</v>
      </c>
      <c r="B191" s="10">
        <v>45965.688726851899</v>
      </c>
      <c r="C191" s="80" t="s">
        <v>604</v>
      </c>
      <c r="D191" s="80" t="s">
        <v>1168</v>
      </c>
      <c r="E191" s="80" t="s">
        <v>1169</v>
      </c>
      <c r="F191" s="80" t="s">
        <v>1170</v>
      </c>
      <c r="G191" s="80" t="s">
        <v>1171</v>
      </c>
      <c r="H191" s="80" t="s">
        <v>115</v>
      </c>
      <c r="I191" s="80" t="s">
        <v>865</v>
      </c>
      <c r="J191" s="80" t="s">
        <v>117</v>
      </c>
      <c r="K191" s="80">
        <v>17</v>
      </c>
      <c r="L191" s="80" t="s">
        <v>1172</v>
      </c>
      <c r="M191" s="80" t="s">
        <v>1173</v>
      </c>
      <c r="N191" s="80" t="s">
        <v>120</v>
      </c>
      <c r="O191" s="80" t="s">
        <v>152</v>
      </c>
      <c r="P191" s="80" t="s">
        <v>135</v>
      </c>
      <c r="Q191" s="80" t="s">
        <v>123</v>
      </c>
      <c r="R191" s="80" t="s">
        <v>174</v>
      </c>
      <c r="S191" s="80">
        <v>8</v>
      </c>
      <c r="T191" s="80">
        <v>12</v>
      </c>
      <c r="U191" s="80" t="s">
        <v>613</v>
      </c>
      <c r="V191" s="80" t="s">
        <v>126</v>
      </c>
      <c r="W191" s="80" t="s">
        <v>127</v>
      </c>
      <c r="X191" s="80"/>
      <c r="Y191" s="80"/>
    </row>
    <row r="192" spans="1:25">
      <c r="A192" s="80">
        <f t="shared" si="2"/>
        <v>191</v>
      </c>
      <c r="B192" s="10">
        <v>45965.695833333302</v>
      </c>
      <c r="C192" s="80" t="s">
        <v>604</v>
      </c>
      <c r="D192" s="80" t="s">
        <v>1174</v>
      </c>
      <c r="E192" s="80" t="s">
        <v>1175</v>
      </c>
      <c r="F192" s="80" t="s">
        <v>1176</v>
      </c>
      <c r="G192" s="80" t="s">
        <v>1177</v>
      </c>
      <c r="H192" s="80" t="s">
        <v>115</v>
      </c>
      <c r="I192" s="80" t="s">
        <v>1069</v>
      </c>
      <c r="J192" s="80" t="s">
        <v>117</v>
      </c>
      <c r="K192" s="80">
        <v>17</v>
      </c>
      <c r="L192" s="80" t="s">
        <v>1178</v>
      </c>
      <c r="M192" s="80" t="s">
        <v>1179</v>
      </c>
      <c r="N192" s="80" t="s">
        <v>120</v>
      </c>
      <c r="O192" s="80" t="s">
        <v>121</v>
      </c>
      <c r="P192" s="80" t="s">
        <v>1180</v>
      </c>
      <c r="Q192" s="80" t="s">
        <v>123</v>
      </c>
      <c r="R192" s="80" t="s">
        <v>174</v>
      </c>
      <c r="S192" s="80">
        <v>4</v>
      </c>
      <c r="T192" s="80">
        <v>24</v>
      </c>
      <c r="U192" s="80" t="s">
        <v>613</v>
      </c>
      <c r="V192" s="80" t="s">
        <v>126</v>
      </c>
      <c r="W192" s="80" t="s">
        <v>127</v>
      </c>
      <c r="X192" s="80"/>
      <c r="Y192" s="80"/>
    </row>
    <row r="193" spans="1:25">
      <c r="A193" s="80">
        <f t="shared" si="2"/>
        <v>192</v>
      </c>
      <c r="B193" s="10">
        <v>45965.704548611102</v>
      </c>
      <c r="C193" s="80" t="s">
        <v>195</v>
      </c>
      <c r="D193" s="80" t="s">
        <v>1181</v>
      </c>
      <c r="E193" s="80" t="s">
        <v>1182</v>
      </c>
      <c r="F193" s="80" t="s">
        <v>1183</v>
      </c>
      <c r="G193" s="80" t="s">
        <v>1184</v>
      </c>
      <c r="H193" s="80" t="s">
        <v>1185</v>
      </c>
      <c r="I193" s="80" t="s">
        <v>1186</v>
      </c>
      <c r="J193" s="80" t="s">
        <v>149</v>
      </c>
      <c r="K193" s="80">
        <v>9</v>
      </c>
      <c r="L193" s="80" t="s">
        <v>1187</v>
      </c>
      <c r="M193" s="80" t="s">
        <v>1188</v>
      </c>
      <c r="N193" s="80" t="s">
        <v>120</v>
      </c>
      <c r="O193" s="80" t="s">
        <v>121</v>
      </c>
      <c r="P193" s="80" t="s">
        <v>1189</v>
      </c>
      <c r="Q193" s="80" t="s">
        <v>123</v>
      </c>
      <c r="R193" s="80" t="s">
        <v>136</v>
      </c>
      <c r="S193" s="80">
        <v>5</v>
      </c>
      <c r="T193" s="80">
        <v>18</v>
      </c>
      <c r="U193" s="80" t="s">
        <v>203</v>
      </c>
      <c r="V193" s="80" t="s">
        <v>141</v>
      </c>
      <c r="W193" s="80" t="s">
        <v>1770</v>
      </c>
      <c r="X193" s="80"/>
      <c r="Y193" s="80"/>
    </row>
    <row r="194" spans="1:25">
      <c r="A194" s="80">
        <f t="shared" si="2"/>
        <v>193</v>
      </c>
      <c r="B194" s="10">
        <v>45965.705844907403</v>
      </c>
      <c r="C194" s="80" t="s">
        <v>604</v>
      </c>
      <c r="D194" s="80" t="s">
        <v>1190</v>
      </c>
      <c r="E194" s="80" t="s">
        <v>1191</v>
      </c>
      <c r="F194" s="80" t="s">
        <v>1192</v>
      </c>
      <c r="G194" s="80" t="s">
        <v>1193</v>
      </c>
      <c r="H194" s="80" t="s">
        <v>115</v>
      </c>
      <c r="I194" s="80" t="s">
        <v>865</v>
      </c>
      <c r="J194" s="80" t="s">
        <v>149</v>
      </c>
      <c r="K194" s="80">
        <v>13</v>
      </c>
      <c r="L194" s="80" t="s">
        <v>1194</v>
      </c>
      <c r="M194" s="80" t="s">
        <v>1195</v>
      </c>
      <c r="N194" s="80" t="s">
        <v>120</v>
      </c>
      <c r="O194" s="80" t="s">
        <v>1196</v>
      </c>
      <c r="P194" s="80" t="s">
        <v>612</v>
      </c>
      <c r="Q194" s="80" t="s">
        <v>123</v>
      </c>
      <c r="R194" s="80" t="s">
        <v>174</v>
      </c>
      <c r="S194" s="80">
        <v>2</v>
      </c>
      <c r="T194" s="80">
        <v>18</v>
      </c>
      <c r="U194" s="80" t="s">
        <v>613</v>
      </c>
      <c r="V194" s="80" t="s">
        <v>126</v>
      </c>
      <c r="W194" s="80" t="s">
        <v>127</v>
      </c>
      <c r="X194" s="80"/>
      <c r="Y194" s="80"/>
    </row>
    <row r="195" spans="1:25">
      <c r="A195" s="80">
        <f t="shared" si="2"/>
        <v>194</v>
      </c>
      <c r="B195" s="10">
        <v>45965.706828703696</v>
      </c>
      <c r="C195" s="80" t="s">
        <v>604</v>
      </c>
      <c r="D195" s="80" t="s">
        <v>1197</v>
      </c>
      <c r="E195" s="80" t="s">
        <v>1198</v>
      </c>
      <c r="F195" s="80" t="s">
        <v>1199</v>
      </c>
      <c r="G195" s="80" t="s">
        <v>1200</v>
      </c>
      <c r="H195" s="80" t="s">
        <v>477</v>
      </c>
      <c r="I195" s="80" t="s">
        <v>1165</v>
      </c>
      <c r="J195" s="80" t="s">
        <v>149</v>
      </c>
      <c r="K195" s="80">
        <v>1</v>
      </c>
      <c r="L195" s="80" t="s">
        <v>1201</v>
      </c>
      <c r="M195" s="80" t="s">
        <v>1202</v>
      </c>
      <c r="N195" s="80" t="s">
        <v>120</v>
      </c>
      <c r="O195" s="80" t="s">
        <v>152</v>
      </c>
      <c r="P195" s="80" t="s">
        <v>304</v>
      </c>
      <c r="Q195" s="80" t="s">
        <v>123</v>
      </c>
      <c r="R195" s="80" t="s">
        <v>136</v>
      </c>
      <c r="S195" s="80">
        <v>2</v>
      </c>
      <c r="T195" s="80">
        <v>12</v>
      </c>
      <c r="U195" s="80" t="s">
        <v>613</v>
      </c>
      <c r="V195" s="80" t="s">
        <v>126</v>
      </c>
      <c r="W195" s="80" t="s">
        <v>810</v>
      </c>
      <c r="X195" s="80"/>
      <c r="Y195" s="80"/>
    </row>
    <row r="196" spans="1:25">
      <c r="A196" s="80">
        <f t="shared" ref="A196:A259" si="3">A195+1</f>
        <v>195</v>
      </c>
      <c r="B196" s="10">
        <v>45965.7090509259</v>
      </c>
      <c r="C196" s="80" t="s">
        <v>110</v>
      </c>
      <c r="D196" s="80" t="s">
        <v>1203</v>
      </c>
      <c r="E196" s="80" t="s">
        <v>1204</v>
      </c>
      <c r="F196" s="80" t="s">
        <v>1205</v>
      </c>
      <c r="G196" s="80" t="s">
        <v>1206</v>
      </c>
      <c r="H196" s="80" t="s">
        <v>115</v>
      </c>
      <c r="I196" s="80" t="s">
        <v>1207</v>
      </c>
      <c r="J196" s="80" t="s">
        <v>117</v>
      </c>
      <c r="K196" s="80">
        <v>11</v>
      </c>
      <c r="L196" s="80" t="s">
        <v>1208</v>
      </c>
      <c r="M196" s="80" t="s">
        <v>1209</v>
      </c>
      <c r="N196" s="80" t="s">
        <v>120</v>
      </c>
      <c r="O196" s="80" t="s">
        <v>152</v>
      </c>
      <c r="P196" s="80" t="s">
        <v>279</v>
      </c>
      <c r="Q196" s="80" t="s">
        <v>123</v>
      </c>
      <c r="R196" s="80" t="s">
        <v>174</v>
      </c>
      <c r="S196" s="80">
        <v>9</v>
      </c>
      <c r="T196" s="80">
        <v>24</v>
      </c>
      <c r="U196" s="80" t="s">
        <v>125</v>
      </c>
      <c r="V196" s="80" t="s">
        <v>126</v>
      </c>
      <c r="W196" s="80" t="s">
        <v>127</v>
      </c>
      <c r="X196" s="80"/>
      <c r="Y196" s="80"/>
    </row>
    <row r="197" spans="1:25">
      <c r="A197" s="80">
        <f t="shared" si="3"/>
        <v>196</v>
      </c>
      <c r="B197" s="10">
        <v>45965.710231481498</v>
      </c>
      <c r="C197" s="80" t="s">
        <v>604</v>
      </c>
      <c r="D197" s="80" t="s">
        <v>1210</v>
      </c>
      <c r="E197" s="80" t="s">
        <v>728</v>
      </c>
      <c r="F197" s="80" t="s">
        <v>729</v>
      </c>
      <c r="G197" s="80" t="s">
        <v>730</v>
      </c>
      <c r="H197" s="80" t="s">
        <v>115</v>
      </c>
      <c r="I197" s="80" t="s">
        <v>865</v>
      </c>
      <c r="J197" s="80" t="s">
        <v>117</v>
      </c>
      <c r="K197" s="80">
        <v>15</v>
      </c>
      <c r="L197" s="80" t="s">
        <v>731</v>
      </c>
      <c r="M197" s="80" t="s">
        <v>732</v>
      </c>
      <c r="N197" s="80" t="s">
        <v>120</v>
      </c>
      <c r="O197" s="80" t="s">
        <v>247</v>
      </c>
      <c r="P197" s="80" t="s">
        <v>122</v>
      </c>
      <c r="Q197" s="80" t="s">
        <v>123</v>
      </c>
      <c r="R197" s="80" t="s">
        <v>174</v>
      </c>
      <c r="S197" s="80">
        <v>4</v>
      </c>
      <c r="T197" s="80">
        <v>6</v>
      </c>
      <c r="U197" s="80" t="s">
        <v>613</v>
      </c>
      <c r="V197" s="80" t="s">
        <v>126</v>
      </c>
      <c r="W197" s="80" t="s">
        <v>127</v>
      </c>
      <c r="X197" s="80"/>
      <c r="Y197" s="80"/>
    </row>
    <row r="198" spans="1:25">
      <c r="A198" s="80">
        <f t="shared" si="3"/>
        <v>197</v>
      </c>
      <c r="B198" s="10">
        <v>45965.715462963002</v>
      </c>
      <c r="C198" s="80" t="s">
        <v>110</v>
      </c>
      <c r="D198" s="80" t="s">
        <v>1211</v>
      </c>
      <c r="E198" s="80" t="s">
        <v>1212</v>
      </c>
      <c r="F198" s="80" t="s">
        <v>1213</v>
      </c>
      <c r="G198" s="80" t="s">
        <v>1214</v>
      </c>
      <c r="H198" s="80" t="s">
        <v>115</v>
      </c>
      <c r="I198" s="80" t="s">
        <v>849</v>
      </c>
      <c r="J198" s="80" t="s">
        <v>149</v>
      </c>
      <c r="K198" s="80">
        <v>26</v>
      </c>
      <c r="L198" s="80" t="s">
        <v>1215</v>
      </c>
      <c r="M198" s="80" t="s">
        <v>1216</v>
      </c>
      <c r="N198" s="80" t="s">
        <v>120</v>
      </c>
      <c r="O198" s="80" t="s">
        <v>121</v>
      </c>
      <c r="P198" s="80" t="s">
        <v>178</v>
      </c>
      <c r="Q198" s="80" t="s">
        <v>123</v>
      </c>
      <c r="R198" s="80" t="s">
        <v>174</v>
      </c>
      <c r="S198" s="80">
        <v>2</v>
      </c>
      <c r="T198" s="80">
        <v>24</v>
      </c>
      <c r="U198" s="80" t="s">
        <v>125</v>
      </c>
      <c r="V198" s="80" t="s">
        <v>126</v>
      </c>
      <c r="W198" s="80" t="s">
        <v>127</v>
      </c>
      <c r="X198" s="80"/>
      <c r="Y198" s="80"/>
    </row>
    <row r="199" spans="1:25">
      <c r="A199" s="80">
        <f t="shared" si="3"/>
        <v>198</v>
      </c>
      <c r="B199" s="10">
        <v>45965.7335648148</v>
      </c>
      <c r="C199" s="80" t="s">
        <v>110</v>
      </c>
      <c r="D199" s="80" t="s">
        <v>1217</v>
      </c>
      <c r="E199" s="80" t="s">
        <v>1218</v>
      </c>
      <c r="F199" s="80" t="s">
        <v>1219</v>
      </c>
      <c r="G199" s="80" t="s">
        <v>1220</v>
      </c>
      <c r="H199" s="80" t="s">
        <v>115</v>
      </c>
      <c r="I199" s="80" t="s">
        <v>865</v>
      </c>
      <c r="J199" s="80" t="s">
        <v>117</v>
      </c>
      <c r="K199" s="80">
        <v>1</v>
      </c>
      <c r="L199" s="80" t="s">
        <v>1221</v>
      </c>
      <c r="M199" s="80" t="s">
        <v>1222</v>
      </c>
      <c r="N199" s="80" t="s">
        <v>120</v>
      </c>
      <c r="O199" s="80" t="s">
        <v>121</v>
      </c>
      <c r="P199" s="80" t="s">
        <v>1223</v>
      </c>
      <c r="Q199" s="80" t="s">
        <v>123</v>
      </c>
      <c r="R199" s="80" t="s">
        <v>136</v>
      </c>
      <c r="S199" s="80">
        <v>6</v>
      </c>
      <c r="T199" s="80">
        <v>24</v>
      </c>
      <c r="U199" s="80" t="s">
        <v>125</v>
      </c>
      <c r="V199" s="80" t="s">
        <v>126</v>
      </c>
      <c r="W199" s="80" t="s">
        <v>127</v>
      </c>
      <c r="X199" s="80"/>
      <c r="Y199" s="80"/>
    </row>
    <row r="200" spans="1:25">
      <c r="A200" s="80">
        <f t="shared" si="3"/>
        <v>199</v>
      </c>
      <c r="B200" s="10">
        <v>45965.7363078704</v>
      </c>
      <c r="C200" s="80" t="s">
        <v>1224</v>
      </c>
      <c r="D200" s="80" t="s">
        <v>1225</v>
      </c>
      <c r="E200" s="80" t="s">
        <v>1226</v>
      </c>
      <c r="F200" s="80" t="s">
        <v>1227</v>
      </c>
      <c r="G200" s="80" t="s">
        <v>1228</v>
      </c>
      <c r="H200" s="80" t="s">
        <v>115</v>
      </c>
      <c r="I200" s="80" t="s">
        <v>865</v>
      </c>
      <c r="J200" s="80" t="s">
        <v>117</v>
      </c>
      <c r="K200" s="80">
        <v>19</v>
      </c>
      <c r="L200" s="80" t="s">
        <v>1229</v>
      </c>
      <c r="M200" s="80" t="s">
        <v>1230</v>
      </c>
      <c r="N200" s="80" t="s">
        <v>120</v>
      </c>
      <c r="O200" s="80" t="s">
        <v>1231</v>
      </c>
      <c r="P200" s="80" t="s">
        <v>269</v>
      </c>
      <c r="Q200" s="80" t="s">
        <v>123</v>
      </c>
      <c r="R200" s="80" t="s">
        <v>174</v>
      </c>
      <c r="S200" s="80">
        <v>3</v>
      </c>
      <c r="T200" s="80">
        <v>12</v>
      </c>
      <c r="U200" s="80" t="s">
        <v>1232</v>
      </c>
      <c r="V200" s="80" t="s">
        <v>126</v>
      </c>
      <c r="W200" s="80" t="s">
        <v>127</v>
      </c>
      <c r="X200" s="80"/>
      <c r="Y200" s="80"/>
    </row>
    <row r="201" spans="1:25">
      <c r="A201" s="80">
        <f t="shared" si="3"/>
        <v>200</v>
      </c>
      <c r="B201" s="10">
        <v>45965.742210648103</v>
      </c>
      <c r="C201" s="80" t="s">
        <v>157</v>
      </c>
      <c r="D201" s="80" t="s">
        <v>1233</v>
      </c>
      <c r="E201" s="80" t="s">
        <v>1234</v>
      </c>
      <c r="F201" s="80" t="s">
        <v>1235</v>
      </c>
      <c r="G201" s="80" t="s">
        <v>1236</v>
      </c>
      <c r="H201" s="80" t="s">
        <v>115</v>
      </c>
      <c r="I201" s="80" t="s">
        <v>865</v>
      </c>
      <c r="J201" s="80" t="s">
        <v>149</v>
      </c>
      <c r="K201" s="80">
        <v>18</v>
      </c>
      <c r="L201" s="80" t="s">
        <v>1237</v>
      </c>
      <c r="M201" s="80" t="s">
        <v>1238</v>
      </c>
      <c r="N201" s="80" t="s">
        <v>120</v>
      </c>
      <c r="O201" s="80" t="s">
        <v>449</v>
      </c>
      <c r="P201" s="80" t="s">
        <v>135</v>
      </c>
      <c r="Q201" s="80" t="s">
        <v>123</v>
      </c>
      <c r="R201" s="80" t="s">
        <v>174</v>
      </c>
      <c r="S201" s="80">
        <v>2</v>
      </c>
      <c r="T201" s="80">
        <v>12</v>
      </c>
      <c r="U201" s="80" t="s">
        <v>167</v>
      </c>
      <c r="V201" s="80" t="s">
        <v>126</v>
      </c>
      <c r="W201" s="80" t="s">
        <v>127</v>
      </c>
      <c r="X201" s="80"/>
      <c r="Y201" s="80"/>
    </row>
    <row r="202" spans="1:25">
      <c r="A202" s="80">
        <f t="shared" si="3"/>
        <v>201</v>
      </c>
      <c r="B202" s="10">
        <v>45965.743703703702</v>
      </c>
      <c r="C202" s="80" t="s">
        <v>157</v>
      </c>
      <c r="D202" s="80" t="s">
        <v>1239</v>
      </c>
      <c r="E202" s="80" t="s">
        <v>1240</v>
      </c>
      <c r="F202" s="80" t="s">
        <v>1241</v>
      </c>
      <c r="G202" s="80" t="s">
        <v>1242</v>
      </c>
      <c r="H202" s="80" t="s">
        <v>115</v>
      </c>
      <c r="I202" s="80" t="s">
        <v>865</v>
      </c>
      <c r="J202" s="80" t="s">
        <v>149</v>
      </c>
      <c r="K202" s="80">
        <v>14</v>
      </c>
      <c r="L202" s="80" t="s">
        <v>1243</v>
      </c>
      <c r="M202" s="80" t="s">
        <v>1244</v>
      </c>
      <c r="N202" s="80" t="s">
        <v>120</v>
      </c>
      <c r="O202" s="80" t="s">
        <v>240</v>
      </c>
      <c r="P202" s="80" t="s">
        <v>295</v>
      </c>
      <c r="Q202" s="80" t="s">
        <v>123</v>
      </c>
      <c r="R202" s="80" t="s">
        <v>174</v>
      </c>
      <c r="S202" s="80">
        <v>1</v>
      </c>
      <c r="T202" s="80">
        <v>18</v>
      </c>
      <c r="U202" s="80" t="s">
        <v>167</v>
      </c>
      <c r="V202" s="80" t="s">
        <v>126</v>
      </c>
      <c r="W202" s="80" t="s">
        <v>127</v>
      </c>
      <c r="X202" s="80"/>
      <c r="Y202" s="80"/>
    </row>
    <row r="203" spans="1:25">
      <c r="A203" s="80">
        <f t="shared" si="3"/>
        <v>202</v>
      </c>
      <c r="B203" s="10">
        <v>45965.751967592601</v>
      </c>
      <c r="C203" s="80" t="s">
        <v>157</v>
      </c>
      <c r="D203" s="80" t="s">
        <v>1245</v>
      </c>
      <c r="E203" s="80" t="s">
        <v>1246</v>
      </c>
      <c r="F203" s="80" t="s">
        <v>1247</v>
      </c>
      <c r="G203" s="80" t="s">
        <v>1248</v>
      </c>
      <c r="H203" s="80" t="s">
        <v>115</v>
      </c>
      <c r="I203" s="80" t="s">
        <v>842</v>
      </c>
      <c r="J203" s="80" t="s">
        <v>117</v>
      </c>
      <c r="K203" s="80">
        <v>1</v>
      </c>
      <c r="L203" s="80" t="s">
        <v>1249</v>
      </c>
      <c r="M203" s="80" t="s">
        <v>1250</v>
      </c>
      <c r="N203" s="80" t="s">
        <v>120</v>
      </c>
      <c r="O203" s="80" t="s">
        <v>247</v>
      </c>
      <c r="P203" s="80" t="s">
        <v>178</v>
      </c>
      <c r="Q203" s="80" t="s">
        <v>123</v>
      </c>
      <c r="R203" s="80" t="s">
        <v>136</v>
      </c>
      <c r="S203" s="80">
        <v>6</v>
      </c>
      <c r="T203" s="80">
        <v>12</v>
      </c>
      <c r="U203" s="80" t="s">
        <v>167</v>
      </c>
      <c r="V203" s="80" t="s">
        <v>126</v>
      </c>
      <c r="W203" s="80" t="s">
        <v>127</v>
      </c>
      <c r="X203" s="80"/>
      <c r="Y203" s="80"/>
    </row>
    <row r="204" spans="1:25">
      <c r="A204" s="80">
        <f t="shared" si="3"/>
        <v>203</v>
      </c>
      <c r="B204" s="10">
        <v>45965.766458333303</v>
      </c>
      <c r="C204" s="80" t="s">
        <v>1251</v>
      </c>
      <c r="D204" s="80" t="s">
        <v>1252</v>
      </c>
      <c r="E204" s="80" t="s">
        <v>1226</v>
      </c>
      <c r="F204" s="80" t="s">
        <v>1227</v>
      </c>
      <c r="G204" s="80" t="s">
        <v>1228</v>
      </c>
      <c r="H204" s="80" t="s">
        <v>115</v>
      </c>
      <c r="I204" s="80" t="s">
        <v>865</v>
      </c>
      <c r="J204" s="80" t="s">
        <v>117</v>
      </c>
      <c r="K204" s="80">
        <v>19</v>
      </c>
      <c r="L204" s="80" t="s">
        <v>1229</v>
      </c>
      <c r="M204" s="80" t="s">
        <v>1230</v>
      </c>
      <c r="N204" s="80" t="s">
        <v>120</v>
      </c>
      <c r="O204" s="80" t="s">
        <v>1231</v>
      </c>
      <c r="P204" s="80" t="s">
        <v>269</v>
      </c>
      <c r="Q204" s="80" t="s">
        <v>123</v>
      </c>
      <c r="R204" s="80" t="s">
        <v>174</v>
      </c>
      <c r="S204" s="80">
        <v>3</v>
      </c>
      <c r="T204" s="80">
        <v>12</v>
      </c>
      <c r="U204" s="80" t="s">
        <v>1253</v>
      </c>
      <c r="V204" s="80" t="s">
        <v>126</v>
      </c>
      <c r="W204" s="80" t="s">
        <v>127</v>
      </c>
      <c r="X204" s="80"/>
      <c r="Y204" s="80"/>
    </row>
    <row r="205" spans="1:25">
      <c r="A205" s="80">
        <f t="shared" si="3"/>
        <v>204</v>
      </c>
      <c r="B205" s="10">
        <v>45965.777719907397</v>
      </c>
      <c r="C205" s="80" t="s">
        <v>494</v>
      </c>
      <c r="D205" s="80" t="s">
        <v>1254</v>
      </c>
      <c r="E205" s="80" t="s">
        <v>1255</v>
      </c>
      <c r="F205" s="80" t="s">
        <v>1256</v>
      </c>
      <c r="G205" s="80" t="s">
        <v>1257</v>
      </c>
      <c r="H205" s="80" t="s">
        <v>1258</v>
      </c>
      <c r="I205" s="80" t="s">
        <v>49</v>
      </c>
      <c r="J205" s="80" t="s">
        <v>149</v>
      </c>
      <c r="K205" s="80">
        <v>13</v>
      </c>
      <c r="L205" s="80" t="s">
        <v>1259</v>
      </c>
      <c r="M205" s="80" t="s">
        <v>1260</v>
      </c>
      <c r="N205" s="80" t="s">
        <v>120</v>
      </c>
      <c r="O205" s="80" t="s">
        <v>152</v>
      </c>
      <c r="P205" s="80" t="s">
        <v>295</v>
      </c>
      <c r="Q205" s="80" t="s">
        <v>123</v>
      </c>
      <c r="R205" s="80" t="s">
        <v>136</v>
      </c>
      <c r="S205" s="80">
        <v>1</v>
      </c>
      <c r="T205" s="80">
        <v>18</v>
      </c>
      <c r="U205" s="80" t="s">
        <v>503</v>
      </c>
      <c r="V205" s="80" t="s">
        <v>126</v>
      </c>
      <c r="W205" s="80" t="s">
        <v>137</v>
      </c>
      <c r="X205" s="80"/>
      <c r="Y205" s="80"/>
    </row>
    <row r="206" spans="1:25">
      <c r="A206" s="80">
        <f t="shared" si="3"/>
        <v>205</v>
      </c>
      <c r="B206" s="10">
        <v>45965.780324074098</v>
      </c>
      <c r="C206" s="80" t="s">
        <v>297</v>
      </c>
      <c r="D206" s="80" t="s">
        <v>1261</v>
      </c>
      <c r="E206" s="80" t="s">
        <v>1255</v>
      </c>
      <c r="F206" s="80" t="s">
        <v>1256</v>
      </c>
      <c r="G206" s="80" t="s">
        <v>1257</v>
      </c>
      <c r="H206" s="80" t="s">
        <v>1258</v>
      </c>
      <c r="I206" s="80" t="s">
        <v>49</v>
      </c>
      <c r="J206" s="80" t="s">
        <v>149</v>
      </c>
      <c r="K206" s="80">
        <v>13</v>
      </c>
      <c r="L206" s="80" t="s">
        <v>1259</v>
      </c>
      <c r="M206" s="80" t="s">
        <v>1260</v>
      </c>
      <c r="N206" s="80" t="s">
        <v>120</v>
      </c>
      <c r="O206" s="80" t="s">
        <v>152</v>
      </c>
      <c r="P206" s="80" t="s">
        <v>295</v>
      </c>
      <c r="Q206" s="80" t="s">
        <v>123</v>
      </c>
      <c r="R206" s="80" t="s">
        <v>136</v>
      </c>
      <c r="S206" s="80">
        <v>1</v>
      </c>
      <c r="T206" s="80">
        <v>18</v>
      </c>
      <c r="U206" s="80" t="s">
        <v>305</v>
      </c>
      <c r="V206" s="80" t="s">
        <v>126</v>
      </c>
      <c r="W206" s="80" t="s">
        <v>137</v>
      </c>
      <c r="X206" s="80"/>
      <c r="Y206" s="80"/>
    </row>
    <row r="207" spans="1:25">
      <c r="A207" s="80">
        <f t="shared" si="3"/>
        <v>206</v>
      </c>
      <c r="B207" s="10">
        <v>45965.7821064815</v>
      </c>
      <c r="C207" s="80" t="s">
        <v>297</v>
      </c>
      <c r="D207" s="80" t="s">
        <v>1261</v>
      </c>
      <c r="E207" s="80" t="s">
        <v>1262</v>
      </c>
      <c r="F207" s="80" t="s">
        <v>1263</v>
      </c>
      <c r="G207" s="80" t="s">
        <v>1264</v>
      </c>
      <c r="H207" s="80" t="s">
        <v>1185</v>
      </c>
      <c r="I207" s="80" t="s">
        <v>1186</v>
      </c>
      <c r="J207" s="80" t="s">
        <v>149</v>
      </c>
      <c r="K207" s="80">
        <v>13</v>
      </c>
      <c r="L207" s="80" t="s">
        <v>1265</v>
      </c>
      <c r="M207" s="80" t="s">
        <v>1266</v>
      </c>
      <c r="N207" s="80" t="s">
        <v>120</v>
      </c>
      <c r="O207" s="80" t="s">
        <v>152</v>
      </c>
      <c r="P207" s="80" t="s">
        <v>135</v>
      </c>
      <c r="Q207" s="80" t="s">
        <v>123</v>
      </c>
      <c r="R207" s="80" t="s">
        <v>136</v>
      </c>
      <c r="S207" s="80">
        <v>3</v>
      </c>
      <c r="T207" s="80">
        <v>18</v>
      </c>
      <c r="U207" s="80" t="s">
        <v>305</v>
      </c>
      <c r="V207" s="80" t="s">
        <v>126</v>
      </c>
      <c r="W207" s="80" t="s">
        <v>137</v>
      </c>
      <c r="X207" s="80"/>
      <c r="Y207" s="80"/>
    </row>
    <row r="208" spans="1:25">
      <c r="A208" s="80">
        <f t="shared" si="3"/>
        <v>207</v>
      </c>
      <c r="B208" s="10">
        <v>45965.794502314799</v>
      </c>
      <c r="C208" s="80" t="s">
        <v>157</v>
      </c>
      <c r="D208" s="80" t="s">
        <v>1267</v>
      </c>
      <c r="E208" s="80" t="s">
        <v>1268</v>
      </c>
      <c r="F208" s="80" t="s">
        <v>1269</v>
      </c>
      <c r="G208" s="80" t="s">
        <v>1270</v>
      </c>
      <c r="H208" s="80" t="s">
        <v>115</v>
      </c>
      <c r="I208" s="80" t="s">
        <v>842</v>
      </c>
      <c r="J208" s="80" t="s">
        <v>117</v>
      </c>
      <c r="K208" s="80">
        <v>1</v>
      </c>
      <c r="L208" s="80" t="s">
        <v>1271</v>
      </c>
      <c r="M208" s="80" t="s">
        <v>1272</v>
      </c>
      <c r="N208" s="80" t="s">
        <v>120</v>
      </c>
      <c r="O208" s="80" t="s">
        <v>572</v>
      </c>
      <c r="P208" s="80" t="s">
        <v>135</v>
      </c>
      <c r="Q208" s="80" t="s">
        <v>123</v>
      </c>
      <c r="R208" s="80" t="s">
        <v>136</v>
      </c>
      <c r="S208" s="80">
        <v>9</v>
      </c>
      <c r="T208" s="80">
        <v>12</v>
      </c>
      <c r="U208" s="80" t="s">
        <v>167</v>
      </c>
      <c r="V208" s="80" t="s">
        <v>126</v>
      </c>
      <c r="W208" s="80" t="s">
        <v>127</v>
      </c>
      <c r="X208" s="80"/>
      <c r="Y208" s="80"/>
    </row>
    <row r="209" spans="1:25">
      <c r="A209" s="80">
        <f t="shared" si="3"/>
        <v>208</v>
      </c>
      <c r="B209" s="10">
        <v>45965.797835648104</v>
      </c>
      <c r="C209" s="80" t="s">
        <v>157</v>
      </c>
      <c r="D209" s="80" t="s">
        <v>1273</v>
      </c>
      <c r="E209" s="80" t="s">
        <v>1274</v>
      </c>
      <c r="F209" s="80" t="s">
        <v>1275</v>
      </c>
      <c r="G209" s="80" t="s">
        <v>1276</v>
      </c>
      <c r="H209" s="80" t="s">
        <v>115</v>
      </c>
      <c r="I209" s="80" t="s">
        <v>842</v>
      </c>
      <c r="J209" s="80" t="s">
        <v>117</v>
      </c>
      <c r="K209" s="80">
        <v>14</v>
      </c>
      <c r="L209" s="80" t="s">
        <v>1277</v>
      </c>
      <c r="M209" s="80" t="s">
        <v>1278</v>
      </c>
      <c r="N209" s="80" t="s">
        <v>120</v>
      </c>
      <c r="O209" s="80" t="s">
        <v>152</v>
      </c>
      <c r="P209" s="80" t="s">
        <v>1279</v>
      </c>
      <c r="Q209" s="80" t="s">
        <v>123</v>
      </c>
      <c r="R209" s="80" t="s">
        <v>174</v>
      </c>
      <c r="S209" s="80">
        <v>17</v>
      </c>
      <c r="T209" s="80">
        <v>18</v>
      </c>
      <c r="U209" s="80" t="s">
        <v>167</v>
      </c>
      <c r="V209" s="80" t="s">
        <v>126</v>
      </c>
      <c r="W209" s="80" t="s">
        <v>127</v>
      </c>
      <c r="X209" s="80"/>
      <c r="Y209" s="80"/>
    </row>
    <row r="210" spans="1:25">
      <c r="A210" s="80">
        <f t="shared" si="3"/>
        <v>209</v>
      </c>
      <c r="B210" s="10">
        <v>45965.836354166699</v>
      </c>
      <c r="C210" s="80" t="s">
        <v>297</v>
      </c>
      <c r="D210" s="80" t="s">
        <v>1280</v>
      </c>
      <c r="E210" s="80" t="s">
        <v>1281</v>
      </c>
      <c r="F210" s="80" t="s">
        <v>1282</v>
      </c>
      <c r="G210" s="80" t="s">
        <v>1283</v>
      </c>
      <c r="H210" s="80" t="s">
        <v>210</v>
      </c>
      <c r="I210" s="80" t="s">
        <v>1165</v>
      </c>
      <c r="J210" s="80" t="s">
        <v>149</v>
      </c>
      <c r="K210" s="80">
        <v>4</v>
      </c>
      <c r="L210" s="80" t="s">
        <v>1284</v>
      </c>
      <c r="M210" s="80" t="s">
        <v>1285</v>
      </c>
      <c r="N210" s="80" t="s">
        <v>120</v>
      </c>
      <c r="O210" s="80" t="s">
        <v>572</v>
      </c>
      <c r="P210" s="80" t="s">
        <v>135</v>
      </c>
      <c r="Q210" s="80" t="s">
        <v>123</v>
      </c>
      <c r="R210" s="80" t="s">
        <v>136</v>
      </c>
      <c r="S210" s="80">
        <v>11</v>
      </c>
      <c r="T210" s="80">
        <v>12</v>
      </c>
      <c r="U210" s="80" t="s">
        <v>305</v>
      </c>
      <c r="V210" s="80" t="s">
        <v>126</v>
      </c>
      <c r="W210" s="80" t="s">
        <v>137</v>
      </c>
      <c r="X210" s="80"/>
      <c r="Y210" s="80"/>
    </row>
    <row r="211" spans="1:25">
      <c r="A211" s="80">
        <f t="shared" si="3"/>
        <v>210</v>
      </c>
      <c r="B211" s="10">
        <v>45966.367650462998</v>
      </c>
      <c r="C211" s="80" t="s">
        <v>280</v>
      </c>
      <c r="D211" s="80" t="s">
        <v>1286</v>
      </c>
      <c r="E211" s="80" t="s">
        <v>1287</v>
      </c>
      <c r="F211" s="80" t="s">
        <v>1288</v>
      </c>
      <c r="G211" s="80" t="s">
        <v>1289</v>
      </c>
      <c r="H211" s="80" t="s">
        <v>115</v>
      </c>
      <c r="I211" s="80" t="s">
        <v>227</v>
      </c>
      <c r="J211" s="80" t="s">
        <v>117</v>
      </c>
      <c r="K211" s="80">
        <v>18</v>
      </c>
      <c r="L211" s="80" t="s">
        <v>1290</v>
      </c>
      <c r="M211" s="80" t="s">
        <v>1291</v>
      </c>
      <c r="N211" s="80" t="s">
        <v>120</v>
      </c>
      <c r="O211" s="80" t="s">
        <v>327</v>
      </c>
      <c r="P211" s="80" t="s">
        <v>135</v>
      </c>
      <c r="Q211" s="80" t="s">
        <v>123</v>
      </c>
      <c r="R211" s="80" t="s">
        <v>174</v>
      </c>
      <c r="S211" s="80">
        <v>18</v>
      </c>
      <c r="T211" s="80">
        <v>18</v>
      </c>
      <c r="U211" s="80" t="s">
        <v>288</v>
      </c>
      <c r="V211" s="80" t="s">
        <v>126</v>
      </c>
      <c r="W211" s="80" t="s">
        <v>127</v>
      </c>
      <c r="X211" s="80"/>
      <c r="Y211" s="80"/>
    </row>
    <row r="212" spans="1:25">
      <c r="A212" s="80">
        <f t="shared" si="3"/>
        <v>211</v>
      </c>
      <c r="B212" s="10">
        <v>45966.448958333298</v>
      </c>
      <c r="C212" s="80" t="s">
        <v>320</v>
      </c>
      <c r="D212" s="80" t="s">
        <v>1292</v>
      </c>
      <c r="E212" s="80" t="s">
        <v>1287</v>
      </c>
      <c r="F212" s="80" t="s">
        <v>1288</v>
      </c>
      <c r="G212" s="80" t="s">
        <v>1289</v>
      </c>
      <c r="H212" s="80" t="s">
        <v>115</v>
      </c>
      <c r="I212" s="80" t="s">
        <v>227</v>
      </c>
      <c r="J212" s="80" t="s">
        <v>117</v>
      </c>
      <c r="K212" s="80">
        <v>18</v>
      </c>
      <c r="L212" s="80" t="s">
        <v>1290</v>
      </c>
      <c r="M212" s="80" t="s">
        <v>1291</v>
      </c>
      <c r="N212" s="80" t="s">
        <v>120</v>
      </c>
      <c r="O212" s="80" t="s">
        <v>327</v>
      </c>
      <c r="P212" s="80" t="s">
        <v>135</v>
      </c>
      <c r="Q212" s="80" t="s">
        <v>123</v>
      </c>
      <c r="R212" s="80" t="s">
        <v>174</v>
      </c>
      <c r="S212" s="80">
        <v>18</v>
      </c>
      <c r="T212" s="80">
        <v>18</v>
      </c>
      <c r="U212" s="80" t="s">
        <v>328</v>
      </c>
      <c r="V212" s="80" t="s">
        <v>126</v>
      </c>
      <c r="W212" s="80" t="s">
        <v>127</v>
      </c>
      <c r="X212" s="80"/>
      <c r="Y212" s="80"/>
    </row>
    <row r="213" spans="1:25">
      <c r="A213" s="80">
        <f t="shared" si="3"/>
        <v>212</v>
      </c>
      <c r="B213" s="10">
        <v>45966.449629629598</v>
      </c>
      <c r="C213" s="80" t="s">
        <v>320</v>
      </c>
      <c r="D213" s="80" t="s">
        <v>1292</v>
      </c>
      <c r="E213" s="80" t="s">
        <v>1293</v>
      </c>
      <c r="F213" s="80" t="s">
        <v>1294</v>
      </c>
      <c r="G213" s="80" t="s">
        <v>1295</v>
      </c>
      <c r="H213" s="80" t="s">
        <v>115</v>
      </c>
      <c r="I213" s="80" t="s">
        <v>227</v>
      </c>
      <c r="J213" s="80" t="s">
        <v>117</v>
      </c>
      <c r="K213" s="80">
        <v>11</v>
      </c>
      <c r="L213" s="80" t="s">
        <v>1296</v>
      </c>
      <c r="M213" s="80" t="s">
        <v>1297</v>
      </c>
      <c r="N213" s="80" t="s">
        <v>164</v>
      </c>
      <c r="O213" s="80" t="s">
        <v>1298</v>
      </c>
      <c r="P213" s="80" t="s">
        <v>135</v>
      </c>
      <c r="Q213" s="80" t="s">
        <v>123</v>
      </c>
      <c r="R213" s="80" t="s">
        <v>174</v>
      </c>
      <c r="S213" s="80">
        <v>16</v>
      </c>
      <c r="T213" s="80">
        <v>18</v>
      </c>
      <c r="U213" s="80" t="s">
        <v>328</v>
      </c>
      <c r="V213" s="80" t="s">
        <v>126</v>
      </c>
      <c r="W213" s="80" t="s">
        <v>127</v>
      </c>
      <c r="X213" s="80"/>
      <c r="Y213" s="80"/>
    </row>
    <row r="214" spans="1:25">
      <c r="A214" s="80">
        <f t="shared" si="3"/>
        <v>213</v>
      </c>
      <c r="B214" s="10">
        <v>45966.454895833303</v>
      </c>
      <c r="C214" s="80" t="s">
        <v>195</v>
      </c>
      <c r="D214" s="80" t="s">
        <v>1299</v>
      </c>
      <c r="E214" s="80" t="s">
        <v>1300</v>
      </c>
      <c r="F214" s="80" t="s">
        <v>1301</v>
      </c>
      <c r="G214" s="80" t="s">
        <v>1302</v>
      </c>
      <c r="H214" s="80" t="s">
        <v>115</v>
      </c>
      <c r="I214" s="80" t="s">
        <v>1207</v>
      </c>
      <c r="J214" s="80" t="s">
        <v>117</v>
      </c>
      <c r="K214" s="80">
        <v>3</v>
      </c>
      <c r="L214" s="80" t="s">
        <v>1303</v>
      </c>
      <c r="M214" s="80" t="s">
        <v>1304</v>
      </c>
      <c r="N214" s="80" t="s">
        <v>120</v>
      </c>
      <c r="O214" s="80" t="s">
        <v>213</v>
      </c>
      <c r="P214" s="80" t="s">
        <v>269</v>
      </c>
      <c r="Q214" s="80" t="s">
        <v>123</v>
      </c>
      <c r="R214" s="80" t="s">
        <v>136</v>
      </c>
      <c r="S214" s="80">
        <v>6</v>
      </c>
      <c r="T214" s="80">
        <v>18</v>
      </c>
      <c r="U214" s="80" t="s">
        <v>203</v>
      </c>
      <c r="V214" s="80" t="s">
        <v>141</v>
      </c>
      <c r="W214" s="80" t="s">
        <v>127</v>
      </c>
      <c r="X214" s="80"/>
      <c r="Y214" s="80"/>
    </row>
    <row r="215" spans="1:25">
      <c r="A215" s="80">
        <f t="shared" si="3"/>
        <v>214</v>
      </c>
      <c r="B215" s="10">
        <v>45966.461053240702</v>
      </c>
      <c r="C215" s="80" t="s">
        <v>1305</v>
      </c>
      <c r="D215" s="80" t="s">
        <v>1306</v>
      </c>
      <c r="E215" s="80" t="s">
        <v>1307</v>
      </c>
      <c r="F215" s="80" t="s">
        <v>1308</v>
      </c>
      <c r="G215" s="80" t="s">
        <v>1309</v>
      </c>
      <c r="H215" s="80" t="s">
        <v>115</v>
      </c>
      <c r="I215" s="80" t="s">
        <v>865</v>
      </c>
      <c r="J215" s="80" t="s">
        <v>117</v>
      </c>
      <c r="K215" s="80">
        <v>1</v>
      </c>
      <c r="L215" s="80" t="s">
        <v>1310</v>
      </c>
      <c r="M215" s="80" t="s">
        <v>1311</v>
      </c>
      <c r="N215" s="80" t="s">
        <v>120</v>
      </c>
      <c r="O215" s="80" t="s">
        <v>240</v>
      </c>
      <c r="P215" s="80" t="s">
        <v>295</v>
      </c>
      <c r="Q215" s="80" t="s">
        <v>123</v>
      </c>
      <c r="R215" s="80" t="s">
        <v>124</v>
      </c>
      <c r="S215" s="80">
        <v>6</v>
      </c>
      <c r="T215" s="80">
        <v>18</v>
      </c>
      <c r="U215" s="80" t="s">
        <v>1312</v>
      </c>
      <c r="V215" s="80" t="s">
        <v>126</v>
      </c>
      <c r="W215" s="80" t="s">
        <v>127</v>
      </c>
      <c r="X215" s="80"/>
      <c r="Y215" s="80"/>
    </row>
    <row r="216" spans="1:25">
      <c r="A216" s="80">
        <f t="shared" si="3"/>
        <v>215</v>
      </c>
      <c r="B216" s="10">
        <v>45966.464351851799</v>
      </c>
      <c r="C216" s="80" t="s">
        <v>320</v>
      </c>
      <c r="D216" s="80" t="s">
        <v>1313</v>
      </c>
      <c r="E216" s="80" t="s">
        <v>1314</v>
      </c>
      <c r="F216" s="80" t="s">
        <v>1315</v>
      </c>
      <c r="G216" s="80" t="s">
        <v>1316</v>
      </c>
      <c r="H216" s="80" t="s">
        <v>115</v>
      </c>
      <c r="I216" s="80" t="s">
        <v>865</v>
      </c>
      <c r="J216" s="80" t="s">
        <v>117</v>
      </c>
      <c r="K216" s="80">
        <v>19</v>
      </c>
      <c r="L216" s="80" t="s">
        <v>1317</v>
      </c>
      <c r="M216" s="80" t="s">
        <v>1318</v>
      </c>
      <c r="N216" s="80" t="s">
        <v>120</v>
      </c>
      <c r="O216" s="80" t="s">
        <v>1319</v>
      </c>
      <c r="P216" s="80" t="s">
        <v>135</v>
      </c>
      <c r="Q216" s="80" t="s">
        <v>123</v>
      </c>
      <c r="R216" s="80" t="s">
        <v>174</v>
      </c>
      <c r="S216" s="80">
        <v>9</v>
      </c>
      <c r="T216" s="80">
        <v>12</v>
      </c>
      <c r="U216" s="80" t="s">
        <v>328</v>
      </c>
      <c r="V216" s="80" t="s">
        <v>126</v>
      </c>
      <c r="W216" s="80" t="s">
        <v>127</v>
      </c>
      <c r="X216" s="80"/>
      <c r="Y216" s="80"/>
    </row>
    <row r="217" spans="1:25">
      <c r="A217" s="80">
        <f t="shared" si="3"/>
        <v>216</v>
      </c>
      <c r="B217" s="10">
        <v>45966.474016203698</v>
      </c>
      <c r="C217" s="80" t="s">
        <v>157</v>
      </c>
      <c r="D217" s="80" t="s">
        <v>1320</v>
      </c>
      <c r="E217" s="80" t="s">
        <v>1137</v>
      </c>
      <c r="F217" s="80" t="s">
        <v>1138</v>
      </c>
      <c r="G217" s="80" t="s">
        <v>1139</v>
      </c>
      <c r="H217" s="80" t="s">
        <v>115</v>
      </c>
      <c r="I217" s="80" t="s">
        <v>237</v>
      </c>
      <c r="J217" s="80" t="s">
        <v>117</v>
      </c>
      <c r="K217" s="80">
        <v>10</v>
      </c>
      <c r="L217" s="80" t="s">
        <v>1140</v>
      </c>
      <c r="M217" s="80" t="s">
        <v>1141</v>
      </c>
      <c r="N217" s="80" t="s">
        <v>120</v>
      </c>
      <c r="O217" s="80" t="s">
        <v>247</v>
      </c>
      <c r="P217" s="80" t="s">
        <v>304</v>
      </c>
      <c r="Q217" s="80" t="s">
        <v>123</v>
      </c>
      <c r="R217" s="80" t="s">
        <v>174</v>
      </c>
      <c r="S217" s="80">
        <v>13</v>
      </c>
      <c r="T217" s="80">
        <v>18</v>
      </c>
      <c r="U217" s="80" t="s">
        <v>167</v>
      </c>
      <c r="V217" s="80" t="s">
        <v>126</v>
      </c>
      <c r="W217" s="80" t="s">
        <v>127</v>
      </c>
      <c r="X217" s="80"/>
      <c r="Y217" s="80"/>
    </row>
    <row r="218" spans="1:25">
      <c r="A218" s="80">
        <f t="shared" si="3"/>
        <v>217</v>
      </c>
      <c r="B218" s="10">
        <v>45966.475416666697</v>
      </c>
      <c r="C218" s="80" t="s">
        <v>1305</v>
      </c>
      <c r="D218" s="80" t="s">
        <v>1321</v>
      </c>
      <c r="E218" s="80" t="s">
        <v>1322</v>
      </c>
      <c r="F218" s="80" t="s">
        <v>1323</v>
      </c>
      <c r="G218" s="80" t="s">
        <v>1324</v>
      </c>
      <c r="H218" s="80" t="s">
        <v>115</v>
      </c>
      <c r="I218" s="80" t="s">
        <v>865</v>
      </c>
      <c r="J218" s="80" t="s">
        <v>149</v>
      </c>
      <c r="K218" s="80">
        <v>23</v>
      </c>
      <c r="L218" s="80" t="s">
        <v>1325</v>
      </c>
      <c r="M218" s="80" t="s">
        <v>1326</v>
      </c>
      <c r="N218" s="80" t="s">
        <v>120</v>
      </c>
      <c r="O218" s="80" t="s">
        <v>1327</v>
      </c>
      <c r="P218" s="80" t="s">
        <v>231</v>
      </c>
      <c r="Q218" s="80" t="s">
        <v>123</v>
      </c>
      <c r="R218" s="80" t="s">
        <v>174</v>
      </c>
      <c r="S218" s="80">
        <v>1</v>
      </c>
      <c r="T218" s="80">
        <v>6</v>
      </c>
      <c r="U218" s="80" t="s">
        <v>1312</v>
      </c>
      <c r="V218" s="80" t="s">
        <v>126</v>
      </c>
      <c r="W218" s="80" t="s">
        <v>127</v>
      </c>
      <c r="X218" s="80"/>
      <c r="Y218" s="80"/>
    </row>
    <row r="219" spans="1:25">
      <c r="A219" s="80">
        <f t="shared" si="3"/>
        <v>218</v>
      </c>
      <c r="B219" s="10">
        <v>45966.478738425903</v>
      </c>
      <c r="C219" s="80" t="s">
        <v>110</v>
      </c>
      <c r="D219" s="80" t="s">
        <v>1328</v>
      </c>
      <c r="E219" s="80" t="s">
        <v>1329</v>
      </c>
      <c r="F219" s="80" t="s">
        <v>1330</v>
      </c>
      <c r="G219" s="80" t="s">
        <v>1331</v>
      </c>
      <c r="H219" s="80" t="s">
        <v>115</v>
      </c>
      <c r="I219" s="80" t="s">
        <v>865</v>
      </c>
      <c r="J219" s="80" t="s">
        <v>117</v>
      </c>
      <c r="K219" s="80">
        <v>13</v>
      </c>
      <c r="L219" s="80" t="s">
        <v>1332</v>
      </c>
      <c r="M219" s="80" t="s">
        <v>1333</v>
      </c>
      <c r="N219" s="80" t="s">
        <v>120</v>
      </c>
      <c r="O219" s="80" t="s">
        <v>121</v>
      </c>
      <c r="P219" s="80" t="s">
        <v>135</v>
      </c>
      <c r="Q219" s="80" t="s">
        <v>123</v>
      </c>
      <c r="R219" s="80" t="s">
        <v>174</v>
      </c>
      <c r="S219" s="80">
        <v>18</v>
      </c>
      <c r="T219" s="80">
        <v>24</v>
      </c>
      <c r="U219" s="80" t="s">
        <v>125</v>
      </c>
      <c r="V219" s="80" t="s">
        <v>126</v>
      </c>
      <c r="W219" s="80" t="s">
        <v>127</v>
      </c>
      <c r="X219" s="80"/>
      <c r="Y219" s="80"/>
    </row>
    <row r="220" spans="1:25">
      <c r="A220" s="80">
        <f t="shared" si="3"/>
        <v>219</v>
      </c>
      <c r="B220" s="10">
        <v>45966.486030092601</v>
      </c>
      <c r="C220" s="80" t="s">
        <v>362</v>
      </c>
      <c r="D220" s="80" t="s">
        <v>1334</v>
      </c>
      <c r="E220" s="80" t="s">
        <v>1335</v>
      </c>
      <c r="F220" s="80" t="s">
        <v>1336</v>
      </c>
      <c r="G220" s="80" t="s">
        <v>1337</v>
      </c>
      <c r="H220" s="80" t="s">
        <v>115</v>
      </c>
      <c r="I220" s="80" t="s">
        <v>244</v>
      </c>
      <c r="J220" s="80" t="s">
        <v>117</v>
      </c>
      <c r="K220" s="80">
        <v>17</v>
      </c>
      <c r="L220" s="80" t="s">
        <v>1338</v>
      </c>
      <c r="M220" s="80" t="s">
        <v>1339</v>
      </c>
      <c r="N220" s="80" t="s">
        <v>120</v>
      </c>
      <c r="O220" s="80" t="s">
        <v>1340</v>
      </c>
      <c r="P220" s="80" t="s">
        <v>269</v>
      </c>
      <c r="Q220" s="80" t="s">
        <v>123</v>
      </c>
      <c r="R220" s="80" t="s">
        <v>174</v>
      </c>
      <c r="S220" s="80">
        <v>11</v>
      </c>
      <c r="T220" s="80">
        <v>12</v>
      </c>
      <c r="U220" s="80" t="s">
        <v>364</v>
      </c>
      <c r="V220" s="80" t="s">
        <v>126</v>
      </c>
      <c r="W220" s="80" t="s">
        <v>127</v>
      </c>
      <c r="X220" s="80"/>
      <c r="Y220" s="80"/>
    </row>
    <row r="221" spans="1:25">
      <c r="A221" s="80">
        <f t="shared" si="3"/>
        <v>220</v>
      </c>
      <c r="B221" s="10">
        <v>45966.486585648097</v>
      </c>
      <c r="C221" s="80" t="s">
        <v>456</v>
      </c>
      <c r="D221" s="80" t="s">
        <v>1341</v>
      </c>
      <c r="E221" s="80" t="s">
        <v>1342</v>
      </c>
      <c r="F221" s="80" t="s">
        <v>1343</v>
      </c>
      <c r="G221" s="80" t="s">
        <v>1344</v>
      </c>
      <c r="H221" s="80" t="s">
        <v>115</v>
      </c>
      <c r="I221" s="80" t="s">
        <v>865</v>
      </c>
      <c r="J221" s="80" t="s">
        <v>149</v>
      </c>
      <c r="K221" s="80">
        <v>17</v>
      </c>
      <c r="L221" s="80" t="s">
        <v>1345</v>
      </c>
      <c r="M221" s="80" t="s">
        <v>1346</v>
      </c>
      <c r="N221" s="80" t="s">
        <v>120</v>
      </c>
      <c r="O221" s="80" t="s">
        <v>152</v>
      </c>
      <c r="P221" s="80" t="s">
        <v>287</v>
      </c>
      <c r="Q221" s="80" t="s">
        <v>123</v>
      </c>
      <c r="R221" s="80" t="s">
        <v>174</v>
      </c>
      <c r="S221" s="80">
        <v>1</v>
      </c>
      <c r="T221" s="80">
        <v>12</v>
      </c>
      <c r="U221" s="80" t="s">
        <v>466</v>
      </c>
      <c r="V221" s="80" t="s">
        <v>126</v>
      </c>
      <c r="W221" s="80" t="s">
        <v>127</v>
      </c>
      <c r="X221" s="80"/>
      <c r="Y221" s="80"/>
    </row>
    <row r="222" spans="1:25">
      <c r="A222" s="80">
        <f t="shared" si="3"/>
        <v>221</v>
      </c>
      <c r="B222" s="10">
        <v>45966.487453703703</v>
      </c>
      <c r="C222" s="80" t="s">
        <v>280</v>
      </c>
      <c r="D222" s="80" t="s">
        <v>1347</v>
      </c>
      <c r="E222" s="80" t="s">
        <v>1348</v>
      </c>
      <c r="F222" s="80" t="s">
        <v>1349</v>
      </c>
      <c r="G222" s="80" t="s">
        <v>1350</v>
      </c>
      <c r="H222" s="80" t="s">
        <v>115</v>
      </c>
      <c r="I222" s="80" t="s">
        <v>865</v>
      </c>
      <c r="J222" s="80" t="s">
        <v>117</v>
      </c>
      <c r="K222" s="80">
        <v>12</v>
      </c>
      <c r="L222" s="80" t="s">
        <v>1351</v>
      </c>
      <c r="M222" s="80" t="s">
        <v>1352</v>
      </c>
      <c r="N222" s="80" t="s">
        <v>120</v>
      </c>
      <c r="O222" s="80" t="s">
        <v>213</v>
      </c>
      <c r="P222" s="80" t="s">
        <v>135</v>
      </c>
      <c r="Q222" s="80" t="s">
        <v>123</v>
      </c>
      <c r="R222" s="80" t="s">
        <v>174</v>
      </c>
      <c r="S222" s="80">
        <v>15</v>
      </c>
      <c r="T222" s="80">
        <v>18</v>
      </c>
      <c r="U222" s="80" t="s">
        <v>288</v>
      </c>
      <c r="V222" s="80" t="s">
        <v>126</v>
      </c>
      <c r="W222" s="80" t="s">
        <v>127</v>
      </c>
      <c r="X222" s="80"/>
      <c r="Y222" s="80"/>
    </row>
    <row r="223" spans="1:25" ht="30">
      <c r="A223" s="80">
        <f t="shared" si="3"/>
        <v>222</v>
      </c>
      <c r="B223" s="10">
        <v>45966.492314814801</v>
      </c>
      <c r="C223" s="80" t="s">
        <v>280</v>
      </c>
      <c r="D223" s="80" t="s">
        <v>1353</v>
      </c>
      <c r="E223" s="80" t="s">
        <v>1354</v>
      </c>
      <c r="F223" s="80" t="s">
        <v>1355</v>
      </c>
      <c r="G223" s="80" t="s">
        <v>1356</v>
      </c>
      <c r="H223" s="80" t="s">
        <v>184</v>
      </c>
      <c r="I223" s="80" t="s">
        <v>46</v>
      </c>
      <c r="J223" s="80" t="s">
        <v>149</v>
      </c>
      <c r="K223" s="80">
        <v>21</v>
      </c>
      <c r="L223" s="80" t="s">
        <v>1357</v>
      </c>
      <c r="M223" s="80" t="s">
        <v>1358</v>
      </c>
      <c r="N223" s="80" t="s">
        <v>120</v>
      </c>
      <c r="O223" s="80" t="s">
        <v>240</v>
      </c>
      <c r="P223" s="80" t="s">
        <v>135</v>
      </c>
      <c r="Q223" s="80" t="s">
        <v>123</v>
      </c>
      <c r="R223" s="80" t="s">
        <v>136</v>
      </c>
      <c r="S223" s="80">
        <v>6</v>
      </c>
      <c r="T223" s="80">
        <v>18</v>
      </c>
      <c r="U223" s="80" t="s">
        <v>288</v>
      </c>
      <c r="V223" s="80" t="s">
        <v>126</v>
      </c>
      <c r="W223" s="80" t="s">
        <v>204</v>
      </c>
      <c r="X223" s="80" t="s">
        <v>205</v>
      </c>
      <c r="Y223" s="12" t="s">
        <v>1359</v>
      </c>
    </row>
    <row r="224" spans="1:25">
      <c r="A224" s="80">
        <f t="shared" si="3"/>
        <v>223</v>
      </c>
      <c r="B224" s="10">
        <v>45966.496932870403</v>
      </c>
      <c r="C224" s="80" t="s">
        <v>320</v>
      </c>
      <c r="D224" s="80" t="s">
        <v>1360</v>
      </c>
      <c r="E224" s="80" t="s">
        <v>1361</v>
      </c>
      <c r="F224" s="80" t="s">
        <v>1362</v>
      </c>
      <c r="G224" s="80" t="s">
        <v>1363</v>
      </c>
      <c r="H224" s="80" t="s">
        <v>115</v>
      </c>
      <c r="I224" s="80" t="s">
        <v>244</v>
      </c>
      <c r="J224" s="80" t="s">
        <v>117</v>
      </c>
      <c r="K224" s="80">
        <v>5</v>
      </c>
      <c r="L224" s="80" t="s">
        <v>1364</v>
      </c>
      <c r="M224" s="80" t="s">
        <v>1365</v>
      </c>
      <c r="N224" s="80" t="s">
        <v>120</v>
      </c>
      <c r="O224" s="80" t="s">
        <v>572</v>
      </c>
      <c r="P224" s="80" t="s">
        <v>135</v>
      </c>
      <c r="Q224" s="80" t="s">
        <v>123</v>
      </c>
      <c r="R224" s="80" t="s">
        <v>136</v>
      </c>
      <c r="S224" s="80">
        <v>5</v>
      </c>
      <c r="T224" s="80">
        <v>24</v>
      </c>
      <c r="U224" s="80" t="s">
        <v>328</v>
      </c>
      <c r="V224" s="80" t="s">
        <v>126</v>
      </c>
      <c r="W224" s="80" t="s">
        <v>127</v>
      </c>
      <c r="X224" s="80"/>
      <c r="Y224" s="80"/>
    </row>
    <row r="225" spans="1:25">
      <c r="A225" s="80">
        <f t="shared" si="3"/>
        <v>224</v>
      </c>
      <c r="B225" s="10">
        <v>45966.5176967593</v>
      </c>
      <c r="C225" s="80" t="s">
        <v>553</v>
      </c>
      <c r="D225" s="80" t="s">
        <v>1366</v>
      </c>
      <c r="E225" s="80" t="s">
        <v>1367</v>
      </c>
      <c r="F225" s="80" t="s">
        <v>1368</v>
      </c>
      <c r="G225" s="80" t="s">
        <v>1369</v>
      </c>
      <c r="H225" s="80" t="s">
        <v>115</v>
      </c>
      <c r="I225" s="80" t="s">
        <v>865</v>
      </c>
      <c r="J225" s="80" t="s">
        <v>117</v>
      </c>
      <c r="K225" s="80">
        <v>5</v>
      </c>
      <c r="L225" s="80" t="s">
        <v>1370</v>
      </c>
      <c r="M225" s="80" t="s">
        <v>1371</v>
      </c>
      <c r="N225" s="80" t="s">
        <v>120</v>
      </c>
      <c r="O225" s="80" t="s">
        <v>247</v>
      </c>
      <c r="P225" s="80" t="s">
        <v>1372</v>
      </c>
      <c r="Q225" s="80" t="s">
        <v>123</v>
      </c>
      <c r="R225" s="80" t="s">
        <v>124</v>
      </c>
      <c r="S225" s="80">
        <v>5</v>
      </c>
      <c r="T225" s="80">
        <v>12</v>
      </c>
      <c r="U225" s="80" t="s">
        <v>562</v>
      </c>
      <c r="V225" s="80" t="s">
        <v>126</v>
      </c>
      <c r="W225" s="80" t="s">
        <v>127</v>
      </c>
      <c r="X225" s="80"/>
      <c r="Y225" s="80"/>
    </row>
    <row r="226" spans="1:25">
      <c r="A226" s="80">
        <f t="shared" si="3"/>
        <v>225</v>
      </c>
      <c r="B226" s="10">
        <v>45966.520671296297</v>
      </c>
      <c r="C226" s="80" t="s">
        <v>604</v>
      </c>
      <c r="D226" s="80" t="s">
        <v>1373</v>
      </c>
      <c r="E226" s="80" t="s">
        <v>1374</v>
      </c>
      <c r="F226" s="80" t="s">
        <v>1375</v>
      </c>
      <c r="G226" s="80" t="s">
        <v>1376</v>
      </c>
      <c r="H226" s="80" t="s">
        <v>477</v>
      </c>
      <c r="I226" s="80" t="s">
        <v>1165</v>
      </c>
      <c r="J226" s="80" t="s">
        <v>149</v>
      </c>
      <c r="K226" s="80">
        <v>19</v>
      </c>
      <c r="L226" s="80" t="s">
        <v>1377</v>
      </c>
      <c r="M226" s="80" t="s">
        <v>1378</v>
      </c>
      <c r="N226" s="80" t="s">
        <v>120</v>
      </c>
      <c r="O226" s="80" t="s">
        <v>327</v>
      </c>
      <c r="P226" s="80" t="s">
        <v>135</v>
      </c>
      <c r="Q226" s="80" t="s">
        <v>123</v>
      </c>
      <c r="R226" s="80" t="s">
        <v>136</v>
      </c>
      <c r="S226" s="80">
        <v>3</v>
      </c>
      <c r="T226" s="80">
        <v>18</v>
      </c>
      <c r="U226" s="80" t="s">
        <v>613</v>
      </c>
      <c r="V226" s="80" t="s">
        <v>126</v>
      </c>
      <c r="W226" s="80" t="s">
        <v>1770</v>
      </c>
      <c r="X226" s="80"/>
      <c r="Y226" s="80"/>
    </row>
    <row r="227" spans="1:25">
      <c r="A227" s="80">
        <f t="shared" si="3"/>
        <v>226</v>
      </c>
      <c r="B227" s="10">
        <v>45966.5215046296</v>
      </c>
      <c r="C227" s="80" t="s">
        <v>297</v>
      </c>
      <c r="D227" s="80" t="s">
        <v>1379</v>
      </c>
      <c r="E227" s="80" t="s">
        <v>1380</v>
      </c>
      <c r="F227" s="80" t="s">
        <v>1381</v>
      </c>
      <c r="G227" s="80" t="s">
        <v>1382</v>
      </c>
      <c r="H227" s="80" t="s">
        <v>115</v>
      </c>
      <c r="I227" s="80" t="s">
        <v>1383</v>
      </c>
      <c r="J227" s="80" t="s">
        <v>117</v>
      </c>
      <c r="K227" s="80">
        <v>22</v>
      </c>
      <c r="L227" s="80" t="s">
        <v>1384</v>
      </c>
      <c r="M227" s="80" t="s">
        <v>1385</v>
      </c>
      <c r="N227" s="80" t="s">
        <v>120</v>
      </c>
      <c r="O227" s="80" t="s">
        <v>247</v>
      </c>
      <c r="P227" s="80" t="s">
        <v>304</v>
      </c>
      <c r="Q227" s="80" t="s">
        <v>123</v>
      </c>
      <c r="R227" s="80" t="s">
        <v>124</v>
      </c>
      <c r="S227" s="80">
        <v>3</v>
      </c>
      <c r="T227" s="80">
        <v>18</v>
      </c>
      <c r="U227" s="80" t="s">
        <v>305</v>
      </c>
      <c r="V227" s="80" t="s">
        <v>126</v>
      </c>
      <c r="W227" s="80" t="s">
        <v>137</v>
      </c>
      <c r="X227" s="80"/>
      <c r="Y227" s="80"/>
    </row>
    <row r="228" spans="1:25">
      <c r="A228" s="80">
        <f t="shared" si="3"/>
        <v>227</v>
      </c>
      <c r="B228" s="10">
        <v>45966.538414351897</v>
      </c>
      <c r="C228" s="80" t="s">
        <v>840</v>
      </c>
      <c r="D228" s="80" t="s">
        <v>1386</v>
      </c>
      <c r="E228" s="80" t="s">
        <v>1387</v>
      </c>
      <c r="F228" s="80" t="s">
        <v>1388</v>
      </c>
      <c r="G228" s="80" t="s">
        <v>1389</v>
      </c>
      <c r="H228" s="80" t="s">
        <v>115</v>
      </c>
      <c r="I228" s="80" t="s">
        <v>865</v>
      </c>
      <c r="J228" s="80" t="s">
        <v>117</v>
      </c>
      <c r="K228" s="80">
        <v>20</v>
      </c>
      <c r="L228" s="80" t="s">
        <v>1390</v>
      </c>
      <c r="M228" s="80" t="s">
        <v>1391</v>
      </c>
      <c r="N228" s="80" t="s">
        <v>164</v>
      </c>
      <c r="O228" s="80" t="s">
        <v>406</v>
      </c>
      <c r="P228" s="80" t="s">
        <v>178</v>
      </c>
      <c r="Q228" s="80" t="s">
        <v>123</v>
      </c>
      <c r="R228" s="80" t="s">
        <v>174</v>
      </c>
      <c r="S228" s="80">
        <v>10</v>
      </c>
      <c r="T228" s="80">
        <v>18</v>
      </c>
      <c r="U228" s="80" t="s">
        <v>843</v>
      </c>
      <c r="V228" s="80" t="s">
        <v>126</v>
      </c>
      <c r="W228" s="80" t="s">
        <v>127</v>
      </c>
      <c r="X228" s="80"/>
      <c r="Y228" s="80"/>
    </row>
    <row r="229" spans="1:25">
      <c r="A229" s="80">
        <f t="shared" si="3"/>
        <v>228</v>
      </c>
      <c r="B229" s="10">
        <v>45966.541793981502</v>
      </c>
      <c r="C229" s="80" t="s">
        <v>553</v>
      </c>
      <c r="D229" s="80" t="s">
        <v>1392</v>
      </c>
      <c r="E229" s="80" t="s">
        <v>1393</v>
      </c>
      <c r="F229" s="80" t="s">
        <v>1394</v>
      </c>
      <c r="G229" s="80" t="s">
        <v>1395</v>
      </c>
      <c r="H229" s="80" t="s">
        <v>115</v>
      </c>
      <c r="I229" s="80" t="s">
        <v>237</v>
      </c>
      <c r="J229" s="80" t="s">
        <v>117</v>
      </c>
      <c r="K229" s="80">
        <v>20</v>
      </c>
      <c r="L229" s="80" t="s">
        <v>1396</v>
      </c>
      <c r="M229" s="80" t="s">
        <v>1397</v>
      </c>
      <c r="N229" s="80" t="s">
        <v>120</v>
      </c>
      <c r="O229" s="80" t="s">
        <v>1398</v>
      </c>
      <c r="P229" s="80" t="s">
        <v>135</v>
      </c>
      <c r="Q229" s="80" t="s">
        <v>123</v>
      </c>
      <c r="R229" s="80" t="s">
        <v>174</v>
      </c>
      <c r="S229" s="80">
        <v>18</v>
      </c>
      <c r="T229" s="80">
        <v>18</v>
      </c>
      <c r="U229" s="80" t="s">
        <v>562</v>
      </c>
      <c r="V229" s="80" t="s">
        <v>126</v>
      </c>
      <c r="W229" s="80" t="s">
        <v>127</v>
      </c>
      <c r="X229" s="80"/>
      <c r="Y229" s="80"/>
    </row>
    <row r="230" spans="1:25">
      <c r="A230" s="80">
        <f t="shared" si="3"/>
        <v>229</v>
      </c>
      <c r="B230" s="10">
        <v>45966.541967592602</v>
      </c>
      <c r="C230" s="80" t="s">
        <v>880</v>
      </c>
      <c r="D230" s="80" t="s">
        <v>1399</v>
      </c>
      <c r="E230" s="80" t="s">
        <v>1393</v>
      </c>
      <c r="F230" s="80" t="s">
        <v>1394</v>
      </c>
      <c r="G230" s="80" t="s">
        <v>1395</v>
      </c>
      <c r="H230" s="80" t="s">
        <v>115</v>
      </c>
      <c r="I230" s="80" t="s">
        <v>237</v>
      </c>
      <c r="J230" s="80" t="s">
        <v>117</v>
      </c>
      <c r="K230" s="80">
        <v>20</v>
      </c>
      <c r="L230" s="80" t="s">
        <v>1396</v>
      </c>
      <c r="M230" s="80" t="s">
        <v>1397</v>
      </c>
      <c r="N230" s="80" t="s">
        <v>120</v>
      </c>
      <c r="O230" s="80" t="s">
        <v>1398</v>
      </c>
      <c r="P230" s="80" t="s">
        <v>135</v>
      </c>
      <c r="Q230" s="80" t="s">
        <v>123</v>
      </c>
      <c r="R230" s="80" t="s">
        <v>174</v>
      </c>
      <c r="S230" s="80">
        <v>18</v>
      </c>
      <c r="T230" s="80">
        <v>18</v>
      </c>
      <c r="U230" s="80" t="s">
        <v>882</v>
      </c>
      <c r="V230" s="80" t="s">
        <v>126</v>
      </c>
      <c r="W230" s="80" t="s">
        <v>127</v>
      </c>
      <c r="X230" s="80"/>
      <c r="Y230" s="80"/>
    </row>
    <row r="231" spans="1:25">
      <c r="A231" s="80">
        <f t="shared" si="3"/>
        <v>230</v>
      </c>
      <c r="B231" s="10">
        <v>45966.543321759302</v>
      </c>
      <c r="C231" s="80" t="s">
        <v>553</v>
      </c>
      <c r="D231" s="80" t="s">
        <v>1400</v>
      </c>
      <c r="E231" s="80" t="s">
        <v>1401</v>
      </c>
      <c r="F231" s="80" t="s">
        <v>1402</v>
      </c>
      <c r="G231" s="80" t="s">
        <v>1403</v>
      </c>
      <c r="H231" s="80" t="s">
        <v>115</v>
      </c>
      <c r="I231" s="80" t="s">
        <v>227</v>
      </c>
      <c r="J231" s="80" t="s">
        <v>117</v>
      </c>
      <c r="K231" s="80">
        <v>20</v>
      </c>
      <c r="L231" s="80" t="s">
        <v>1404</v>
      </c>
      <c r="M231" s="80" t="s">
        <v>1405</v>
      </c>
      <c r="N231" s="80" t="s">
        <v>120</v>
      </c>
      <c r="O231" s="80" t="s">
        <v>152</v>
      </c>
      <c r="P231" s="80" t="s">
        <v>135</v>
      </c>
      <c r="Q231" s="80" t="s">
        <v>123</v>
      </c>
      <c r="R231" s="80" t="s">
        <v>174</v>
      </c>
      <c r="S231" s="80">
        <v>17</v>
      </c>
      <c r="T231" s="80">
        <v>24</v>
      </c>
      <c r="U231" s="80" t="s">
        <v>562</v>
      </c>
      <c r="V231" s="80" t="s">
        <v>126</v>
      </c>
      <c r="W231" s="80" t="s">
        <v>127</v>
      </c>
      <c r="X231" s="80"/>
      <c r="Y231" s="80"/>
    </row>
    <row r="232" spans="1:25">
      <c r="A232" s="80">
        <f t="shared" si="3"/>
        <v>231</v>
      </c>
      <c r="B232" s="10">
        <v>45966.543715277803</v>
      </c>
      <c r="C232" s="80" t="s">
        <v>880</v>
      </c>
      <c r="D232" s="80" t="s">
        <v>1406</v>
      </c>
      <c r="E232" s="80" t="s">
        <v>1407</v>
      </c>
      <c r="F232" s="80" t="s">
        <v>1408</v>
      </c>
      <c r="G232" s="80" t="s">
        <v>1409</v>
      </c>
      <c r="H232" s="80" t="s">
        <v>115</v>
      </c>
      <c r="I232" s="80" t="s">
        <v>1410</v>
      </c>
      <c r="J232" s="80" t="s">
        <v>117</v>
      </c>
      <c r="K232" s="80">
        <v>1</v>
      </c>
      <c r="L232" s="80" t="s">
        <v>1411</v>
      </c>
      <c r="M232" s="80" t="s">
        <v>1412</v>
      </c>
      <c r="N232" s="80" t="s">
        <v>120</v>
      </c>
      <c r="O232" s="80" t="s">
        <v>1072</v>
      </c>
      <c r="P232" s="80" t="s">
        <v>581</v>
      </c>
      <c r="Q232" s="80" t="s">
        <v>123</v>
      </c>
      <c r="R232" s="80" t="s">
        <v>136</v>
      </c>
      <c r="S232" s="80">
        <v>4</v>
      </c>
      <c r="T232" s="80">
        <v>24</v>
      </c>
      <c r="U232" s="80" t="s">
        <v>882</v>
      </c>
      <c r="V232" s="80" t="s">
        <v>126</v>
      </c>
      <c r="W232" s="80" t="s">
        <v>127</v>
      </c>
      <c r="X232" s="80"/>
      <c r="Y232" s="80"/>
    </row>
    <row r="233" spans="1:25">
      <c r="A233" s="80">
        <f t="shared" si="3"/>
        <v>232</v>
      </c>
      <c r="B233" s="10">
        <v>45966.5491203704</v>
      </c>
      <c r="C233" s="80" t="s">
        <v>880</v>
      </c>
      <c r="D233" s="80" t="s">
        <v>1413</v>
      </c>
      <c r="E233" s="80" t="s">
        <v>1414</v>
      </c>
      <c r="F233" s="80" t="s">
        <v>1415</v>
      </c>
      <c r="G233" s="80" t="s">
        <v>1416</v>
      </c>
      <c r="H233" s="80" t="s">
        <v>115</v>
      </c>
      <c r="I233" s="80" t="s">
        <v>275</v>
      </c>
      <c r="J233" s="80" t="s">
        <v>117</v>
      </c>
      <c r="K233" s="80">
        <v>21</v>
      </c>
      <c r="L233" s="80" t="s">
        <v>1417</v>
      </c>
      <c r="M233" s="80" t="s">
        <v>1418</v>
      </c>
      <c r="N233" s="80" t="s">
        <v>120</v>
      </c>
      <c r="O233" s="80" t="s">
        <v>247</v>
      </c>
      <c r="P233" s="80" t="s">
        <v>612</v>
      </c>
      <c r="Q233" s="80" t="s">
        <v>123</v>
      </c>
      <c r="R233" s="80" t="s">
        <v>174</v>
      </c>
      <c r="S233" s="80">
        <v>4</v>
      </c>
      <c r="T233" s="80">
        <v>12</v>
      </c>
      <c r="U233" s="80" t="s">
        <v>882</v>
      </c>
      <c r="V233" s="80" t="s">
        <v>126</v>
      </c>
      <c r="W233" s="80" t="s">
        <v>127</v>
      </c>
      <c r="X233" s="80"/>
      <c r="Y233" s="80"/>
    </row>
    <row r="234" spans="1:25">
      <c r="A234" s="80">
        <f t="shared" si="3"/>
        <v>233</v>
      </c>
      <c r="B234" s="10">
        <v>45966.549143518503</v>
      </c>
      <c r="C234" s="80" t="s">
        <v>563</v>
      </c>
      <c r="D234" s="80" t="s">
        <v>1419</v>
      </c>
      <c r="E234" s="80" t="s">
        <v>1414</v>
      </c>
      <c r="F234" s="80" t="s">
        <v>1415</v>
      </c>
      <c r="G234" s="80" t="s">
        <v>1416</v>
      </c>
      <c r="H234" s="80" t="s">
        <v>115</v>
      </c>
      <c r="I234" s="80" t="s">
        <v>275</v>
      </c>
      <c r="J234" s="80" t="s">
        <v>117</v>
      </c>
      <c r="K234" s="80">
        <v>21</v>
      </c>
      <c r="L234" s="80" t="s">
        <v>1417</v>
      </c>
      <c r="M234" s="80" t="s">
        <v>1418</v>
      </c>
      <c r="N234" s="80" t="s">
        <v>120</v>
      </c>
      <c r="O234" s="80" t="s">
        <v>247</v>
      </c>
      <c r="P234" s="80" t="s">
        <v>612</v>
      </c>
      <c r="Q234" s="80" t="s">
        <v>123</v>
      </c>
      <c r="R234" s="80" t="s">
        <v>174</v>
      </c>
      <c r="S234" s="80">
        <v>4</v>
      </c>
      <c r="T234" s="80">
        <v>12</v>
      </c>
      <c r="U234" s="80" t="s">
        <v>565</v>
      </c>
      <c r="V234" s="80" t="s">
        <v>126</v>
      </c>
      <c r="W234" s="80" t="s">
        <v>127</v>
      </c>
      <c r="X234" s="80"/>
      <c r="Y234" s="80"/>
    </row>
    <row r="235" spans="1:25">
      <c r="A235" s="80">
        <f t="shared" si="3"/>
        <v>234</v>
      </c>
      <c r="B235" s="10">
        <v>45966.5491666667</v>
      </c>
      <c r="C235" s="80" t="s">
        <v>553</v>
      </c>
      <c r="D235" s="80" t="s">
        <v>1420</v>
      </c>
      <c r="E235" s="80" t="s">
        <v>1414</v>
      </c>
      <c r="F235" s="80" t="s">
        <v>1415</v>
      </c>
      <c r="G235" s="80" t="s">
        <v>1416</v>
      </c>
      <c r="H235" s="80" t="s">
        <v>115</v>
      </c>
      <c r="I235" s="80" t="s">
        <v>275</v>
      </c>
      <c r="J235" s="80" t="s">
        <v>117</v>
      </c>
      <c r="K235" s="80">
        <v>21</v>
      </c>
      <c r="L235" s="80" t="s">
        <v>1417</v>
      </c>
      <c r="M235" s="80" t="s">
        <v>1418</v>
      </c>
      <c r="N235" s="80" t="s">
        <v>120</v>
      </c>
      <c r="O235" s="80" t="s">
        <v>247</v>
      </c>
      <c r="P235" s="80" t="s">
        <v>612</v>
      </c>
      <c r="Q235" s="80" t="s">
        <v>123</v>
      </c>
      <c r="R235" s="80" t="s">
        <v>174</v>
      </c>
      <c r="S235" s="80">
        <v>4</v>
      </c>
      <c r="T235" s="80">
        <v>12</v>
      </c>
      <c r="U235" s="80" t="s">
        <v>562</v>
      </c>
      <c r="V235" s="80" t="s">
        <v>126</v>
      </c>
      <c r="W235" s="80" t="s">
        <v>127</v>
      </c>
      <c r="X235" s="80"/>
      <c r="Y235" s="80"/>
    </row>
    <row r="236" spans="1:25">
      <c r="A236" s="80">
        <f t="shared" si="3"/>
        <v>235</v>
      </c>
      <c r="B236" s="10">
        <v>45966.554039351897</v>
      </c>
      <c r="C236" s="80" t="s">
        <v>563</v>
      </c>
      <c r="D236" s="80" t="s">
        <v>1421</v>
      </c>
      <c r="E236" s="80" t="s">
        <v>1422</v>
      </c>
      <c r="F236" s="80" t="s">
        <v>1423</v>
      </c>
      <c r="G236" s="80" t="s">
        <v>1424</v>
      </c>
      <c r="H236" s="80" t="s">
        <v>115</v>
      </c>
      <c r="I236" s="80" t="s">
        <v>865</v>
      </c>
      <c r="J236" s="80" t="s">
        <v>149</v>
      </c>
      <c r="K236" s="80">
        <v>10</v>
      </c>
      <c r="L236" s="80" t="s">
        <v>1425</v>
      </c>
      <c r="M236" s="80" t="s">
        <v>1426</v>
      </c>
      <c r="N236" s="80" t="s">
        <v>120</v>
      </c>
      <c r="O236" s="80" t="s">
        <v>240</v>
      </c>
      <c r="P236" s="80" t="s">
        <v>135</v>
      </c>
      <c r="Q236" s="80" t="s">
        <v>123</v>
      </c>
      <c r="R236" s="80" t="s">
        <v>174</v>
      </c>
      <c r="S236" s="80">
        <v>1</v>
      </c>
      <c r="T236" s="80">
        <v>24</v>
      </c>
      <c r="U236" s="80" t="s">
        <v>565</v>
      </c>
      <c r="V236" s="80" t="s">
        <v>126</v>
      </c>
      <c r="W236" s="80" t="s">
        <v>127</v>
      </c>
      <c r="X236" s="80"/>
      <c r="Y236" s="80"/>
    </row>
    <row r="237" spans="1:25">
      <c r="A237" s="80">
        <f t="shared" si="3"/>
        <v>236</v>
      </c>
      <c r="B237" s="10">
        <v>45966.554814814801</v>
      </c>
      <c r="C237" s="80" t="s">
        <v>157</v>
      </c>
      <c r="D237" s="80" t="s">
        <v>1427</v>
      </c>
      <c r="E237" s="80" t="s">
        <v>1428</v>
      </c>
      <c r="F237" s="80" t="s">
        <v>1429</v>
      </c>
      <c r="G237" s="80" t="s">
        <v>1430</v>
      </c>
      <c r="H237" s="80" t="s">
        <v>477</v>
      </c>
      <c r="I237" s="80" t="s">
        <v>1165</v>
      </c>
      <c r="J237" s="80" t="s">
        <v>149</v>
      </c>
      <c r="K237" s="80">
        <v>2</v>
      </c>
      <c r="L237" s="80" t="s">
        <v>1431</v>
      </c>
      <c r="M237" s="80" t="s">
        <v>1432</v>
      </c>
      <c r="N237" s="80" t="s">
        <v>120</v>
      </c>
      <c r="O237" s="80" t="s">
        <v>213</v>
      </c>
      <c r="P237" s="80" t="s">
        <v>135</v>
      </c>
      <c r="Q237" s="80" t="s">
        <v>123</v>
      </c>
      <c r="R237" s="80" t="s">
        <v>215</v>
      </c>
      <c r="S237" s="80">
        <v>19</v>
      </c>
      <c r="T237" s="80">
        <v>24</v>
      </c>
      <c r="U237" s="80" t="s">
        <v>167</v>
      </c>
      <c r="V237" s="80" t="s">
        <v>126</v>
      </c>
      <c r="W237" s="80" t="s">
        <v>127</v>
      </c>
      <c r="X237" s="80"/>
      <c r="Y237" s="80"/>
    </row>
    <row r="238" spans="1:25">
      <c r="A238" s="80">
        <f t="shared" si="3"/>
        <v>237</v>
      </c>
      <c r="B238" s="10">
        <v>45966.558993055602</v>
      </c>
      <c r="C238" s="80" t="s">
        <v>320</v>
      </c>
      <c r="D238" s="80" t="s">
        <v>1433</v>
      </c>
      <c r="E238" s="80" t="s">
        <v>1434</v>
      </c>
      <c r="F238" s="80" t="s">
        <v>1435</v>
      </c>
      <c r="G238" s="80" t="s">
        <v>1436</v>
      </c>
      <c r="H238" s="80" t="s">
        <v>115</v>
      </c>
      <c r="I238" s="80" t="s">
        <v>244</v>
      </c>
      <c r="J238" s="80" t="s">
        <v>461</v>
      </c>
      <c r="K238" s="80">
        <v>17</v>
      </c>
      <c r="L238" s="80" t="s">
        <v>1437</v>
      </c>
      <c r="M238" s="80" t="s">
        <v>1438</v>
      </c>
      <c r="N238" s="80" t="s">
        <v>120</v>
      </c>
      <c r="O238" s="80" t="s">
        <v>152</v>
      </c>
      <c r="P238" s="80" t="s">
        <v>135</v>
      </c>
      <c r="Q238" s="80" t="s">
        <v>123</v>
      </c>
      <c r="R238" s="80" t="s">
        <v>174</v>
      </c>
      <c r="S238" s="80">
        <v>14</v>
      </c>
      <c r="T238" s="80">
        <v>24</v>
      </c>
      <c r="U238" s="80" t="s">
        <v>328</v>
      </c>
      <c r="V238" s="80" t="s">
        <v>126</v>
      </c>
      <c r="W238" s="80" t="s">
        <v>127</v>
      </c>
      <c r="X238" s="80"/>
      <c r="Y238" s="80"/>
    </row>
    <row r="239" spans="1:25">
      <c r="A239" s="80">
        <f t="shared" si="3"/>
        <v>238</v>
      </c>
      <c r="B239" s="10">
        <v>45966.566886574103</v>
      </c>
      <c r="C239" s="80" t="s">
        <v>329</v>
      </c>
      <c r="D239" s="80" t="s">
        <v>1439</v>
      </c>
      <c r="E239" s="80" t="s">
        <v>985</v>
      </c>
      <c r="F239" s="80" t="s">
        <v>986</v>
      </c>
      <c r="G239" s="80" t="s">
        <v>987</v>
      </c>
      <c r="H239" s="80" t="s">
        <v>115</v>
      </c>
      <c r="I239" s="80" t="s">
        <v>865</v>
      </c>
      <c r="J239" s="80" t="s">
        <v>117</v>
      </c>
      <c r="K239" s="80">
        <v>15</v>
      </c>
      <c r="L239" s="80" t="s">
        <v>988</v>
      </c>
      <c r="M239" s="80" t="s">
        <v>989</v>
      </c>
      <c r="N239" s="80" t="s">
        <v>120</v>
      </c>
      <c r="O239" s="80" t="s">
        <v>990</v>
      </c>
      <c r="P239" s="80" t="s">
        <v>269</v>
      </c>
      <c r="Q239" s="80" t="s">
        <v>123</v>
      </c>
      <c r="R239" s="80" t="s">
        <v>174</v>
      </c>
      <c r="S239" s="80">
        <v>7</v>
      </c>
      <c r="T239" s="80">
        <v>12</v>
      </c>
      <c r="U239" s="80" t="s">
        <v>336</v>
      </c>
      <c r="V239" s="80" t="s">
        <v>126</v>
      </c>
      <c r="W239" s="80" t="s">
        <v>127</v>
      </c>
      <c r="X239" s="80"/>
      <c r="Y239" s="80"/>
    </row>
    <row r="240" spans="1:25">
      <c r="A240" s="80">
        <f t="shared" si="3"/>
        <v>239</v>
      </c>
      <c r="B240" s="10">
        <v>45966.569270833301</v>
      </c>
      <c r="C240" s="80" t="s">
        <v>320</v>
      </c>
      <c r="D240" s="80" t="s">
        <v>1440</v>
      </c>
      <c r="E240" s="80" t="s">
        <v>1441</v>
      </c>
      <c r="F240" s="80" t="s">
        <v>1442</v>
      </c>
      <c r="G240" s="80" t="s">
        <v>1443</v>
      </c>
      <c r="H240" s="80" t="s">
        <v>115</v>
      </c>
      <c r="I240" s="80" t="s">
        <v>842</v>
      </c>
      <c r="J240" s="80" t="s">
        <v>117</v>
      </c>
      <c r="K240" s="80">
        <v>13</v>
      </c>
      <c r="L240" s="80" t="s">
        <v>1444</v>
      </c>
      <c r="M240" s="80" t="s">
        <v>1445</v>
      </c>
      <c r="N240" s="80" t="s">
        <v>120</v>
      </c>
      <c r="O240" s="80" t="s">
        <v>213</v>
      </c>
      <c r="P240" s="80" t="s">
        <v>135</v>
      </c>
      <c r="Q240" s="80" t="s">
        <v>123</v>
      </c>
      <c r="R240" s="80" t="s">
        <v>174</v>
      </c>
      <c r="S240" s="80">
        <v>16</v>
      </c>
      <c r="T240" s="80">
        <v>24</v>
      </c>
      <c r="U240" s="80" t="s">
        <v>328</v>
      </c>
      <c r="V240" s="80" t="s">
        <v>126</v>
      </c>
      <c r="W240" s="80" t="s">
        <v>127</v>
      </c>
      <c r="X240" s="80"/>
      <c r="Y240" s="80"/>
    </row>
    <row r="241" spans="1:25">
      <c r="A241" s="80">
        <f t="shared" si="3"/>
        <v>240</v>
      </c>
      <c r="B241" s="10">
        <v>45966.572164351899</v>
      </c>
      <c r="C241" s="80" t="s">
        <v>157</v>
      </c>
      <c r="D241" s="80" t="s">
        <v>1446</v>
      </c>
      <c r="E241" s="80" t="s">
        <v>1447</v>
      </c>
      <c r="F241" s="80" t="s">
        <v>1448</v>
      </c>
      <c r="G241" s="80" t="s">
        <v>1449</v>
      </c>
      <c r="H241" s="80" t="s">
        <v>115</v>
      </c>
      <c r="I241" s="80" t="s">
        <v>1383</v>
      </c>
      <c r="J241" s="80" t="s">
        <v>117</v>
      </c>
      <c r="K241" s="80">
        <v>14</v>
      </c>
      <c r="L241" s="80" t="s">
        <v>1450</v>
      </c>
      <c r="M241" s="80" t="s">
        <v>1451</v>
      </c>
      <c r="N241" s="80" t="s">
        <v>120</v>
      </c>
      <c r="O241" s="80" t="s">
        <v>572</v>
      </c>
      <c r="P241" s="80" t="s">
        <v>214</v>
      </c>
      <c r="Q241" s="80" t="s">
        <v>123</v>
      </c>
      <c r="R241" s="80" t="s">
        <v>174</v>
      </c>
      <c r="S241" s="80">
        <v>7</v>
      </c>
      <c r="T241" s="80">
        <v>18</v>
      </c>
      <c r="U241" s="80" t="s">
        <v>167</v>
      </c>
      <c r="V241" s="80" t="s">
        <v>126</v>
      </c>
      <c r="W241" s="80" t="s">
        <v>127</v>
      </c>
      <c r="X241" s="80"/>
      <c r="Y241" s="80"/>
    </row>
    <row r="242" spans="1:25">
      <c r="A242" s="80">
        <f t="shared" si="3"/>
        <v>241</v>
      </c>
      <c r="B242" s="10">
        <v>45966.574930555602</v>
      </c>
      <c r="C242" s="80" t="s">
        <v>154</v>
      </c>
      <c r="D242" s="80" t="s">
        <v>1452</v>
      </c>
      <c r="E242" s="80" t="s">
        <v>1453</v>
      </c>
      <c r="F242" s="80" t="s">
        <v>1454</v>
      </c>
      <c r="G242" s="80" t="s">
        <v>1455</v>
      </c>
      <c r="H242" s="80" t="s">
        <v>115</v>
      </c>
      <c r="I242" s="80" t="s">
        <v>865</v>
      </c>
      <c r="J242" s="80" t="s">
        <v>117</v>
      </c>
      <c r="K242" s="80">
        <v>11</v>
      </c>
      <c r="L242" s="80" t="s">
        <v>1456</v>
      </c>
      <c r="M242" s="80" t="s">
        <v>1457</v>
      </c>
      <c r="N242" s="80" t="s">
        <v>120</v>
      </c>
      <c r="O242" s="80" t="s">
        <v>240</v>
      </c>
      <c r="P242" s="80" t="s">
        <v>295</v>
      </c>
      <c r="Q242" s="80" t="s">
        <v>123</v>
      </c>
      <c r="R242" s="80" t="s">
        <v>174</v>
      </c>
      <c r="S242" s="80">
        <v>3</v>
      </c>
      <c r="T242" s="80">
        <v>24</v>
      </c>
      <c r="U242" s="80" t="s">
        <v>156</v>
      </c>
      <c r="V242" s="80" t="s">
        <v>141</v>
      </c>
      <c r="W242" s="80" t="s">
        <v>127</v>
      </c>
      <c r="X242" s="80"/>
      <c r="Y242" s="80"/>
    </row>
    <row r="243" spans="1:25">
      <c r="A243" s="80">
        <f t="shared" si="3"/>
        <v>242</v>
      </c>
      <c r="B243" s="10">
        <v>45966.583923611099</v>
      </c>
      <c r="C243" s="80" t="s">
        <v>320</v>
      </c>
      <c r="D243" s="80" t="s">
        <v>1458</v>
      </c>
      <c r="E243" s="80" t="s">
        <v>1459</v>
      </c>
      <c r="F243" s="80" t="s">
        <v>1460</v>
      </c>
      <c r="G243" s="80" t="s">
        <v>1461</v>
      </c>
      <c r="H243" s="80" t="s">
        <v>115</v>
      </c>
      <c r="I243" s="80" t="s">
        <v>237</v>
      </c>
      <c r="J243" s="80" t="s">
        <v>117</v>
      </c>
      <c r="K243" s="80">
        <v>26</v>
      </c>
      <c r="L243" s="80" t="s">
        <v>1462</v>
      </c>
      <c r="M243" s="80" t="s">
        <v>1463</v>
      </c>
      <c r="N243" s="80" t="s">
        <v>120</v>
      </c>
      <c r="O243" s="80" t="s">
        <v>943</v>
      </c>
      <c r="P243" s="80" t="s">
        <v>295</v>
      </c>
      <c r="Q243" s="80" t="s">
        <v>123</v>
      </c>
      <c r="R243" s="80" t="s">
        <v>174</v>
      </c>
      <c r="S243" s="80">
        <v>3</v>
      </c>
      <c r="T243" s="80">
        <v>12</v>
      </c>
      <c r="U243" s="80" t="s">
        <v>328</v>
      </c>
      <c r="V243" s="80" t="s">
        <v>126</v>
      </c>
      <c r="W243" s="80" t="s">
        <v>127</v>
      </c>
      <c r="X243" s="80"/>
      <c r="Y243" s="80"/>
    </row>
    <row r="244" spans="1:25">
      <c r="A244" s="80">
        <f t="shared" si="3"/>
        <v>243</v>
      </c>
      <c r="B244" s="10">
        <v>45966.583969907399</v>
      </c>
      <c r="C244" s="80" t="s">
        <v>157</v>
      </c>
      <c r="D244" s="80" t="s">
        <v>1464</v>
      </c>
      <c r="E244" s="80" t="s">
        <v>1459</v>
      </c>
      <c r="F244" s="80" t="s">
        <v>1460</v>
      </c>
      <c r="G244" s="80" t="s">
        <v>1461</v>
      </c>
      <c r="H244" s="80" t="s">
        <v>115</v>
      </c>
      <c r="I244" s="80" t="s">
        <v>237</v>
      </c>
      <c r="J244" s="80" t="s">
        <v>117</v>
      </c>
      <c r="K244" s="80">
        <v>26</v>
      </c>
      <c r="L244" s="80" t="s">
        <v>1462</v>
      </c>
      <c r="M244" s="80" t="s">
        <v>1463</v>
      </c>
      <c r="N244" s="80" t="s">
        <v>120</v>
      </c>
      <c r="O244" s="80" t="s">
        <v>943</v>
      </c>
      <c r="P244" s="80" t="s">
        <v>295</v>
      </c>
      <c r="Q244" s="80" t="s">
        <v>123</v>
      </c>
      <c r="R244" s="80" t="s">
        <v>174</v>
      </c>
      <c r="S244" s="80">
        <v>3</v>
      </c>
      <c r="T244" s="80">
        <v>12</v>
      </c>
      <c r="U244" s="80" t="s">
        <v>167</v>
      </c>
      <c r="V244" s="80" t="s">
        <v>126</v>
      </c>
      <c r="W244" s="80" t="s">
        <v>127</v>
      </c>
      <c r="X244" s="80"/>
      <c r="Y244" s="80"/>
    </row>
    <row r="245" spans="1:25">
      <c r="A245" s="80">
        <f t="shared" si="3"/>
        <v>244</v>
      </c>
      <c r="B245" s="10">
        <v>45966.597731481503</v>
      </c>
      <c r="C245" s="80" t="s">
        <v>1465</v>
      </c>
      <c r="D245" s="80" t="s">
        <v>1466</v>
      </c>
      <c r="E245" s="80" t="s">
        <v>1467</v>
      </c>
      <c r="F245" s="80" t="s">
        <v>1468</v>
      </c>
      <c r="G245" s="80" t="s">
        <v>1469</v>
      </c>
      <c r="H245" s="80" t="s">
        <v>115</v>
      </c>
      <c r="I245" s="80" t="s">
        <v>252</v>
      </c>
      <c r="J245" s="80" t="s">
        <v>117</v>
      </c>
      <c r="K245" s="80">
        <v>25</v>
      </c>
      <c r="L245" s="80" t="s">
        <v>1470</v>
      </c>
      <c r="M245" s="80" t="s">
        <v>1471</v>
      </c>
      <c r="N245" s="80" t="s">
        <v>120</v>
      </c>
      <c r="O245" s="80" t="s">
        <v>327</v>
      </c>
      <c r="P245" s="80" t="s">
        <v>1472</v>
      </c>
      <c r="Q245" s="80" t="s">
        <v>123</v>
      </c>
      <c r="R245" s="80" t="s">
        <v>174</v>
      </c>
      <c r="S245" s="80">
        <v>17</v>
      </c>
      <c r="T245" s="80">
        <v>24</v>
      </c>
      <c r="U245" s="80" t="s">
        <v>1473</v>
      </c>
      <c r="V245" s="80" t="s">
        <v>126</v>
      </c>
      <c r="W245" s="80" t="s">
        <v>127</v>
      </c>
      <c r="X245" s="80"/>
      <c r="Y245" s="80"/>
    </row>
    <row r="246" spans="1:25">
      <c r="A246" s="80">
        <f t="shared" si="3"/>
        <v>245</v>
      </c>
      <c r="B246" s="10">
        <v>45966.597847222198</v>
      </c>
      <c r="C246" s="80" t="s">
        <v>494</v>
      </c>
      <c r="D246" s="80" t="s">
        <v>1474</v>
      </c>
      <c r="E246" s="80" t="s">
        <v>1475</v>
      </c>
      <c r="F246" s="80" t="s">
        <v>1476</v>
      </c>
      <c r="G246" s="80" t="s">
        <v>1477</v>
      </c>
      <c r="H246" s="80" t="s">
        <v>1185</v>
      </c>
      <c r="I246" s="80" t="s">
        <v>1186</v>
      </c>
      <c r="J246" s="80" t="s">
        <v>149</v>
      </c>
      <c r="K246" s="80">
        <v>8</v>
      </c>
      <c r="L246" s="80" t="s">
        <v>1478</v>
      </c>
      <c r="M246" s="80" t="s">
        <v>1479</v>
      </c>
      <c r="N246" s="80" t="s">
        <v>120</v>
      </c>
      <c r="O246" s="80" t="s">
        <v>611</v>
      </c>
      <c r="P246" s="80" t="s">
        <v>1480</v>
      </c>
      <c r="Q246" s="80" t="s">
        <v>123</v>
      </c>
      <c r="R246" s="80" t="s">
        <v>136</v>
      </c>
      <c r="S246" s="80">
        <v>5</v>
      </c>
      <c r="T246" s="80">
        <v>24</v>
      </c>
      <c r="U246" s="80" t="s">
        <v>503</v>
      </c>
      <c r="V246" s="80" t="s">
        <v>126</v>
      </c>
      <c r="W246" s="80" t="s">
        <v>137</v>
      </c>
      <c r="X246" s="80"/>
      <c r="Y246" s="80"/>
    </row>
    <row r="247" spans="1:25">
      <c r="A247" s="80">
        <f t="shared" si="3"/>
        <v>246</v>
      </c>
      <c r="B247" s="10">
        <v>45966.601122685199</v>
      </c>
      <c r="C247" s="80" t="s">
        <v>494</v>
      </c>
      <c r="D247" s="80" t="s">
        <v>1474</v>
      </c>
      <c r="E247" s="80" t="s">
        <v>1481</v>
      </c>
      <c r="F247" s="80" t="s">
        <v>1482</v>
      </c>
      <c r="G247" s="80" t="s">
        <v>1483</v>
      </c>
      <c r="H247" s="80" t="s">
        <v>184</v>
      </c>
      <c r="I247" s="80" t="s">
        <v>49</v>
      </c>
      <c r="J247" s="80" t="s">
        <v>149</v>
      </c>
      <c r="K247" s="80">
        <v>25</v>
      </c>
      <c r="L247" s="80" t="s">
        <v>1484</v>
      </c>
      <c r="M247" s="80" t="s">
        <v>1485</v>
      </c>
      <c r="N247" s="80" t="s">
        <v>120</v>
      </c>
      <c r="O247" s="80" t="s">
        <v>327</v>
      </c>
      <c r="P247" s="80" t="s">
        <v>135</v>
      </c>
      <c r="Q247" s="80" t="s">
        <v>123</v>
      </c>
      <c r="R247" s="80" t="s">
        <v>136</v>
      </c>
      <c r="S247" s="80">
        <v>3</v>
      </c>
      <c r="T247" s="80">
        <v>12</v>
      </c>
      <c r="U247" s="80" t="s">
        <v>503</v>
      </c>
      <c r="V247" s="80" t="s">
        <v>126</v>
      </c>
      <c r="W247" s="80" t="s">
        <v>137</v>
      </c>
      <c r="X247" s="80"/>
      <c r="Y247" s="80"/>
    </row>
    <row r="248" spans="1:25">
      <c r="A248" s="80">
        <f t="shared" si="3"/>
        <v>247</v>
      </c>
      <c r="B248" s="10">
        <v>45966.6184953704</v>
      </c>
      <c r="C248" s="80" t="s">
        <v>143</v>
      </c>
      <c r="D248" s="80" t="s">
        <v>1486</v>
      </c>
      <c r="E248" s="80" t="s">
        <v>1487</v>
      </c>
      <c r="F248" s="80" t="s">
        <v>1488</v>
      </c>
      <c r="G248" s="80" t="s">
        <v>1489</v>
      </c>
      <c r="H248" s="80" t="s">
        <v>1490</v>
      </c>
      <c r="I248" s="80" t="s">
        <v>46</v>
      </c>
      <c r="J248" s="80" t="s">
        <v>149</v>
      </c>
      <c r="K248" s="80">
        <v>13</v>
      </c>
      <c r="L248" s="80" t="s">
        <v>1491</v>
      </c>
      <c r="M248" s="80" t="s">
        <v>1492</v>
      </c>
      <c r="N248" s="80" t="s">
        <v>164</v>
      </c>
      <c r="O248" s="80" t="s">
        <v>1493</v>
      </c>
      <c r="P248" s="80" t="s">
        <v>135</v>
      </c>
      <c r="Q248" s="80" t="s">
        <v>123</v>
      </c>
      <c r="R248" s="80" t="s">
        <v>136</v>
      </c>
      <c r="S248" s="80">
        <v>7</v>
      </c>
      <c r="T248" s="80">
        <v>24</v>
      </c>
      <c r="U248" s="80" t="s">
        <v>153</v>
      </c>
      <c r="V248" s="80" t="s">
        <v>126</v>
      </c>
      <c r="W248" s="80" t="s">
        <v>137</v>
      </c>
      <c r="X248" s="80"/>
      <c r="Y248" s="80"/>
    </row>
    <row r="249" spans="1:25">
      <c r="A249" s="80">
        <f t="shared" si="3"/>
        <v>248</v>
      </c>
      <c r="B249" s="10">
        <v>45966.619317129604</v>
      </c>
      <c r="C249" s="80" t="s">
        <v>297</v>
      </c>
      <c r="D249" s="80" t="s">
        <v>1494</v>
      </c>
      <c r="E249" s="80" t="s">
        <v>1487</v>
      </c>
      <c r="F249" s="80" t="s">
        <v>1488</v>
      </c>
      <c r="G249" s="80" t="s">
        <v>1489</v>
      </c>
      <c r="H249" s="80" t="s">
        <v>1490</v>
      </c>
      <c r="I249" s="80" t="s">
        <v>46</v>
      </c>
      <c r="J249" s="80" t="s">
        <v>149</v>
      </c>
      <c r="K249" s="80">
        <v>13</v>
      </c>
      <c r="L249" s="80" t="s">
        <v>1491</v>
      </c>
      <c r="M249" s="80" t="s">
        <v>1492</v>
      </c>
      <c r="N249" s="80" t="s">
        <v>164</v>
      </c>
      <c r="O249" s="80" t="s">
        <v>1493</v>
      </c>
      <c r="P249" s="80" t="s">
        <v>135</v>
      </c>
      <c r="Q249" s="80" t="s">
        <v>123</v>
      </c>
      <c r="R249" s="80" t="s">
        <v>136</v>
      </c>
      <c r="S249" s="80">
        <v>7</v>
      </c>
      <c r="T249" s="80">
        <v>24</v>
      </c>
      <c r="U249" s="80" t="s">
        <v>305</v>
      </c>
      <c r="V249" s="80" t="s">
        <v>126</v>
      </c>
      <c r="W249" s="80" t="s">
        <v>137</v>
      </c>
      <c r="X249" s="80"/>
      <c r="Y249" s="80"/>
    </row>
    <row r="250" spans="1:25">
      <c r="A250" s="80">
        <f t="shared" si="3"/>
        <v>249</v>
      </c>
      <c r="B250" s="10">
        <v>45966.622673611098</v>
      </c>
      <c r="C250" s="80" t="s">
        <v>320</v>
      </c>
      <c r="D250" s="80" t="s">
        <v>1495</v>
      </c>
      <c r="E250" s="80" t="s">
        <v>1496</v>
      </c>
      <c r="F250" s="80" t="s">
        <v>1497</v>
      </c>
      <c r="G250" s="80" t="s">
        <v>1498</v>
      </c>
      <c r="H250" s="80" t="s">
        <v>174</v>
      </c>
      <c r="I250" s="80" t="s">
        <v>174</v>
      </c>
      <c r="J250" s="80" t="s">
        <v>149</v>
      </c>
      <c r="K250" s="80">
        <v>3</v>
      </c>
      <c r="L250" s="80" t="s">
        <v>1499</v>
      </c>
      <c r="M250" s="80" t="s">
        <v>1500</v>
      </c>
      <c r="N250" s="80" t="s">
        <v>164</v>
      </c>
      <c r="O250" s="80" t="s">
        <v>1501</v>
      </c>
      <c r="P250" s="80" t="s">
        <v>135</v>
      </c>
      <c r="Q250" s="80" t="s">
        <v>123</v>
      </c>
      <c r="R250" s="80" t="s">
        <v>174</v>
      </c>
      <c r="S250" s="80">
        <v>16</v>
      </c>
      <c r="T250" s="80">
        <v>24</v>
      </c>
      <c r="U250" s="80" t="s">
        <v>328</v>
      </c>
      <c r="V250" s="80" t="s">
        <v>126</v>
      </c>
      <c r="W250" s="80" t="s">
        <v>127</v>
      </c>
      <c r="X250" s="80"/>
      <c r="Y250" s="80"/>
    </row>
    <row r="251" spans="1:25">
      <c r="A251" s="80">
        <f t="shared" si="3"/>
        <v>250</v>
      </c>
      <c r="B251" s="10">
        <v>45966.622685185197</v>
      </c>
      <c r="C251" s="80" t="s">
        <v>157</v>
      </c>
      <c r="D251" s="80" t="s">
        <v>1502</v>
      </c>
      <c r="E251" s="80" t="s">
        <v>1496</v>
      </c>
      <c r="F251" s="80" t="s">
        <v>1497</v>
      </c>
      <c r="G251" s="80" t="s">
        <v>1498</v>
      </c>
      <c r="H251" s="80" t="s">
        <v>174</v>
      </c>
      <c r="I251" s="80" t="s">
        <v>174</v>
      </c>
      <c r="J251" s="80" t="s">
        <v>149</v>
      </c>
      <c r="K251" s="80">
        <v>3</v>
      </c>
      <c r="L251" s="80" t="s">
        <v>1499</v>
      </c>
      <c r="M251" s="80" t="s">
        <v>1500</v>
      </c>
      <c r="N251" s="80" t="s">
        <v>164</v>
      </c>
      <c r="O251" s="80" t="s">
        <v>1501</v>
      </c>
      <c r="P251" s="80" t="s">
        <v>135</v>
      </c>
      <c r="Q251" s="80" t="s">
        <v>123</v>
      </c>
      <c r="R251" s="80" t="s">
        <v>174</v>
      </c>
      <c r="S251" s="80">
        <v>16</v>
      </c>
      <c r="T251" s="80">
        <v>24</v>
      </c>
      <c r="U251" s="80" t="s">
        <v>167</v>
      </c>
      <c r="V251" s="80" t="s">
        <v>126</v>
      </c>
      <c r="W251" s="80" t="s">
        <v>127</v>
      </c>
      <c r="X251" s="80"/>
      <c r="Y251" s="80"/>
    </row>
    <row r="252" spans="1:25">
      <c r="A252" s="80">
        <f t="shared" si="3"/>
        <v>251</v>
      </c>
      <c r="B252" s="10">
        <v>45966.623541666697</v>
      </c>
      <c r="C252" s="80" t="s">
        <v>110</v>
      </c>
      <c r="D252" s="80" t="s">
        <v>1503</v>
      </c>
      <c r="E252" s="80" t="s">
        <v>1504</v>
      </c>
      <c r="F252" s="80" t="s">
        <v>1505</v>
      </c>
      <c r="G252" s="80" t="s">
        <v>1506</v>
      </c>
      <c r="H252" s="80" t="s">
        <v>115</v>
      </c>
      <c r="I252" s="80" t="s">
        <v>1383</v>
      </c>
      <c r="J252" s="80" t="s">
        <v>117</v>
      </c>
      <c r="K252" s="80">
        <v>14</v>
      </c>
      <c r="L252" s="80" t="s">
        <v>1507</v>
      </c>
      <c r="M252" s="80" t="s">
        <v>1508</v>
      </c>
      <c r="N252" s="80" t="s">
        <v>120</v>
      </c>
      <c r="O252" s="80" t="s">
        <v>152</v>
      </c>
      <c r="P252" s="80" t="s">
        <v>295</v>
      </c>
      <c r="Q252" s="80" t="s">
        <v>123</v>
      </c>
      <c r="R252" s="80" t="s">
        <v>174</v>
      </c>
      <c r="S252" s="80">
        <v>10</v>
      </c>
      <c r="T252" s="80">
        <v>24</v>
      </c>
      <c r="U252" s="80" t="s">
        <v>125</v>
      </c>
      <c r="V252" s="80" t="s">
        <v>126</v>
      </c>
      <c r="W252" s="80" t="s">
        <v>127</v>
      </c>
      <c r="X252" s="80"/>
      <c r="Y252" s="80"/>
    </row>
    <row r="253" spans="1:25">
      <c r="A253" s="80">
        <f t="shared" si="3"/>
        <v>252</v>
      </c>
      <c r="B253" s="10">
        <v>45966.624062499999</v>
      </c>
      <c r="C253" s="80" t="s">
        <v>456</v>
      </c>
      <c r="D253" s="80" t="s">
        <v>1509</v>
      </c>
      <c r="E253" s="80" t="s">
        <v>1510</v>
      </c>
      <c r="F253" s="80" t="s">
        <v>1511</v>
      </c>
      <c r="G253" s="80" t="s">
        <v>1512</v>
      </c>
      <c r="H253" s="80" t="s">
        <v>684</v>
      </c>
      <c r="I253" s="80" t="s">
        <v>1186</v>
      </c>
      <c r="J253" s="80" t="s">
        <v>149</v>
      </c>
      <c r="K253" s="80">
        <v>23</v>
      </c>
      <c r="L253" s="80" t="s">
        <v>1513</v>
      </c>
      <c r="M253" s="80" t="s">
        <v>1514</v>
      </c>
      <c r="N253" s="80" t="s">
        <v>120</v>
      </c>
      <c r="O253" s="80" t="s">
        <v>1515</v>
      </c>
      <c r="P253" s="80" t="s">
        <v>135</v>
      </c>
      <c r="Q253" s="80" t="s">
        <v>123</v>
      </c>
      <c r="R253" s="80" t="s">
        <v>136</v>
      </c>
      <c r="S253" s="80">
        <v>4</v>
      </c>
      <c r="T253" s="80">
        <v>12</v>
      </c>
      <c r="U253" s="80" t="s">
        <v>466</v>
      </c>
      <c r="V253" s="80" t="s">
        <v>126</v>
      </c>
      <c r="W253" s="80" t="s">
        <v>1770</v>
      </c>
      <c r="X253" s="80"/>
      <c r="Y253" s="80"/>
    </row>
    <row r="254" spans="1:25">
      <c r="A254" s="80">
        <f t="shared" si="3"/>
        <v>253</v>
      </c>
      <c r="B254" s="10">
        <v>45966.624224537001</v>
      </c>
      <c r="C254" s="80" t="s">
        <v>110</v>
      </c>
      <c r="D254" s="80" t="s">
        <v>1516</v>
      </c>
      <c r="E254" s="80" t="s">
        <v>1517</v>
      </c>
      <c r="F254" s="80" t="s">
        <v>1518</v>
      </c>
      <c r="G254" s="80" t="s">
        <v>1519</v>
      </c>
      <c r="H254" s="80" t="s">
        <v>115</v>
      </c>
      <c r="I254" s="80" t="s">
        <v>865</v>
      </c>
      <c r="J254" s="80" t="s">
        <v>117</v>
      </c>
      <c r="K254" s="80">
        <v>1</v>
      </c>
      <c r="L254" s="80" t="s">
        <v>1520</v>
      </c>
      <c r="M254" s="80" t="s">
        <v>1521</v>
      </c>
      <c r="N254" s="80" t="s">
        <v>120</v>
      </c>
      <c r="O254" s="80" t="s">
        <v>572</v>
      </c>
      <c r="P254" s="80" t="s">
        <v>1522</v>
      </c>
      <c r="Q254" s="80" t="s">
        <v>123</v>
      </c>
      <c r="R254" s="80" t="s">
        <v>124</v>
      </c>
      <c r="S254" s="80">
        <v>3</v>
      </c>
      <c r="T254" s="80">
        <v>24</v>
      </c>
      <c r="U254" s="80" t="s">
        <v>125</v>
      </c>
      <c r="V254" s="80" t="s">
        <v>126</v>
      </c>
      <c r="W254" s="80" t="s">
        <v>127</v>
      </c>
      <c r="X254" s="80"/>
      <c r="Y254" s="80"/>
    </row>
    <row r="255" spans="1:25" ht="90">
      <c r="A255" s="80">
        <f t="shared" si="3"/>
        <v>254</v>
      </c>
      <c r="B255" s="10">
        <v>45966.634571759299</v>
      </c>
      <c r="C255" s="80" t="s">
        <v>456</v>
      </c>
      <c r="D255" s="80" t="s">
        <v>1523</v>
      </c>
      <c r="E255" s="80" t="s">
        <v>1524</v>
      </c>
      <c r="F255" s="80" t="s">
        <v>1525</v>
      </c>
      <c r="G255" s="80" t="s">
        <v>1526</v>
      </c>
      <c r="H255" s="80" t="s">
        <v>210</v>
      </c>
      <c r="I255" s="80" t="s">
        <v>1165</v>
      </c>
      <c r="J255" s="80" t="s">
        <v>149</v>
      </c>
      <c r="K255" s="80">
        <v>22</v>
      </c>
      <c r="L255" s="80" t="s">
        <v>1527</v>
      </c>
      <c r="M255" s="80" t="s">
        <v>1528</v>
      </c>
      <c r="N255" s="80" t="s">
        <v>164</v>
      </c>
      <c r="O255" s="80" t="s">
        <v>1529</v>
      </c>
      <c r="P255" s="80" t="s">
        <v>214</v>
      </c>
      <c r="Q255" s="80" t="s">
        <v>123</v>
      </c>
      <c r="R255" s="80" t="s">
        <v>136</v>
      </c>
      <c r="S255" s="80">
        <v>7</v>
      </c>
      <c r="T255" s="80">
        <v>18</v>
      </c>
      <c r="U255" s="80" t="s">
        <v>466</v>
      </c>
      <c r="V255" s="80" t="s">
        <v>126</v>
      </c>
      <c r="W255" s="80" t="s">
        <v>1530</v>
      </c>
      <c r="X255" s="80"/>
      <c r="Y255" s="12" t="s">
        <v>1531</v>
      </c>
    </row>
    <row r="256" spans="1:25">
      <c r="A256" s="80">
        <f t="shared" si="3"/>
        <v>255</v>
      </c>
      <c r="B256" s="10">
        <v>45966.665868055599</v>
      </c>
      <c r="C256" s="80" t="s">
        <v>359</v>
      </c>
      <c r="D256" s="80" t="s">
        <v>1532</v>
      </c>
      <c r="E256" s="80" t="s">
        <v>1533</v>
      </c>
      <c r="F256" s="80" t="s">
        <v>1534</v>
      </c>
      <c r="G256" s="80" t="s">
        <v>1535</v>
      </c>
      <c r="H256" s="80" t="s">
        <v>115</v>
      </c>
      <c r="I256" s="80" t="s">
        <v>865</v>
      </c>
      <c r="J256" s="80" t="s">
        <v>117</v>
      </c>
      <c r="K256" s="80">
        <v>15</v>
      </c>
      <c r="L256" s="80" t="s">
        <v>1536</v>
      </c>
      <c r="M256" s="80" t="s">
        <v>1537</v>
      </c>
      <c r="N256" s="80" t="s">
        <v>164</v>
      </c>
      <c r="O256" s="80" t="s">
        <v>1538</v>
      </c>
      <c r="P256" s="80" t="s">
        <v>135</v>
      </c>
      <c r="Q256" s="80" t="s">
        <v>123</v>
      </c>
      <c r="R256" s="80" t="s">
        <v>174</v>
      </c>
      <c r="S256" s="80">
        <v>4</v>
      </c>
      <c r="T256" s="80">
        <v>18</v>
      </c>
      <c r="U256" s="80" t="s">
        <v>361</v>
      </c>
      <c r="V256" s="80" t="s">
        <v>126</v>
      </c>
      <c r="W256" s="80" t="s">
        <v>127</v>
      </c>
      <c r="X256" s="80"/>
      <c r="Y256" s="80"/>
    </row>
    <row r="257" spans="1:25">
      <c r="A257" s="80">
        <f t="shared" si="3"/>
        <v>256</v>
      </c>
      <c r="B257" s="10">
        <v>45966.679363425901</v>
      </c>
      <c r="C257" s="80" t="s">
        <v>110</v>
      </c>
      <c r="D257" s="80" t="s">
        <v>1539</v>
      </c>
      <c r="E257" s="80" t="s">
        <v>1540</v>
      </c>
      <c r="F257" s="80" t="s">
        <v>1541</v>
      </c>
      <c r="G257" s="80" t="s">
        <v>1542</v>
      </c>
      <c r="H257" s="80" t="s">
        <v>115</v>
      </c>
      <c r="I257" s="80" t="s">
        <v>865</v>
      </c>
      <c r="J257" s="80" t="s">
        <v>117</v>
      </c>
      <c r="K257" s="80">
        <v>1</v>
      </c>
      <c r="L257" s="80" t="s">
        <v>1543</v>
      </c>
      <c r="M257" s="80" t="s">
        <v>1544</v>
      </c>
      <c r="N257" s="80" t="s">
        <v>120</v>
      </c>
      <c r="O257" s="80" t="s">
        <v>240</v>
      </c>
      <c r="P257" s="80" t="s">
        <v>135</v>
      </c>
      <c r="Q257" s="80" t="s">
        <v>123</v>
      </c>
      <c r="R257" s="80" t="s">
        <v>124</v>
      </c>
      <c r="S257" s="80">
        <v>11</v>
      </c>
      <c r="T257" s="80">
        <v>24</v>
      </c>
      <c r="U257" s="80" t="s">
        <v>125</v>
      </c>
      <c r="V257" s="80" t="s">
        <v>126</v>
      </c>
      <c r="W257" s="80" t="s">
        <v>127</v>
      </c>
      <c r="X257" s="80"/>
      <c r="Y257" s="80"/>
    </row>
    <row r="258" spans="1:25">
      <c r="A258" s="80">
        <f t="shared" si="3"/>
        <v>257</v>
      </c>
      <c r="B258" s="10">
        <v>45966.685462963003</v>
      </c>
      <c r="C258" s="80" t="s">
        <v>359</v>
      </c>
      <c r="D258" s="80" t="s">
        <v>1545</v>
      </c>
      <c r="E258" s="80" t="s">
        <v>1546</v>
      </c>
      <c r="F258" s="80" t="s">
        <v>1547</v>
      </c>
      <c r="G258" s="80" t="s">
        <v>1548</v>
      </c>
      <c r="H258" s="80" t="s">
        <v>1258</v>
      </c>
      <c r="I258" s="80" t="s">
        <v>44</v>
      </c>
      <c r="J258" s="80" t="s">
        <v>149</v>
      </c>
      <c r="K258" s="80">
        <v>4</v>
      </c>
      <c r="L258" s="80" t="s">
        <v>1549</v>
      </c>
      <c r="M258" s="80" t="s">
        <v>1550</v>
      </c>
      <c r="N258" s="80" t="s">
        <v>120</v>
      </c>
      <c r="O258" s="80" t="s">
        <v>1551</v>
      </c>
      <c r="P258" s="80" t="s">
        <v>1552</v>
      </c>
      <c r="Q258" s="80" t="s">
        <v>123</v>
      </c>
      <c r="R258" s="80" t="s">
        <v>136</v>
      </c>
      <c r="S258" s="80">
        <v>6</v>
      </c>
      <c r="T258" s="80">
        <v>18</v>
      </c>
      <c r="U258" s="80" t="s">
        <v>361</v>
      </c>
      <c r="V258" s="80" t="s">
        <v>126</v>
      </c>
      <c r="W258" s="80" t="s">
        <v>188</v>
      </c>
      <c r="X258" s="80"/>
      <c r="Y258" s="80"/>
    </row>
    <row r="259" spans="1:25">
      <c r="A259" s="80">
        <f t="shared" si="3"/>
        <v>258</v>
      </c>
      <c r="B259" s="10">
        <v>45966.714143518497</v>
      </c>
      <c r="C259" s="80" t="s">
        <v>297</v>
      </c>
      <c r="D259" s="80" t="s">
        <v>1553</v>
      </c>
      <c r="E259" s="80" t="s">
        <v>1554</v>
      </c>
      <c r="F259" s="80" t="s">
        <v>1555</v>
      </c>
      <c r="G259" s="80" t="s">
        <v>1556</v>
      </c>
      <c r="H259" s="80" t="s">
        <v>184</v>
      </c>
      <c r="I259" s="80" t="s">
        <v>46</v>
      </c>
      <c r="J259" s="80" t="s">
        <v>149</v>
      </c>
      <c r="K259" s="80">
        <v>12</v>
      </c>
      <c r="L259" s="80" t="s">
        <v>1557</v>
      </c>
      <c r="M259" s="80" t="s">
        <v>1558</v>
      </c>
      <c r="N259" s="80" t="s">
        <v>164</v>
      </c>
      <c r="O259" s="80" t="s">
        <v>1559</v>
      </c>
      <c r="P259" s="80" t="s">
        <v>1560</v>
      </c>
      <c r="Q259" s="80" t="s">
        <v>123</v>
      </c>
      <c r="R259" s="80" t="s">
        <v>136</v>
      </c>
      <c r="S259" s="80">
        <v>2</v>
      </c>
      <c r="T259" s="80">
        <v>18</v>
      </c>
      <c r="U259" s="80" t="s">
        <v>305</v>
      </c>
      <c r="V259" s="80" t="s">
        <v>126</v>
      </c>
      <c r="W259" s="80" t="s">
        <v>137</v>
      </c>
      <c r="X259" s="80"/>
      <c r="Y259" s="80"/>
    </row>
    <row r="260" spans="1:25">
      <c r="A260" s="80">
        <f t="shared" ref="A260:A323" si="4">A259+1</f>
        <v>259</v>
      </c>
      <c r="B260" s="10">
        <v>45966.7414236111</v>
      </c>
      <c r="C260" s="80" t="s">
        <v>1561</v>
      </c>
      <c r="D260" s="80" t="s">
        <v>1562</v>
      </c>
      <c r="E260" s="80" t="s">
        <v>1563</v>
      </c>
      <c r="F260" s="80" t="s">
        <v>1564</v>
      </c>
      <c r="G260" s="80" t="s">
        <v>1565</v>
      </c>
      <c r="H260" s="80" t="s">
        <v>115</v>
      </c>
      <c r="I260" s="80" t="s">
        <v>865</v>
      </c>
      <c r="J260" s="80" t="s">
        <v>149</v>
      </c>
      <c r="K260" s="80">
        <v>23</v>
      </c>
      <c r="L260" s="80" t="s">
        <v>1566</v>
      </c>
      <c r="M260" s="80" t="s">
        <v>1567</v>
      </c>
      <c r="N260" s="80" t="s">
        <v>770</v>
      </c>
      <c r="O260" s="80" t="s">
        <v>164</v>
      </c>
      <c r="P260" s="80" t="s">
        <v>407</v>
      </c>
      <c r="Q260" s="80" t="s">
        <v>123</v>
      </c>
      <c r="R260" s="80" t="s">
        <v>174</v>
      </c>
      <c r="S260" s="80">
        <v>2</v>
      </c>
      <c r="T260" s="80">
        <v>12</v>
      </c>
      <c r="U260" s="80" t="s">
        <v>1568</v>
      </c>
      <c r="V260" s="80" t="s">
        <v>126</v>
      </c>
      <c r="W260" s="80" t="s">
        <v>127</v>
      </c>
      <c r="X260" s="80"/>
      <c r="Y260" s="80"/>
    </row>
    <row r="261" spans="1:25">
      <c r="A261" s="80">
        <f t="shared" si="4"/>
        <v>260</v>
      </c>
      <c r="B261" s="10">
        <v>45966.7418287037</v>
      </c>
      <c r="C261" s="80" t="s">
        <v>818</v>
      </c>
      <c r="D261" s="80" t="s">
        <v>1569</v>
      </c>
      <c r="E261" s="80" t="s">
        <v>1570</v>
      </c>
      <c r="F261" s="80" t="s">
        <v>1571</v>
      </c>
      <c r="G261" s="80" t="s">
        <v>1572</v>
      </c>
      <c r="H261" s="80" t="s">
        <v>115</v>
      </c>
      <c r="I261" s="80" t="s">
        <v>865</v>
      </c>
      <c r="J261" s="80" t="s">
        <v>149</v>
      </c>
      <c r="K261" s="80">
        <v>6</v>
      </c>
      <c r="L261" s="80" t="s">
        <v>1573</v>
      </c>
      <c r="M261" s="80" t="s">
        <v>1574</v>
      </c>
      <c r="N261" s="80" t="s">
        <v>120</v>
      </c>
      <c r="O261" s="80" t="s">
        <v>152</v>
      </c>
      <c r="P261" s="80" t="s">
        <v>135</v>
      </c>
      <c r="Q261" s="80" t="s">
        <v>123</v>
      </c>
      <c r="R261" s="80" t="s">
        <v>174</v>
      </c>
      <c r="S261" s="80">
        <v>2</v>
      </c>
      <c r="T261" s="80">
        <v>12</v>
      </c>
      <c r="U261" s="80" t="s">
        <v>825</v>
      </c>
      <c r="V261" s="80" t="s">
        <v>126</v>
      </c>
      <c r="W261" s="80" t="s">
        <v>127</v>
      </c>
      <c r="X261" s="80"/>
      <c r="Y261" s="80"/>
    </row>
    <row r="262" spans="1:25">
      <c r="A262" s="80">
        <f t="shared" si="4"/>
        <v>261</v>
      </c>
      <c r="B262" s="10">
        <v>45966.769837963002</v>
      </c>
      <c r="C262" s="80" t="s">
        <v>157</v>
      </c>
      <c r="D262" s="80" t="s">
        <v>1575</v>
      </c>
      <c r="E262" s="80" t="s">
        <v>1576</v>
      </c>
      <c r="F262" s="80" t="s">
        <v>1577</v>
      </c>
      <c r="G262" s="80" t="s">
        <v>1578</v>
      </c>
      <c r="H262" s="80" t="s">
        <v>174</v>
      </c>
      <c r="I262" s="80" t="s">
        <v>174</v>
      </c>
      <c r="J262" s="80" t="s">
        <v>149</v>
      </c>
      <c r="K262" s="80">
        <v>2</v>
      </c>
      <c r="L262" s="80" t="s">
        <v>1579</v>
      </c>
      <c r="M262" s="80" t="s">
        <v>1580</v>
      </c>
      <c r="N262" s="80" t="s">
        <v>164</v>
      </c>
      <c r="O262" s="80" t="s">
        <v>464</v>
      </c>
      <c r="P262" s="80" t="s">
        <v>1581</v>
      </c>
      <c r="Q262" s="80" t="s">
        <v>123</v>
      </c>
      <c r="R262" s="80" t="s">
        <v>174</v>
      </c>
      <c r="S262" s="80">
        <v>13</v>
      </c>
      <c r="T262" s="80">
        <v>18</v>
      </c>
      <c r="U262" s="80" t="s">
        <v>167</v>
      </c>
      <c r="V262" s="80" t="s">
        <v>126</v>
      </c>
      <c r="W262" s="80" t="s">
        <v>127</v>
      </c>
      <c r="X262" s="80"/>
      <c r="Y262" s="80"/>
    </row>
    <row r="263" spans="1:25">
      <c r="A263" s="80">
        <f t="shared" si="4"/>
        <v>262</v>
      </c>
      <c r="B263" s="10">
        <v>45966.772141203699</v>
      </c>
      <c r="C263" s="80" t="s">
        <v>818</v>
      </c>
      <c r="D263" s="80" t="s">
        <v>1582</v>
      </c>
      <c r="E263" s="80" t="s">
        <v>1583</v>
      </c>
      <c r="F263" s="80" t="s">
        <v>1584</v>
      </c>
      <c r="G263" s="80" t="s">
        <v>1585</v>
      </c>
      <c r="H263" s="80" t="s">
        <v>115</v>
      </c>
      <c r="I263" s="80" t="s">
        <v>865</v>
      </c>
      <c r="J263" s="80" t="s">
        <v>117</v>
      </c>
      <c r="K263" s="80">
        <v>8</v>
      </c>
      <c r="L263" s="80" t="s">
        <v>1586</v>
      </c>
      <c r="M263" s="80" t="s">
        <v>1587</v>
      </c>
      <c r="N263" s="80" t="s">
        <v>120</v>
      </c>
      <c r="O263" s="80" t="s">
        <v>152</v>
      </c>
      <c r="P263" s="80" t="s">
        <v>178</v>
      </c>
      <c r="Q263" s="80" t="s">
        <v>123</v>
      </c>
      <c r="R263" s="80" t="s">
        <v>174</v>
      </c>
      <c r="S263" s="80">
        <v>17</v>
      </c>
      <c r="T263" s="80">
        <v>18</v>
      </c>
      <c r="U263" s="80" t="s">
        <v>825</v>
      </c>
      <c r="V263" s="80" t="s">
        <v>126</v>
      </c>
      <c r="W263" s="80" t="s">
        <v>127</v>
      </c>
      <c r="X263" s="80"/>
      <c r="Y263" s="80"/>
    </row>
    <row r="264" spans="1:25">
      <c r="A264" s="80">
        <f t="shared" si="4"/>
        <v>263</v>
      </c>
      <c r="B264" s="10">
        <v>45966.787905092599</v>
      </c>
      <c r="C264" s="80" t="s">
        <v>1588</v>
      </c>
      <c r="D264" s="80" t="s">
        <v>1589</v>
      </c>
      <c r="E264" s="80" t="s">
        <v>1080</v>
      </c>
      <c r="F264" s="80" t="s">
        <v>1081</v>
      </c>
      <c r="G264" s="80" t="s">
        <v>1082</v>
      </c>
      <c r="H264" s="80" t="s">
        <v>115</v>
      </c>
      <c r="I264" s="80" t="s">
        <v>237</v>
      </c>
      <c r="J264" s="80" t="s">
        <v>117</v>
      </c>
      <c r="K264" s="80">
        <v>12</v>
      </c>
      <c r="L264" s="80" t="s">
        <v>1083</v>
      </c>
      <c r="M264" s="80" t="s">
        <v>1084</v>
      </c>
      <c r="N264" s="80" t="s">
        <v>120</v>
      </c>
      <c r="O264" s="80" t="s">
        <v>572</v>
      </c>
      <c r="P264" s="80" t="s">
        <v>1085</v>
      </c>
      <c r="Q264" s="80" t="s">
        <v>123</v>
      </c>
      <c r="R264" s="80" t="s">
        <v>174</v>
      </c>
      <c r="S264" s="80">
        <v>9</v>
      </c>
      <c r="T264" s="80">
        <v>24</v>
      </c>
      <c r="U264" s="80" t="s">
        <v>1590</v>
      </c>
      <c r="V264" s="80" t="s">
        <v>126</v>
      </c>
      <c r="W264" s="80" t="s">
        <v>127</v>
      </c>
      <c r="X264" s="80"/>
      <c r="Y264" s="80"/>
    </row>
    <row r="265" spans="1:25">
      <c r="A265" s="80">
        <f t="shared" si="4"/>
        <v>264</v>
      </c>
      <c r="B265" s="10">
        <v>45966.7895138889</v>
      </c>
      <c r="C265" s="80" t="s">
        <v>1588</v>
      </c>
      <c r="D265" s="80" t="s">
        <v>1591</v>
      </c>
      <c r="E265" s="80" t="s">
        <v>1592</v>
      </c>
      <c r="F265" s="80" t="s">
        <v>1593</v>
      </c>
      <c r="G265" s="80" t="s">
        <v>1594</v>
      </c>
      <c r="H265" s="80" t="s">
        <v>148</v>
      </c>
      <c r="I265" s="80" t="s">
        <v>46</v>
      </c>
      <c r="J265" s="80" t="s">
        <v>149</v>
      </c>
      <c r="K265" s="80">
        <v>20</v>
      </c>
      <c r="L265" s="80" t="s">
        <v>1595</v>
      </c>
      <c r="M265" s="80" t="s">
        <v>1596</v>
      </c>
      <c r="N265" s="80" t="s">
        <v>120</v>
      </c>
      <c r="O265" s="80" t="s">
        <v>652</v>
      </c>
      <c r="P265" s="80" t="s">
        <v>1597</v>
      </c>
      <c r="Q265" s="80" t="s">
        <v>123</v>
      </c>
      <c r="R265" s="80" t="s">
        <v>136</v>
      </c>
      <c r="S265" s="80">
        <v>12</v>
      </c>
      <c r="T265" s="80">
        <v>24</v>
      </c>
      <c r="U265" s="80" t="s">
        <v>1590</v>
      </c>
      <c r="V265" s="80" t="s">
        <v>126</v>
      </c>
      <c r="W265" s="80" t="s">
        <v>204</v>
      </c>
      <c r="X265" s="80" t="s">
        <v>205</v>
      </c>
      <c r="Y265" s="80"/>
    </row>
    <row r="266" spans="1:25">
      <c r="A266" s="80">
        <f t="shared" si="4"/>
        <v>265</v>
      </c>
      <c r="B266" s="10">
        <v>45966.815625000003</v>
      </c>
      <c r="C266" s="80" t="s">
        <v>157</v>
      </c>
      <c r="D266" s="80" t="s">
        <v>1598</v>
      </c>
      <c r="E266" s="80" t="s">
        <v>1599</v>
      </c>
      <c r="F266" s="80" t="s">
        <v>1600</v>
      </c>
      <c r="G266" s="80" t="s">
        <v>1601</v>
      </c>
      <c r="H266" s="80" t="s">
        <v>115</v>
      </c>
      <c r="I266" s="80" t="s">
        <v>865</v>
      </c>
      <c r="J266" s="80" t="s">
        <v>117</v>
      </c>
      <c r="K266" s="80">
        <v>1</v>
      </c>
      <c r="L266" s="80" t="s">
        <v>1602</v>
      </c>
      <c r="M266" s="80" t="s">
        <v>1603</v>
      </c>
      <c r="N266" s="80" t="s">
        <v>120</v>
      </c>
      <c r="O266" s="80" t="s">
        <v>187</v>
      </c>
      <c r="P266" s="80" t="s">
        <v>279</v>
      </c>
      <c r="Q266" s="80" t="s">
        <v>123</v>
      </c>
      <c r="R266" s="80" t="s">
        <v>124</v>
      </c>
      <c r="S266" s="80">
        <v>2</v>
      </c>
      <c r="T266" s="80">
        <v>12</v>
      </c>
      <c r="U266" s="80" t="s">
        <v>167</v>
      </c>
      <c r="V266" s="80" t="s">
        <v>126</v>
      </c>
      <c r="W266" s="80" t="s">
        <v>127</v>
      </c>
      <c r="X266" s="80"/>
      <c r="Y266" s="80"/>
    </row>
    <row r="267" spans="1:25">
      <c r="A267" s="80">
        <f t="shared" si="4"/>
        <v>266</v>
      </c>
      <c r="B267" s="10">
        <v>45966.817002314798</v>
      </c>
      <c r="C267" s="80" t="s">
        <v>604</v>
      </c>
      <c r="D267" s="80" t="s">
        <v>1604</v>
      </c>
      <c r="E267" s="80" t="s">
        <v>1605</v>
      </c>
      <c r="F267" s="80" t="s">
        <v>1606</v>
      </c>
      <c r="G267" s="80" t="s">
        <v>1607</v>
      </c>
      <c r="H267" s="80" t="s">
        <v>115</v>
      </c>
      <c r="I267" s="80" t="s">
        <v>865</v>
      </c>
      <c r="J267" s="80" t="s">
        <v>149</v>
      </c>
      <c r="K267" s="80">
        <v>9</v>
      </c>
      <c r="L267" s="80" t="s">
        <v>1608</v>
      </c>
      <c r="M267" s="80" t="s">
        <v>1609</v>
      </c>
      <c r="N267" s="80" t="s">
        <v>164</v>
      </c>
      <c r="O267" s="80" t="s">
        <v>1559</v>
      </c>
      <c r="P267" s="80" t="s">
        <v>1560</v>
      </c>
      <c r="Q267" s="80" t="s">
        <v>123</v>
      </c>
      <c r="R267" s="80" t="s">
        <v>174</v>
      </c>
      <c r="S267" s="80">
        <v>1</v>
      </c>
      <c r="T267" s="80">
        <v>18</v>
      </c>
      <c r="U267" s="80" t="s">
        <v>613</v>
      </c>
      <c r="V267" s="80" t="s">
        <v>126</v>
      </c>
      <c r="W267" s="80" t="s">
        <v>127</v>
      </c>
      <c r="X267" s="80"/>
      <c r="Y267" s="80"/>
    </row>
    <row r="268" spans="1:25">
      <c r="A268" s="80">
        <f t="shared" si="4"/>
        <v>267</v>
      </c>
      <c r="B268" s="10">
        <v>45966.821828703702</v>
      </c>
      <c r="C268" s="80" t="s">
        <v>157</v>
      </c>
      <c r="D268" s="80" t="s">
        <v>1610</v>
      </c>
      <c r="E268" s="80" t="s">
        <v>1611</v>
      </c>
      <c r="F268" s="80" t="s">
        <v>1612</v>
      </c>
      <c r="G268" s="80" t="s">
        <v>1613</v>
      </c>
      <c r="H268" s="80" t="s">
        <v>115</v>
      </c>
      <c r="I268" s="80" t="s">
        <v>955</v>
      </c>
      <c r="J268" s="80" t="s">
        <v>117</v>
      </c>
      <c r="K268" s="80">
        <v>21</v>
      </c>
      <c r="L268" s="80" t="s">
        <v>1614</v>
      </c>
      <c r="M268" s="80" t="s">
        <v>1615</v>
      </c>
      <c r="N268" s="80" t="s">
        <v>120</v>
      </c>
      <c r="O268" s="80" t="s">
        <v>152</v>
      </c>
      <c r="P268" s="80" t="s">
        <v>1180</v>
      </c>
      <c r="Q268" s="80" t="s">
        <v>123</v>
      </c>
      <c r="R268" s="80" t="s">
        <v>174</v>
      </c>
      <c r="S268" s="80">
        <v>5</v>
      </c>
      <c r="T268" s="80">
        <v>12</v>
      </c>
      <c r="U268" s="80" t="s">
        <v>167</v>
      </c>
      <c r="V268" s="80" t="s">
        <v>126</v>
      </c>
      <c r="W268" s="80" t="s">
        <v>127</v>
      </c>
      <c r="X268" s="80"/>
      <c r="Y268" s="80"/>
    </row>
    <row r="269" spans="1:25">
      <c r="A269" s="80">
        <f t="shared" si="4"/>
        <v>268</v>
      </c>
      <c r="B269" s="10">
        <v>45966.822812500002</v>
      </c>
      <c r="C269" s="80" t="s">
        <v>157</v>
      </c>
      <c r="D269" s="80" t="s">
        <v>1616</v>
      </c>
      <c r="E269" s="80" t="s">
        <v>1617</v>
      </c>
      <c r="F269" s="80" t="s">
        <v>1618</v>
      </c>
      <c r="G269" s="80" t="s">
        <v>1619</v>
      </c>
      <c r="H269" s="80" t="s">
        <v>115</v>
      </c>
      <c r="I269" s="80" t="s">
        <v>842</v>
      </c>
      <c r="J269" s="80" t="s">
        <v>117</v>
      </c>
      <c r="K269" s="80">
        <v>4</v>
      </c>
      <c r="L269" s="80" t="s">
        <v>1620</v>
      </c>
      <c r="M269" s="80" t="s">
        <v>1621</v>
      </c>
      <c r="N269" s="80" t="s">
        <v>120</v>
      </c>
      <c r="O269" s="80" t="s">
        <v>152</v>
      </c>
      <c r="P269" s="80" t="s">
        <v>135</v>
      </c>
      <c r="Q269" s="80" t="s">
        <v>123</v>
      </c>
      <c r="R269" s="80" t="s">
        <v>136</v>
      </c>
      <c r="S269" s="80">
        <v>12</v>
      </c>
      <c r="T269" s="80">
        <v>18</v>
      </c>
      <c r="U269" s="80" t="s">
        <v>167</v>
      </c>
      <c r="V269" s="80" t="s">
        <v>126</v>
      </c>
      <c r="W269" s="80" t="s">
        <v>127</v>
      </c>
      <c r="X269" s="80"/>
      <c r="Y269" s="80"/>
    </row>
    <row r="270" spans="1:25">
      <c r="A270" s="80">
        <f t="shared" si="4"/>
        <v>269</v>
      </c>
      <c r="B270" s="10">
        <v>45966.828958333303</v>
      </c>
      <c r="C270" s="80" t="s">
        <v>157</v>
      </c>
      <c r="D270" s="80" t="s">
        <v>1622</v>
      </c>
      <c r="E270" s="80" t="s">
        <v>1623</v>
      </c>
      <c r="F270" s="80" t="s">
        <v>1624</v>
      </c>
      <c r="G270" s="80" t="s">
        <v>1625</v>
      </c>
      <c r="H270" s="80" t="s">
        <v>115</v>
      </c>
      <c r="I270" s="80" t="s">
        <v>227</v>
      </c>
      <c r="J270" s="80" t="s">
        <v>117</v>
      </c>
      <c r="K270" s="80">
        <v>5</v>
      </c>
      <c r="L270" s="80" t="s">
        <v>1626</v>
      </c>
      <c r="M270" s="80" t="s">
        <v>1627</v>
      </c>
      <c r="N270" s="80" t="s">
        <v>120</v>
      </c>
      <c r="O270" s="80" t="s">
        <v>152</v>
      </c>
      <c r="P270" s="80" t="s">
        <v>1628</v>
      </c>
      <c r="Q270" s="80" t="s">
        <v>123</v>
      </c>
      <c r="R270" s="80" t="s">
        <v>136</v>
      </c>
      <c r="S270" s="80">
        <v>11</v>
      </c>
      <c r="T270" s="80">
        <v>24</v>
      </c>
      <c r="U270" s="80" t="s">
        <v>167</v>
      </c>
      <c r="V270" s="80" t="s">
        <v>126</v>
      </c>
      <c r="W270" s="80" t="s">
        <v>127</v>
      </c>
      <c r="X270" s="80"/>
      <c r="Y270" s="80"/>
    </row>
    <row r="271" spans="1:25">
      <c r="A271" s="80">
        <f t="shared" si="4"/>
        <v>270</v>
      </c>
      <c r="B271" s="10">
        <v>45966.831215277802</v>
      </c>
      <c r="C271" s="80" t="s">
        <v>157</v>
      </c>
      <c r="D271" s="80" t="s">
        <v>1629</v>
      </c>
      <c r="E271" s="80" t="s">
        <v>1630</v>
      </c>
      <c r="F271" s="80" t="s">
        <v>1631</v>
      </c>
      <c r="G271" s="80" t="s">
        <v>1632</v>
      </c>
      <c r="H271" s="80" t="s">
        <v>115</v>
      </c>
      <c r="I271" s="80" t="s">
        <v>865</v>
      </c>
      <c r="J271" s="80" t="s">
        <v>149</v>
      </c>
      <c r="K271" s="80">
        <v>15</v>
      </c>
      <c r="L271" s="80" t="s">
        <v>1633</v>
      </c>
      <c r="M271" s="80" t="s">
        <v>1634</v>
      </c>
      <c r="N271" s="80" t="s">
        <v>120</v>
      </c>
      <c r="O271" s="80" t="s">
        <v>327</v>
      </c>
      <c r="P271" s="80" t="s">
        <v>1635</v>
      </c>
      <c r="Q271" s="80" t="s">
        <v>123</v>
      </c>
      <c r="R271" s="80" t="s">
        <v>174</v>
      </c>
      <c r="S271" s="80">
        <v>2</v>
      </c>
      <c r="T271" s="80">
        <v>12</v>
      </c>
      <c r="U271" s="80" t="s">
        <v>167</v>
      </c>
      <c r="V271" s="80" t="s">
        <v>126</v>
      </c>
      <c r="W271" s="80" t="s">
        <v>127</v>
      </c>
      <c r="X271" s="80"/>
      <c r="Y271" s="80"/>
    </row>
    <row r="272" spans="1:25">
      <c r="A272" s="80">
        <f t="shared" si="4"/>
        <v>271</v>
      </c>
      <c r="B272" s="10">
        <v>45966.831446759301</v>
      </c>
      <c r="C272" s="80" t="s">
        <v>157</v>
      </c>
      <c r="D272" s="80" t="s">
        <v>1629</v>
      </c>
      <c r="E272" s="80" t="s">
        <v>1636</v>
      </c>
      <c r="F272" s="80" t="s">
        <v>1637</v>
      </c>
      <c r="G272" s="80" t="s">
        <v>1638</v>
      </c>
      <c r="H272" s="80" t="s">
        <v>115</v>
      </c>
      <c r="I272" s="80" t="s">
        <v>865</v>
      </c>
      <c r="J272" s="80" t="s">
        <v>117</v>
      </c>
      <c r="K272" s="80">
        <v>23</v>
      </c>
      <c r="L272" s="80" t="s">
        <v>1639</v>
      </c>
      <c r="M272" s="80" t="s">
        <v>1640</v>
      </c>
      <c r="N272" s="80" t="s">
        <v>120</v>
      </c>
      <c r="O272" s="80" t="s">
        <v>572</v>
      </c>
      <c r="P272" s="80" t="s">
        <v>135</v>
      </c>
      <c r="Q272" s="80" t="s">
        <v>123</v>
      </c>
      <c r="R272" s="80" t="s">
        <v>124</v>
      </c>
      <c r="S272" s="80">
        <v>10</v>
      </c>
      <c r="T272" s="80">
        <v>12</v>
      </c>
      <c r="U272" s="80" t="s">
        <v>167</v>
      </c>
      <c r="V272" s="80" t="s">
        <v>126</v>
      </c>
      <c r="W272" s="80" t="s">
        <v>127</v>
      </c>
      <c r="X272" s="80"/>
      <c r="Y272" s="80"/>
    </row>
    <row r="273" spans="1:25">
      <c r="A273" s="80">
        <f t="shared" si="4"/>
        <v>272</v>
      </c>
      <c r="B273" s="10">
        <v>45966.833993055603</v>
      </c>
      <c r="C273" s="80" t="s">
        <v>157</v>
      </c>
      <c r="D273" s="80" t="s">
        <v>1641</v>
      </c>
      <c r="E273" s="80" t="s">
        <v>1642</v>
      </c>
      <c r="F273" s="80" t="s">
        <v>1643</v>
      </c>
      <c r="G273" s="80" t="s">
        <v>1644</v>
      </c>
      <c r="H273" s="80" t="s">
        <v>115</v>
      </c>
      <c r="I273" s="80" t="s">
        <v>865</v>
      </c>
      <c r="J273" s="80" t="s">
        <v>117</v>
      </c>
      <c r="K273" s="80">
        <v>18</v>
      </c>
      <c r="L273" s="80" t="s">
        <v>1645</v>
      </c>
      <c r="M273" s="80" t="s">
        <v>1646</v>
      </c>
      <c r="N273" s="80" t="s">
        <v>120</v>
      </c>
      <c r="O273" s="80" t="s">
        <v>230</v>
      </c>
      <c r="P273" s="80" t="s">
        <v>612</v>
      </c>
      <c r="Q273" s="80" t="s">
        <v>123</v>
      </c>
      <c r="R273" s="80" t="s">
        <v>174</v>
      </c>
      <c r="S273" s="80">
        <v>10</v>
      </c>
      <c r="T273" s="80">
        <v>12</v>
      </c>
      <c r="U273" s="80" t="s">
        <v>167</v>
      </c>
      <c r="V273" s="80" t="s">
        <v>126</v>
      </c>
      <c r="W273" s="80" t="s">
        <v>127</v>
      </c>
      <c r="X273" s="80"/>
      <c r="Y273" s="80"/>
    </row>
    <row r="274" spans="1:25">
      <c r="A274" s="80">
        <f t="shared" si="4"/>
        <v>273</v>
      </c>
      <c r="B274" s="10">
        <v>45966.835208333301</v>
      </c>
      <c r="C274" s="80" t="s">
        <v>157</v>
      </c>
      <c r="D274" s="80" t="s">
        <v>1647</v>
      </c>
      <c r="E274" s="80" t="s">
        <v>1648</v>
      </c>
      <c r="F274" s="80" t="s">
        <v>1649</v>
      </c>
      <c r="G274" s="80" t="s">
        <v>1650</v>
      </c>
      <c r="H274" s="80" t="s">
        <v>115</v>
      </c>
      <c r="I274" s="80" t="s">
        <v>865</v>
      </c>
      <c r="J274" s="80" t="s">
        <v>117</v>
      </c>
      <c r="K274" s="80">
        <v>1</v>
      </c>
      <c r="L274" s="80" t="s">
        <v>1651</v>
      </c>
      <c r="M274" s="80" t="s">
        <v>1652</v>
      </c>
      <c r="N274" s="80" t="s">
        <v>164</v>
      </c>
      <c r="O274" s="80" t="s">
        <v>1653</v>
      </c>
      <c r="P274" s="80" t="s">
        <v>269</v>
      </c>
      <c r="Q274" s="80" t="s">
        <v>123</v>
      </c>
      <c r="R274" s="80" t="s">
        <v>136</v>
      </c>
      <c r="S274" s="80">
        <v>4</v>
      </c>
      <c r="T274" s="80">
        <v>18</v>
      </c>
      <c r="U274" s="80" t="s">
        <v>167</v>
      </c>
      <c r="V274" s="80" t="s">
        <v>126</v>
      </c>
      <c r="W274" s="80" t="s">
        <v>127</v>
      </c>
      <c r="X274" s="80"/>
      <c r="Y274" s="80"/>
    </row>
    <row r="275" spans="1:25">
      <c r="A275" s="80">
        <f t="shared" si="4"/>
        <v>274</v>
      </c>
      <c r="B275" s="10">
        <v>45966.837662037004</v>
      </c>
      <c r="C275" s="80" t="s">
        <v>157</v>
      </c>
      <c r="D275" s="80" t="s">
        <v>1654</v>
      </c>
      <c r="E275" s="80" t="s">
        <v>1655</v>
      </c>
      <c r="F275" s="80" t="s">
        <v>1656</v>
      </c>
      <c r="G275" s="80" t="s">
        <v>1657</v>
      </c>
      <c r="H275" s="80" t="s">
        <v>115</v>
      </c>
      <c r="I275" s="80" t="s">
        <v>237</v>
      </c>
      <c r="J275" s="80" t="s">
        <v>117</v>
      </c>
      <c r="K275" s="80">
        <v>1</v>
      </c>
      <c r="L275" s="80" t="s">
        <v>1658</v>
      </c>
      <c r="M275" s="80" t="s">
        <v>1659</v>
      </c>
      <c r="N275" s="80" t="s">
        <v>120</v>
      </c>
      <c r="O275" s="80" t="s">
        <v>421</v>
      </c>
      <c r="P275" s="80" t="s">
        <v>135</v>
      </c>
      <c r="Q275" s="80" t="s">
        <v>123</v>
      </c>
      <c r="R275" s="80" t="s">
        <v>136</v>
      </c>
      <c r="S275" s="80">
        <v>6</v>
      </c>
      <c r="T275" s="80">
        <v>18</v>
      </c>
      <c r="U275" s="80" t="s">
        <v>167</v>
      </c>
      <c r="V275" s="80" t="s">
        <v>126</v>
      </c>
      <c r="W275" s="80" t="s">
        <v>1660</v>
      </c>
      <c r="X275" s="80"/>
      <c r="Y275" s="80"/>
    </row>
    <row r="276" spans="1:25">
      <c r="A276" s="80">
        <f t="shared" si="4"/>
        <v>275</v>
      </c>
      <c r="B276" s="10">
        <v>45966.845520833303</v>
      </c>
      <c r="C276" s="80" t="s">
        <v>157</v>
      </c>
      <c r="D276" s="80" t="s">
        <v>1661</v>
      </c>
      <c r="E276" s="80" t="s">
        <v>1662</v>
      </c>
      <c r="F276" s="80" t="s">
        <v>1663</v>
      </c>
      <c r="G276" s="80" t="s">
        <v>1664</v>
      </c>
      <c r="H276" s="80" t="s">
        <v>115</v>
      </c>
      <c r="I276" s="80" t="s">
        <v>865</v>
      </c>
      <c r="J276" s="80" t="s">
        <v>149</v>
      </c>
      <c r="K276" s="80">
        <v>8</v>
      </c>
      <c r="L276" s="80" t="s">
        <v>1665</v>
      </c>
      <c r="M276" s="80" t="s">
        <v>1666</v>
      </c>
      <c r="N276" s="80" t="s">
        <v>120</v>
      </c>
      <c r="O276" s="80" t="s">
        <v>121</v>
      </c>
      <c r="P276" s="80" t="s">
        <v>612</v>
      </c>
      <c r="Q276" s="80" t="s">
        <v>123</v>
      </c>
      <c r="R276" s="80" t="s">
        <v>174</v>
      </c>
      <c r="S276" s="80">
        <v>1</v>
      </c>
      <c r="T276" s="80">
        <v>18</v>
      </c>
      <c r="U276" s="80" t="s">
        <v>167</v>
      </c>
      <c r="V276" s="80" t="s">
        <v>126</v>
      </c>
      <c r="W276" s="80" t="s">
        <v>127</v>
      </c>
      <c r="X276" s="80"/>
      <c r="Y276" s="80"/>
    </row>
    <row r="277" spans="1:25">
      <c r="A277" s="80">
        <f t="shared" si="4"/>
        <v>276</v>
      </c>
      <c r="B277" s="10">
        <v>45966.846435185202</v>
      </c>
      <c r="C277" s="80" t="s">
        <v>157</v>
      </c>
      <c r="D277" s="80" t="s">
        <v>1667</v>
      </c>
      <c r="E277" s="80" t="s">
        <v>1668</v>
      </c>
      <c r="F277" s="80" t="s">
        <v>1669</v>
      </c>
      <c r="G277" s="80" t="s">
        <v>1670</v>
      </c>
      <c r="H277" s="80" t="s">
        <v>115</v>
      </c>
      <c r="I277" s="80" t="s">
        <v>865</v>
      </c>
      <c r="J277" s="80" t="s">
        <v>117</v>
      </c>
      <c r="K277" s="80">
        <v>12</v>
      </c>
      <c r="L277" s="80" t="s">
        <v>1671</v>
      </c>
      <c r="M277" s="80" t="s">
        <v>1672</v>
      </c>
      <c r="N277" s="80" t="s">
        <v>120</v>
      </c>
      <c r="O277" s="80" t="s">
        <v>572</v>
      </c>
      <c r="P277" s="80" t="s">
        <v>231</v>
      </c>
      <c r="Q277" s="80" t="s">
        <v>123</v>
      </c>
      <c r="R277" s="80" t="s">
        <v>174</v>
      </c>
      <c r="S277" s="80">
        <v>5</v>
      </c>
      <c r="T277" s="80">
        <v>12</v>
      </c>
      <c r="U277" s="80" t="s">
        <v>167</v>
      </c>
      <c r="V277" s="80" t="s">
        <v>126</v>
      </c>
      <c r="W277" s="80" t="s">
        <v>127</v>
      </c>
      <c r="X277" s="80"/>
      <c r="Y277" s="80"/>
    </row>
    <row r="278" spans="1:25">
      <c r="A278" s="80">
        <f t="shared" si="4"/>
        <v>277</v>
      </c>
      <c r="B278" s="10">
        <v>45966.847662036998</v>
      </c>
      <c r="C278" s="80" t="s">
        <v>157</v>
      </c>
      <c r="D278" s="80" t="s">
        <v>1673</v>
      </c>
      <c r="E278" s="80" t="s">
        <v>1674</v>
      </c>
      <c r="F278" s="80" t="s">
        <v>1675</v>
      </c>
      <c r="G278" s="80" t="s">
        <v>1676</v>
      </c>
      <c r="H278" s="80" t="s">
        <v>115</v>
      </c>
      <c r="I278" s="80" t="s">
        <v>865</v>
      </c>
      <c r="J278" s="80" t="s">
        <v>149</v>
      </c>
      <c r="K278" s="80">
        <v>16</v>
      </c>
      <c r="L278" s="80" t="s">
        <v>1677</v>
      </c>
      <c r="M278" s="80" t="s">
        <v>1678</v>
      </c>
      <c r="N278" s="80" t="s">
        <v>164</v>
      </c>
      <c r="O278" s="80" t="s">
        <v>391</v>
      </c>
      <c r="P278" s="80" t="s">
        <v>832</v>
      </c>
      <c r="Q278" s="80" t="s">
        <v>123</v>
      </c>
      <c r="R278" s="80" t="s">
        <v>174</v>
      </c>
      <c r="S278" s="80">
        <v>2</v>
      </c>
      <c r="T278" s="80">
        <v>18</v>
      </c>
      <c r="U278" s="80" t="s">
        <v>167</v>
      </c>
      <c r="V278" s="80" t="s">
        <v>126</v>
      </c>
      <c r="W278" s="80" t="s">
        <v>127</v>
      </c>
      <c r="X278" s="80"/>
      <c r="Y278" s="80"/>
    </row>
    <row r="279" spans="1:25">
      <c r="A279" s="80">
        <f t="shared" si="4"/>
        <v>278</v>
      </c>
      <c r="B279" s="10">
        <v>45966.852187500001</v>
      </c>
      <c r="C279" s="80" t="s">
        <v>157</v>
      </c>
      <c r="D279" s="80" t="s">
        <v>1679</v>
      </c>
      <c r="E279" s="80" t="s">
        <v>1680</v>
      </c>
      <c r="F279" s="80" t="s">
        <v>1681</v>
      </c>
      <c r="G279" s="80" t="s">
        <v>1682</v>
      </c>
      <c r="H279" s="80" t="s">
        <v>115</v>
      </c>
      <c r="I279" s="80" t="s">
        <v>955</v>
      </c>
      <c r="J279" s="80" t="s">
        <v>149</v>
      </c>
      <c r="K279" s="80">
        <v>19</v>
      </c>
      <c r="L279" s="80" t="s">
        <v>1683</v>
      </c>
      <c r="M279" s="80" t="s">
        <v>1684</v>
      </c>
      <c r="N279" s="80" t="s">
        <v>120</v>
      </c>
      <c r="O279" s="80" t="s">
        <v>152</v>
      </c>
      <c r="P279" s="80" t="s">
        <v>588</v>
      </c>
      <c r="Q279" s="80" t="s">
        <v>123</v>
      </c>
      <c r="R279" s="80" t="s">
        <v>174</v>
      </c>
      <c r="S279" s="80">
        <v>2</v>
      </c>
      <c r="T279" s="80">
        <v>18</v>
      </c>
      <c r="U279" s="80" t="s">
        <v>167</v>
      </c>
      <c r="V279" s="80" t="s">
        <v>126</v>
      </c>
      <c r="W279" s="80" t="s">
        <v>127</v>
      </c>
      <c r="X279" s="80"/>
      <c r="Y279" s="80"/>
    </row>
    <row r="280" spans="1:25">
      <c r="A280" s="80">
        <f t="shared" si="4"/>
        <v>279</v>
      </c>
      <c r="B280" s="10">
        <v>45966.862152777801</v>
      </c>
      <c r="C280" s="80" t="s">
        <v>157</v>
      </c>
      <c r="D280" s="80" t="s">
        <v>1685</v>
      </c>
      <c r="E280" s="80" t="s">
        <v>1686</v>
      </c>
      <c r="F280" s="80" t="s">
        <v>1663</v>
      </c>
      <c r="G280" s="80" t="s">
        <v>1687</v>
      </c>
      <c r="H280" s="80" t="s">
        <v>115</v>
      </c>
      <c r="I280" s="80" t="s">
        <v>227</v>
      </c>
      <c r="J280" s="80" t="s">
        <v>149</v>
      </c>
      <c r="K280" s="80">
        <v>16</v>
      </c>
      <c r="L280" s="80" t="s">
        <v>1688</v>
      </c>
      <c r="M280" s="80" t="s">
        <v>1689</v>
      </c>
      <c r="N280" s="80" t="s">
        <v>120</v>
      </c>
      <c r="O280" s="80" t="s">
        <v>510</v>
      </c>
      <c r="P280" s="80" t="s">
        <v>135</v>
      </c>
      <c r="Q280" s="80" t="s">
        <v>123</v>
      </c>
      <c r="R280" s="80" t="s">
        <v>174</v>
      </c>
      <c r="S280" s="80">
        <v>12</v>
      </c>
      <c r="T280" s="80">
        <v>18</v>
      </c>
      <c r="U280" s="80" t="s">
        <v>167</v>
      </c>
      <c r="V280" s="80" t="s">
        <v>126</v>
      </c>
      <c r="W280" s="80" t="s">
        <v>127</v>
      </c>
      <c r="X280" s="80"/>
      <c r="Y280" s="80"/>
    </row>
    <row r="281" spans="1:25">
      <c r="A281" s="80">
        <f t="shared" si="4"/>
        <v>280</v>
      </c>
      <c r="B281" s="10">
        <v>45966.868483796301</v>
      </c>
      <c r="C281" s="80" t="s">
        <v>261</v>
      </c>
      <c r="D281" s="80" t="s">
        <v>1690</v>
      </c>
      <c r="E281" s="80" t="s">
        <v>1691</v>
      </c>
      <c r="F281" s="80" t="s">
        <v>1692</v>
      </c>
      <c r="G281" s="80" t="s">
        <v>1693</v>
      </c>
      <c r="H281" s="80" t="s">
        <v>174</v>
      </c>
      <c r="I281" s="80" t="s">
        <v>174</v>
      </c>
      <c r="J281" s="80" t="s">
        <v>149</v>
      </c>
      <c r="K281" s="80">
        <v>1</v>
      </c>
      <c r="L281" s="80" t="s">
        <v>1694</v>
      </c>
      <c r="M281" s="80" t="s">
        <v>1695</v>
      </c>
      <c r="N281" s="80" t="s">
        <v>120</v>
      </c>
      <c r="O281" s="80" t="s">
        <v>652</v>
      </c>
      <c r="P281" s="80" t="s">
        <v>135</v>
      </c>
      <c r="Q281" s="80" t="s">
        <v>123</v>
      </c>
      <c r="R281" s="80" t="s">
        <v>174</v>
      </c>
      <c r="S281" s="80">
        <v>1</v>
      </c>
      <c r="T281" s="80">
        <v>12</v>
      </c>
      <c r="U281" s="80" t="s">
        <v>270</v>
      </c>
      <c r="V281" s="80" t="s">
        <v>126</v>
      </c>
      <c r="W281" s="80" t="s">
        <v>127</v>
      </c>
      <c r="X281" s="80"/>
      <c r="Y281" s="80"/>
    </row>
    <row r="282" spans="1:25">
      <c r="A282" s="80">
        <f t="shared" si="4"/>
        <v>281</v>
      </c>
      <c r="B282" s="10">
        <v>45966.875532407401</v>
      </c>
      <c r="C282" s="80" t="s">
        <v>261</v>
      </c>
      <c r="D282" s="80" t="s">
        <v>1696</v>
      </c>
      <c r="E282" s="80" t="s">
        <v>1697</v>
      </c>
      <c r="F282" s="80" t="s">
        <v>1698</v>
      </c>
      <c r="G282" s="80" t="s">
        <v>1699</v>
      </c>
      <c r="H282" s="80" t="s">
        <v>115</v>
      </c>
      <c r="I282" s="80" t="s">
        <v>865</v>
      </c>
      <c r="J282" s="80" t="s">
        <v>149</v>
      </c>
      <c r="K282" s="80">
        <v>5</v>
      </c>
      <c r="L282" s="80" t="s">
        <v>1700</v>
      </c>
      <c r="M282" s="80" t="s">
        <v>1701</v>
      </c>
      <c r="N282" s="80" t="s">
        <v>120</v>
      </c>
      <c r="O282" s="80" t="s">
        <v>652</v>
      </c>
      <c r="P282" s="80" t="s">
        <v>304</v>
      </c>
      <c r="Q282" s="80" t="s">
        <v>123</v>
      </c>
      <c r="R282" s="80" t="s">
        <v>136</v>
      </c>
      <c r="S282" s="80">
        <v>1</v>
      </c>
      <c r="T282" s="80">
        <v>12</v>
      </c>
      <c r="U282" s="80" t="s">
        <v>270</v>
      </c>
      <c r="V282" s="80" t="s">
        <v>126</v>
      </c>
      <c r="W282" s="80" t="s">
        <v>127</v>
      </c>
      <c r="X282" s="80"/>
      <c r="Y282" s="80"/>
    </row>
    <row r="283" spans="1:25">
      <c r="A283" s="80">
        <f t="shared" si="4"/>
        <v>282</v>
      </c>
      <c r="B283" s="10">
        <v>45966.890150462998</v>
      </c>
      <c r="C283" s="80" t="s">
        <v>261</v>
      </c>
      <c r="D283" s="80" t="s">
        <v>1702</v>
      </c>
      <c r="E283" s="80" t="s">
        <v>1703</v>
      </c>
      <c r="F283" s="80" t="s">
        <v>1704</v>
      </c>
      <c r="G283" s="80" t="s">
        <v>1705</v>
      </c>
      <c r="H283" s="80" t="s">
        <v>115</v>
      </c>
      <c r="I283" s="80" t="s">
        <v>244</v>
      </c>
      <c r="J283" s="80" t="s">
        <v>149</v>
      </c>
      <c r="K283" s="80">
        <v>2</v>
      </c>
      <c r="L283" s="80" t="s">
        <v>1706</v>
      </c>
      <c r="M283" s="80" t="s">
        <v>1707</v>
      </c>
      <c r="N283" s="80" t="s">
        <v>120</v>
      </c>
      <c r="O283" s="80" t="s">
        <v>230</v>
      </c>
      <c r="P283" s="80" t="s">
        <v>231</v>
      </c>
      <c r="Q283" s="80" t="s">
        <v>123</v>
      </c>
      <c r="R283" s="80" t="s">
        <v>136</v>
      </c>
      <c r="S283" s="80">
        <v>1</v>
      </c>
      <c r="T283" s="80">
        <v>18</v>
      </c>
      <c r="U283" s="80" t="s">
        <v>270</v>
      </c>
      <c r="V283" s="80" t="s">
        <v>126</v>
      </c>
      <c r="W283" s="80" t="s">
        <v>127</v>
      </c>
      <c r="X283" s="80"/>
      <c r="Y283" s="80"/>
    </row>
    <row r="284" spans="1:25">
      <c r="A284" s="80">
        <f t="shared" si="4"/>
        <v>283</v>
      </c>
      <c r="B284" s="10">
        <v>45967.330543981501</v>
      </c>
      <c r="C284" s="80" t="s">
        <v>1465</v>
      </c>
      <c r="D284" s="80" t="s">
        <v>1708</v>
      </c>
      <c r="E284" s="80" t="s">
        <v>1709</v>
      </c>
      <c r="F284" s="80" t="s">
        <v>1710</v>
      </c>
      <c r="G284" s="80" t="s">
        <v>1711</v>
      </c>
      <c r="H284" s="80" t="s">
        <v>174</v>
      </c>
      <c r="I284" s="80" t="s">
        <v>173</v>
      </c>
      <c r="J284" s="80" t="s">
        <v>149</v>
      </c>
      <c r="K284" s="80">
        <v>11</v>
      </c>
      <c r="L284" s="80" t="s">
        <v>1712</v>
      </c>
      <c r="M284" s="80" t="s">
        <v>1713</v>
      </c>
      <c r="N284" s="80" t="s">
        <v>120</v>
      </c>
      <c r="O284" s="80" t="s">
        <v>152</v>
      </c>
      <c r="P284" s="80" t="s">
        <v>135</v>
      </c>
      <c r="Q284" s="80" t="s">
        <v>123</v>
      </c>
      <c r="R284" s="80" t="s">
        <v>174</v>
      </c>
      <c r="S284" s="80">
        <v>5</v>
      </c>
      <c r="T284" s="80">
        <v>12</v>
      </c>
      <c r="U284" s="80" t="s">
        <v>1473</v>
      </c>
      <c r="V284" s="80" t="s">
        <v>126</v>
      </c>
      <c r="W284" s="80" t="s">
        <v>127</v>
      </c>
      <c r="X284" s="80"/>
      <c r="Y284" s="80"/>
    </row>
    <row r="285" spans="1:25">
      <c r="A285" s="80">
        <f t="shared" si="4"/>
        <v>284</v>
      </c>
      <c r="B285" s="10">
        <v>45967.372337963003</v>
      </c>
      <c r="C285" s="80" t="s">
        <v>280</v>
      </c>
      <c r="D285" s="80" t="s">
        <v>1714</v>
      </c>
      <c r="E285" s="80" t="s">
        <v>1715</v>
      </c>
      <c r="F285" s="80" t="s">
        <v>1716</v>
      </c>
      <c r="G285" s="80" t="s">
        <v>1717</v>
      </c>
      <c r="H285" s="80" t="s">
        <v>115</v>
      </c>
      <c r="I285" s="80" t="s">
        <v>865</v>
      </c>
      <c r="J285" s="80" t="s">
        <v>117</v>
      </c>
      <c r="K285" s="80">
        <v>16</v>
      </c>
      <c r="L285" s="80" t="s">
        <v>1718</v>
      </c>
      <c r="M285" s="80" t="s">
        <v>1719</v>
      </c>
      <c r="N285" s="80" t="s">
        <v>120</v>
      </c>
      <c r="O285" s="80" t="s">
        <v>572</v>
      </c>
      <c r="P285" s="80" t="s">
        <v>1720</v>
      </c>
      <c r="Q285" s="80" t="s">
        <v>123</v>
      </c>
      <c r="R285" s="80" t="s">
        <v>174</v>
      </c>
      <c r="S285" s="80">
        <v>4</v>
      </c>
      <c r="T285" s="80">
        <v>24</v>
      </c>
      <c r="U285" s="80" t="s">
        <v>288</v>
      </c>
      <c r="V285" s="80" t="s">
        <v>126</v>
      </c>
      <c r="W285" s="80" t="s">
        <v>127</v>
      </c>
      <c r="X285" s="80"/>
      <c r="Y285" s="80"/>
    </row>
    <row r="286" spans="1:25">
      <c r="A286" s="80">
        <f t="shared" si="4"/>
        <v>285</v>
      </c>
      <c r="B286" s="10">
        <v>45967.373148148101</v>
      </c>
      <c r="C286" s="80" t="s">
        <v>280</v>
      </c>
      <c r="D286" s="80" t="s">
        <v>1721</v>
      </c>
      <c r="E286" s="80" t="s">
        <v>1722</v>
      </c>
      <c r="F286" s="80" t="s">
        <v>1723</v>
      </c>
      <c r="G286" s="80" t="s">
        <v>1724</v>
      </c>
      <c r="H286" s="80" t="s">
        <v>174</v>
      </c>
      <c r="I286" s="80" t="s">
        <v>173</v>
      </c>
      <c r="J286" s="80" t="s">
        <v>149</v>
      </c>
      <c r="K286" s="80">
        <v>1</v>
      </c>
      <c r="L286" s="80" t="s">
        <v>1725</v>
      </c>
      <c r="M286" s="80" t="s">
        <v>1726</v>
      </c>
      <c r="N286" s="80" t="s">
        <v>120</v>
      </c>
      <c r="O286" s="80" t="s">
        <v>213</v>
      </c>
      <c r="P286" s="80" t="s">
        <v>135</v>
      </c>
      <c r="Q286" s="80" t="s">
        <v>123</v>
      </c>
      <c r="R286" s="80" t="s">
        <v>174</v>
      </c>
      <c r="S286" s="80">
        <v>7</v>
      </c>
      <c r="T286" s="80">
        <v>18</v>
      </c>
      <c r="U286" s="80" t="s">
        <v>288</v>
      </c>
      <c r="V286" s="80" t="s">
        <v>126</v>
      </c>
      <c r="W286" s="80" t="s">
        <v>127</v>
      </c>
      <c r="X286" s="80"/>
      <c r="Y286" s="80"/>
    </row>
    <row r="287" spans="1:25">
      <c r="A287" s="80">
        <f t="shared" si="4"/>
        <v>286</v>
      </c>
      <c r="B287" s="10">
        <v>45967.373229166697</v>
      </c>
      <c r="C287" s="80" t="s">
        <v>359</v>
      </c>
      <c r="D287" s="80" t="s">
        <v>1727</v>
      </c>
      <c r="E287" s="80" t="s">
        <v>1722</v>
      </c>
      <c r="F287" s="80" t="s">
        <v>1723</v>
      </c>
      <c r="G287" s="80" t="s">
        <v>1724</v>
      </c>
      <c r="H287" s="80" t="s">
        <v>174</v>
      </c>
      <c r="I287" s="80" t="s">
        <v>173</v>
      </c>
      <c r="J287" s="80" t="s">
        <v>149</v>
      </c>
      <c r="K287" s="80">
        <v>1</v>
      </c>
      <c r="L287" s="80" t="s">
        <v>1725</v>
      </c>
      <c r="M287" s="80" t="s">
        <v>1726</v>
      </c>
      <c r="N287" s="80" t="s">
        <v>120</v>
      </c>
      <c r="O287" s="80" t="s">
        <v>213</v>
      </c>
      <c r="P287" s="80" t="s">
        <v>135</v>
      </c>
      <c r="Q287" s="80" t="s">
        <v>123</v>
      </c>
      <c r="R287" s="80" t="s">
        <v>174</v>
      </c>
      <c r="S287" s="80">
        <v>7</v>
      </c>
      <c r="T287" s="80">
        <v>18</v>
      </c>
      <c r="U287" s="80" t="s">
        <v>361</v>
      </c>
      <c r="V287" s="80" t="s">
        <v>126</v>
      </c>
      <c r="W287" s="80" t="s">
        <v>127</v>
      </c>
      <c r="X287" s="80"/>
      <c r="Y287" s="80"/>
    </row>
    <row r="288" spans="1:25">
      <c r="A288" s="80">
        <f t="shared" si="4"/>
        <v>287</v>
      </c>
      <c r="B288" s="10">
        <v>45967.374166666697</v>
      </c>
      <c r="C288" s="80" t="s">
        <v>280</v>
      </c>
      <c r="D288" s="80" t="s">
        <v>1728</v>
      </c>
      <c r="E288" s="80" t="s">
        <v>1729</v>
      </c>
      <c r="F288" s="80" t="s">
        <v>1730</v>
      </c>
      <c r="G288" s="80" t="s">
        <v>1731</v>
      </c>
      <c r="H288" s="80" t="s">
        <v>115</v>
      </c>
      <c r="I288" s="80" t="s">
        <v>865</v>
      </c>
      <c r="J288" s="80" t="s">
        <v>117</v>
      </c>
      <c r="K288" s="80">
        <v>22</v>
      </c>
      <c r="L288" s="80" t="s">
        <v>1732</v>
      </c>
      <c r="M288" s="80" t="s">
        <v>1733</v>
      </c>
      <c r="N288" s="80" t="s">
        <v>120</v>
      </c>
      <c r="O288" s="80" t="s">
        <v>187</v>
      </c>
      <c r="P288" s="80" t="s">
        <v>135</v>
      </c>
      <c r="Q288" s="80" t="s">
        <v>123</v>
      </c>
      <c r="R288" s="80" t="s">
        <v>174</v>
      </c>
      <c r="S288" s="80">
        <v>3</v>
      </c>
      <c r="T288" s="80">
        <v>6</v>
      </c>
      <c r="U288" s="80" t="s">
        <v>288</v>
      </c>
      <c r="V288" s="80" t="s">
        <v>126</v>
      </c>
      <c r="W288" s="80" t="s">
        <v>127</v>
      </c>
      <c r="X288" s="80"/>
      <c r="Y288" s="80"/>
    </row>
    <row r="289" spans="1:25">
      <c r="A289" s="80">
        <f t="shared" si="4"/>
        <v>288</v>
      </c>
      <c r="B289" s="10">
        <v>45967.4215162037</v>
      </c>
      <c r="C289" s="80" t="s">
        <v>320</v>
      </c>
      <c r="D289" s="80" t="s">
        <v>1734</v>
      </c>
      <c r="E289" s="80" t="s">
        <v>635</v>
      </c>
      <c r="F289" s="80" t="s">
        <v>636</v>
      </c>
      <c r="G289" s="80" t="s">
        <v>637</v>
      </c>
      <c r="H289" s="80" t="s">
        <v>115</v>
      </c>
      <c r="I289" s="80" t="s">
        <v>244</v>
      </c>
      <c r="J289" s="80" t="s">
        <v>117</v>
      </c>
      <c r="K289" s="80">
        <v>24</v>
      </c>
      <c r="L289" s="80" t="s">
        <v>638</v>
      </c>
      <c r="M289" s="80" t="s">
        <v>639</v>
      </c>
      <c r="N289" s="80" t="s">
        <v>120</v>
      </c>
      <c r="O289" s="80" t="s">
        <v>152</v>
      </c>
      <c r="P289" s="80" t="s">
        <v>135</v>
      </c>
      <c r="Q289" s="80" t="s">
        <v>123</v>
      </c>
      <c r="R289" s="80" t="s">
        <v>174</v>
      </c>
      <c r="S289" s="80">
        <v>19</v>
      </c>
      <c r="T289" s="80">
        <v>24</v>
      </c>
      <c r="U289" s="80" t="s">
        <v>328</v>
      </c>
      <c r="V289" s="80" t="s">
        <v>126</v>
      </c>
      <c r="W289" s="80" t="s">
        <v>127</v>
      </c>
      <c r="X289" s="80"/>
      <c r="Y289" s="80"/>
    </row>
    <row r="290" spans="1:25">
      <c r="A290" s="80">
        <f t="shared" si="4"/>
        <v>289</v>
      </c>
      <c r="B290" s="10">
        <v>45967.4311689815</v>
      </c>
      <c r="C290" s="80" t="s">
        <v>320</v>
      </c>
      <c r="D290" s="80" t="s">
        <v>1735</v>
      </c>
      <c r="E290" s="80" t="s">
        <v>1736</v>
      </c>
      <c r="F290" s="80" t="s">
        <v>1737</v>
      </c>
      <c r="G290" s="80" t="s">
        <v>1738</v>
      </c>
      <c r="H290" s="80" t="s">
        <v>115</v>
      </c>
      <c r="I290" s="80" t="s">
        <v>237</v>
      </c>
      <c r="J290" s="80" t="s">
        <v>117</v>
      </c>
      <c r="K290" s="80">
        <v>18</v>
      </c>
      <c r="L290" s="80" t="s">
        <v>1739</v>
      </c>
      <c r="M290" s="80" t="s">
        <v>1740</v>
      </c>
      <c r="N290" s="80" t="s">
        <v>120</v>
      </c>
      <c r="O290" s="80" t="s">
        <v>525</v>
      </c>
      <c r="P290" s="80" t="s">
        <v>122</v>
      </c>
      <c r="Q290" s="80" t="s">
        <v>123</v>
      </c>
      <c r="R290" s="80" t="s">
        <v>174</v>
      </c>
      <c r="S290" s="80">
        <v>10</v>
      </c>
      <c r="T290" s="80">
        <v>24</v>
      </c>
      <c r="U290" s="80" t="s">
        <v>328</v>
      </c>
      <c r="V290" s="80" t="s">
        <v>126</v>
      </c>
      <c r="W290" s="80" t="s">
        <v>127</v>
      </c>
      <c r="X290" s="80"/>
      <c r="Y290" s="80"/>
    </row>
    <row r="291" spans="1:25">
      <c r="A291" s="80">
        <f t="shared" si="4"/>
        <v>290</v>
      </c>
      <c r="B291" s="10">
        <v>45967.468379629601</v>
      </c>
      <c r="C291" s="80" t="s">
        <v>563</v>
      </c>
      <c r="D291" s="80" t="s">
        <v>1741</v>
      </c>
      <c r="E291" s="80" t="s">
        <v>1742</v>
      </c>
      <c r="F291" s="80" t="s">
        <v>1743</v>
      </c>
      <c r="G291" s="80" t="s">
        <v>1744</v>
      </c>
      <c r="H291" s="80" t="s">
        <v>115</v>
      </c>
      <c r="I291" s="80" t="s">
        <v>244</v>
      </c>
      <c r="J291" s="80" t="s">
        <v>117</v>
      </c>
      <c r="K291" s="80">
        <v>20</v>
      </c>
      <c r="L291" s="80" t="s">
        <v>1745</v>
      </c>
      <c r="M291" s="80" t="s">
        <v>1746</v>
      </c>
      <c r="N291" s="80" t="s">
        <v>120</v>
      </c>
      <c r="O291" s="80" t="s">
        <v>371</v>
      </c>
      <c r="P291" s="80" t="s">
        <v>269</v>
      </c>
      <c r="Q291" s="80" t="s">
        <v>123</v>
      </c>
      <c r="R291" s="80" t="s">
        <v>174</v>
      </c>
      <c r="S291" s="80">
        <v>6</v>
      </c>
      <c r="T291" s="80">
        <v>12</v>
      </c>
      <c r="U291" s="80" t="s">
        <v>565</v>
      </c>
      <c r="V291" s="80" t="s">
        <v>126</v>
      </c>
      <c r="W291" s="80" t="s">
        <v>127</v>
      </c>
      <c r="X291" s="80"/>
      <c r="Y291" s="80"/>
    </row>
    <row r="292" spans="1:25">
      <c r="A292" s="80">
        <f t="shared" si="4"/>
        <v>291</v>
      </c>
      <c r="B292" s="10">
        <v>45967.469814814802</v>
      </c>
      <c r="C292" s="80" t="s">
        <v>589</v>
      </c>
      <c r="D292" s="80" t="s">
        <v>1747</v>
      </c>
      <c r="E292" s="80" t="s">
        <v>1287</v>
      </c>
      <c r="F292" s="80" t="s">
        <v>1288</v>
      </c>
      <c r="G292" s="80" t="s">
        <v>1289</v>
      </c>
      <c r="H292" s="80" t="s">
        <v>115</v>
      </c>
      <c r="I292" s="80" t="s">
        <v>227</v>
      </c>
      <c r="J292" s="80" t="s">
        <v>117</v>
      </c>
      <c r="K292" s="80">
        <v>18</v>
      </c>
      <c r="L292" s="80" t="s">
        <v>1290</v>
      </c>
      <c r="M292" s="80" t="s">
        <v>1291</v>
      </c>
      <c r="N292" s="80" t="s">
        <v>120</v>
      </c>
      <c r="O292" s="80" t="s">
        <v>327</v>
      </c>
      <c r="P292" s="80" t="s">
        <v>135</v>
      </c>
      <c r="Q292" s="80" t="s">
        <v>123</v>
      </c>
      <c r="R292" s="80" t="s">
        <v>174</v>
      </c>
      <c r="S292" s="80">
        <v>18</v>
      </c>
      <c r="T292" s="80">
        <v>18</v>
      </c>
      <c r="U292" s="80" t="s">
        <v>596</v>
      </c>
      <c r="V292" s="80" t="s">
        <v>126</v>
      </c>
      <c r="W292" s="80" t="s">
        <v>127</v>
      </c>
      <c r="X292" s="80"/>
      <c r="Y292" s="80"/>
    </row>
    <row r="293" spans="1:25">
      <c r="A293" s="80">
        <f t="shared" si="4"/>
        <v>292</v>
      </c>
      <c r="B293" s="10">
        <v>45967.471712963001</v>
      </c>
      <c r="C293" s="80" t="s">
        <v>553</v>
      </c>
      <c r="D293" s="80" t="s">
        <v>1748</v>
      </c>
      <c r="E293" s="80" t="s">
        <v>1162</v>
      </c>
      <c r="F293" s="80" t="s">
        <v>1163</v>
      </c>
      <c r="G293" s="80" t="s">
        <v>1164</v>
      </c>
      <c r="H293" s="80" t="s">
        <v>477</v>
      </c>
      <c r="I293" s="80" t="s">
        <v>1165</v>
      </c>
      <c r="J293" s="80" t="s">
        <v>149</v>
      </c>
      <c r="K293" s="80">
        <v>21</v>
      </c>
      <c r="L293" s="80" t="s">
        <v>1166</v>
      </c>
      <c r="M293" s="80" t="s">
        <v>1167</v>
      </c>
      <c r="N293" s="80" t="s">
        <v>120</v>
      </c>
      <c r="O293" s="80" t="s">
        <v>240</v>
      </c>
      <c r="P293" s="80" t="s">
        <v>135</v>
      </c>
      <c r="Q293" s="80" t="s">
        <v>123</v>
      </c>
      <c r="R293" s="80" t="s">
        <v>136</v>
      </c>
      <c r="S293" s="80">
        <v>2</v>
      </c>
      <c r="T293" s="80">
        <v>18</v>
      </c>
      <c r="U293" s="80" t="s">
        <v>562</v>
      </c>
      <c r="V293" s="80" t="s">
        <v>126</v>
      </c>
      <c r="W293" s="80" t="s">
        <v>1770</v>
      </c>
      <c r="X293" s="80"/>
      <c r="Y293" s="80"/>
    </row>
    <row r="294" spans="1:25">
      <c r="A294" s="80">
        <f t="shared" si="4"/>
        <v>293</v>
      </c>
      <c r="B294" s="10">
        <v>45967.483506944402</v>
      </c>
      <c r="C294" s="80" t="s">
        <v>297</v>
      </c>
      <c r="D294" s="80" t="s">
        <v>1749</v>
      </c>
      <c r="E294" s="80" t="s">
        <v>1750</v>
      </c>
      <c r="F294" s="80" t="s">
        <v>1751</v>
      </c>
      <c r="G294" s="80" t="s">
        <v>1752</v>
      </c>
      <c r="H294" s="80" t="s">
        <v>184</v>
      </c>
      <c r="I294" s="80" t="s">
        <v>46</v>
      </c>
      <c r="J294" s="80" t="s">
        <v>149</v>
      </c>
      <c r="K294" s="80">
        <v>10</v>
      </c>
      <c r="L294" s="80" t="s">
        <v>1753</v>
      </c>
      <c r="M294" s="80" t="s">
        <v>1754</v>
      </c>
      <c r="N294" s="80" t="s">
        <v>120</v>
      </c>
      <c r="O294" s="80" t="s">
        <v>152</v>
      </c>
      <c r="P294" s="80" t="s">
        <v>135</v>
      </c>
      <c r="Q294" s="80" t="s">
        <v>123</v>
      </c>
      <c r="R294" s="80" t="s">
        <v>136</v>
      </c>
      <c r="S294" s="80">
        <v>4</v>
      </c>
      <c r="T294" s="80">
        <v>12</v>
      </c>
      <c r="U294" s="80" t="s">
        <v>305</v>
      </c>
      <c r="V294" s="80" t="s">
        <v>126</v>
      </c>
      <c r="W294" s="80" t="s">
        <v>137</v>
      </c>
      <c r="X294" s="80"/>
      <c r="Y294" s="80"/>
    </row>
    <row r="295" spans="1:25">
      <c r="A295" s="80">
        <f t="shared" si="4"/>
        <v>294</v>
      </c>
      <c r="B295" s="10">
        <v>45967.486076388901</v>
      </c>
      <c r="C295" s="80" t="s">
        <v>157</v>
      </c>
      <c r="D295" s="80" t="s">
        <v>1755</v>
      </c>
      <c r="E295" s="80" t="s">
        <v>1756</v>
      </c>
      <c r="F295" s="80" t="s">
        <v>1757</v>
      </c>
      <c r="G295" s="80" t="s">
        <v>1758</v>
      </c>
      <c r="H295" s="80" t="s">
        <v>115</v>
      </c>
      <c r="I295" s="80" t="s">
        <v>865</v>
      </c>
      <c r="J295" s="80" t="s">
        <v>149</v>
      </c>
      <c r="K295" s="80">
        <v>21</v>
      </c>
      <c r="L295" s="80" t="s">
        <v>1759</v>
      </c>
      <c r="M295" s="80" t="s">
        <v>1760</v>
      </c>
      <c r="N295" s="80" t="s">
        <v>120</v>
      </c>
      <c r="O295" s="80" t="s">
        <v>213</v>
      </c>
      <c r="P295" s="80" t="s">
        <v>135</v>
      </c>
      <c r="Q295" s="80" t="s">
        <v>123</v>
      </c>
      <c r="R295" s="80" t="s">
        <v>174</v>
      </c>
      <c r="S295" s="80">
        <v>9</v>
      </c>
      <c r="T295" s="80">
        <v>24</v>
      </c>
      <c r="U295" s="80" t="s">
        <v>167</v>
      </c>
      <c r="V295" s="80" t="s">
        <v>126</v>
      </c>
      <c r="W295" s="80" t="s">
        <v>127</v>
      </c>
      <c r="X295" s="80"/>
      <c r="Y295" s="80"/>
    </row>
    <row r="296" spans="1:25">
      <c r="A296" s="80">
        <f t="shared" si="4"/>
        <v>295</v>
      </c>
      <c r="B296" s="10">
        <v>45967.486122685201</v>
      </c>
      <c r="C296" s="80" t="s">
        <v>320</v>
      </c>
      <c r="D296" s="80" t="s">
        <v>1761</v>
      </c>
      <c r="E296" s="80" t="s">
        <v>1756</v>
      </c>
      <c r="F296" s="80" t="s">
        <v>1757</v>
      </c>
      <c r="G296" s="80" t="s">
        <v>1758</v>
      </c>
      <c r="H296" s="80" t="s">
        <v>115</v>
      </c>
      <c r="I296" s="80" t="s">
        <v>865</v>
      </c>
      <c r="J296" s="80" t="s">
        <v>149</v>
      </c>
      <c r="K296" s="80">
        <v>21</v>
      </c>
      <c r="L296" s="80" t="s">
        <v>1759</v>
      </c>
      <c r="M296" s="80" t="s">
        <v>1760</v>
      </c>
      <c r="N296" s="80" t="s">
        <v>120</v>
      </c>
      <c r="O296" s="80" t="s">
        <v>213</v>
      </c>
      <c r="P296" s="80" t="s">
        <v>135</v>
      </c>
      <c r="Q296" s="80" t="s">
        <v>123</v>
      </c>
      <c r="R296" s="80" t="s">
        <v>174</v>
      </c>
      <c r="S296" s="80">
        <v>9</v>
      </c>
      <c r="T296" s="80">
        <v>24</v>
      </c>
      <c r="U296" s="80" t="s">
        <v>328</v>
      </c>
      <c r="V296" s="80" t="s">
        <v>126</v>
      </c>
      <c r="W296" s="80" t="s">
        <v>127</v>
      </c>
      <c r="X296" s="80"/>
      <c r="Y296" s="80"/>
    </row>
    <row r="297" spans="1:25">
      <c r="A297" s="80">
        <f t="shared" si="4"/>
        <v>296</v>
      </c>
      <c r="B297" s="10">
        <v>45967.489328703698</v>
      </c>
      <c r="C297" s="80" t="s">
        <v>157</v>
      </c>
      <c r="D297" s="80" t="s">
        <v>1762</v>
      </c>
      <c r="E297" s="80" t="s">
        <v>675</v>
      </c>
      <c r="F297" s="80" t="s">
        <v>676</v>
      </c>
      <c r="G297" s="80" t="s">
        <v>677</v>
      </c>
      <c r="H297" s="80" t="s">
        <v>115</v>
      </c>
      <c r="I297" s="80" t="s">
        <v>842</v>
      </c>
      <c r="J297" s="80" t="s">
        <v>117</v>
      </c>
      <c r="K297" s="80">
        <v>1</v>
      </c>
      <c r="L297" s="80" t="s">
        <v>678</v>
      </c>
      <c r="M297" s="80" t="s">
        <v>679</v>
      </c>
      <c r="N297" s="80" t="s">
        <v>120</v>
      </c>
      <c r="O297" s="80" t="s">
        <v>371</v>
      </c>
      <c r="P297" s="80" t="s">
        <v>135</v>
      </c>
      <c r="Q297" s="80" t="s">
        <v>123</v>
      </c>
      <c r="R297" s="80" t="s">
        <v>136</v>
      </c>
      <c r="S297" s="80">
        <v>5</v>
      </c>
      <c r="T297" s="80">
        <v>12</v>
      </c>
      <c r="U297" s="80" t="s">
        <v>167</v>
      </c>
      <c r="V297" s="80" t="s">
        <v>126</v>
      </c>
      <c r="W297" s="80" t="s">
        <v>127</v>
      </c>
      <c r="X297" s="80"/>
      <c r="Y297" s="80"/>
    </row>
    <row r="298" spans="1:25">
      <c r="A298" s="80">
        <f t="shared" si="4"/>
        <v>297</v>
      </c>
      <c r="B298" s="10">
        <v>45967.491527777798</v>
      </c>
      <c r="C298" s="80" t="s">
        <v>320</v>
      </c>
      <c r="D298" s="80" t="s">
        <v>1763</v>
      </c>
      <c r="E298" s="80" t="s">
        <v>606</v>
      </c>
      <c r="F298" s="80" t="s">
        <v>607</v>
      </c>
      <c r="G298" s="80" t="s">
        <v>608</v>
      </c>
      <c r="H298" s="80" t="s">
        <v>115</v>
      </c>
      <c r="I298" s="80" t="s">
        <v>842</v>
      </c>
      <c r="J298" s="80" t="s">
        <v>149</v>
      </c>
      <c r="K298" s="80">
        <v>26</v>
      </c>
      <c r="L298" s="80" t="s">
        <v>609</v>
      </c>
      <c r="M298" s="80" t="s">
        <v>610</v>
      </c>
      <c r="N298" s="80" t="s">
        <v>120</v>
      </c>
      <c r="O298" s="80" t="s">
        <v>611</v>
      </c>
      <c r="P298" s="80" t="s">
        <v>612</v>
      </c>
      <c r="Q298" s="80" t="s">
        <v>123</v>
      </c>
      <c r="R298" s="80" t="s">
        <v>174</v>
      </c>
      <c r="S298" s="80">
        <v>2</v>
      </c>
      <c r="T298" s="80">
        <v>6</v>
      </c>
      <c r="U298" s="80" t="s">
        <v>328</v>
      </c>
      <c r="V298" s="80" t="s">
        <v>126</v>
      </c>
      <c r="W298" s="80" t="s">
        <v>127</v>
      </c>
      <c r="X298" s="80"/>
      <c r="Y298" s="80"/>
    </row>
    <row r="299" spans="1:25">
      <c r="A299" s="80">
        <f t="shared" si="4"/>
        <v>298</v>
      </c>
      <c r="B299" s="10">
        <v>45967.494247685201</v>
      </c>
      <c r="C299" s="80" t="s">
        <v>563</v>
      </c>
      <c r="D299" s="80" t="s">
        <v>1764</v>
      </c>
      <c r="E299" s="80" t="s">
        <v>1765</v>
      </c>
      <c r="F299" s="80" t="s">
        <v>1766</v>
      </c>
      <c r="G299" s="80" t="s">
        <v>1767</v>
      </c>
      <c r="H299" s="80" t="s">
        <v>1185</v>
      </c>
      <c r="I299" s="80" t="s">
        <v>1186</v>
      </c>
      <c r="J299" s="80" t="s">
        <v>149</v>
      </c>
      <c r="K299" s="80">
        <v>10</v>
      </c>
      <c r="L299" s="80" t="s">
        <v>1768</v>
      </c>
      <c r="M299" s="80" t="s">
        <v>1769</v>
      </c>
      <c r="N299" s="80" t="s">
        <v>120</v>
      </c>
      <c r="O299" s="80" t="s">
        <v>152</v>
      </c>
      <c r="P299" s="80" t="s">
        <v>279</v>
      </c>
      <c r="Q299" s="80" t="s">
        <v>123</v>
      </c>
      <c r="R299" s="80" t="s">
        <v>136</v>
      </c>
      <c r="S299" s="80">
        <v>6</v>
      </c>
      <c r="T299" s="80">
        <v>12</v>
      </c>
      <c r="U299" s="80" t="s">
        <v>565</v>
      </c>
      <c r="V299" s="80" t="s">
        <v>126</v>
      </c>
      <c r="W299" s="80" t="s">
        <v>1770</v>
      </c>
      <c r="X299" s="80"/>
      <c r="Y299" s="80"/>
    </row>
    <row r="300" spans="1:25">
      <c r="A300" s="80">
        <f t="shared" si="4"/>
        <v>299</v>
      </c>
      <c r="B300" s="10">
        <v>45967.4992824074</v>
      </c>
      <c r="C300" s="80" t="s">
        <v>157</v>
      </c>
      <c r="D300" s="80" t="s">
        <v>1771</v>
      </c>
      <c r="E300" s="80" t="s">
        <v>437</v>
      </c>
      <c r="F300" s="80" t="s">
        <v>438</v>
      </c>
      <c r="G300" s="80" t="s">
        <v>439</v>
      </c>
      <c r="H300" s="80" t="s">
        <v>115</v>
      </c>
      <c r="I300" s="80" t="s">
        <v>865</v>
      </c>
      <c r="J300" s="80" t="s">
        <v>117</v>
      </c>
      <c r="K300" s="80">
        <v>6</v>
      </c>
      <c r="L300" s="80" t="s">
        <v>440</v>
      </c>
      <c r="M300" s="80" t="s">
        <v>441</v>
      </c>
      <c r="N300" s="80" t="s">
        <v>120</v>
      </c>
      <c r="O300" s="80" t="s">
        <v>213</v>
      </c>
      <c r="P300" s="80" t="s">
        <v>135</v>
      </c>
      <c r="Q300" s="80" t="s">
        <v>123</v>
      </c>
      <c r="R300" s="80" t="s">
        <v>124</v>
      </c>
      <c r="S300" s="80">
        <v>16</v>
      </c>
      <c r="T300" s="80">
        <v>24</v>
      </c>
      <c r="U300" s="80" t="s">
        <v>167</v>
      </c>
      <c r="V300" s="80" t="s">
        <v>126</v>
      </c>
      <c r="W300" s="80" t="s">
        <v>127</v>
      </c>
      <c r="X300" s="80"/>
      <c r="Y300" s="80"/>
    </row>
    <row r="301" spans="1:25">
      <c r="A301" s="80">
        <f t="shared" si="4"/>
        <v>300</v>
      </c>
      <c r="B301" s="10">
        <v>45967.504583333299</v>
      </c>
      <c r="C301" s="80" t="s">
        <v>143</v>
      </c>
      <c r="D301" s="80" t="s">
        <v>1772</v>
      </c>
      <c r="E301" s="80" t="s">
        <v>1773</v>
      </c>
      <c r="F301" s="80" t="s">
        <v>1774</v>
      </c>
      <c r="G301" s="80" t="s">
        <v>1775</v>
      </c>
      <c r="H301" s="80" t="s">
        <v>184</v>
      </c>
      <c r="I301" s="80" t="s">
        <v>46</v>
      </c>
      <c r="J301" s="80" t="s">
        <v>149</v>
      </c>
      <c r="K301" s="80">
        <v>21</v>
      </c>
      <c r="L301" s="80" t="s">
        <v>1776</v>
      </c>
      <c r="M301" s="80" t="s">
        <v>1777</v>
      </c>
      <c r="N301" s="80" t="s">
        <v>120</v>
      </c>
      <c r="O301" s="80" t="s">
        <v>572</v>
      </c>
      <c r="P301" s="80" t="s">
        <v>135</v>
      </c>
      <c r="Q301" s="80" t="s">
        <v>123</v>
      </c>
      <c r="R301" s="80" t="s">
        <v>136</v>
      </c>
      <c r="S301" s="80">
        <v>2</v>
      </c>
      <c r="T301" s="80">
        <v>24</v>
      </c>
      <c r="U301" s="80" t="s">
        <v>153</v>
      </c>
      <c r="V301" s="80" t="s">
        <v>126</v>
      </c>
      <c r="W301" s="80" t="s">
        <v>137</v>
      </c>
      <c r="X301" s="80"/>
      <c r="Y301" s="80"/>
    </row>
    <row r="302" spans="1:25">
      <c r="A302" s="80">
        <f t="shared" si="4"/>
        <v>301</v>
      </c>
      <c r="B302" s="10">
        <v>45967.505451388897</v>
      </c>
      <c r="C302" s="80" t="s">
        <v>553</v>
      </c>
      <c r="D302" s="80" t="s">
        <v>1778</v>
      </c>
      <c r="E302" s="80" t="s">
        <v>1779</v>
      </c>
      <c r="F302" s="80" t="s">
        <v>1780</v>
      </c>
      <c r="G302" s="80" t="s">
        <v>1781</v>
      </c>
      <c r="H302" s="80" t="s">
        <v>115</v>
      </c>
      <c r="I302" s="80" t="s">
        <v>227</v>
      </c>
      <c r="J302" s="80" t="s">
        <v>149</v>
      </c>
      <c r="K302" s="80">
        <v>26</v>
      </c>
      <c r="L302" s="80" t="s">
        <v>1782</v>
      </c>
      <c r="M302" s="80" t="s">
        <v>1783</v>
      </c>
      <c r="N302" s="80" t="s">
        <v>120</v>
      </c>
      <c r="O302" s="80" t="s">
        <v>152</v>
      </c>
      <c r="P302" s="80" t="s">
        <v>135</v>
      </c>
      <c r="Q302" s="80" t="s">
        <v>123</v>
      </c>
      <c r="R302" s="80" t="s">
        <v>174</v>
      </c>
      <c r="S302" s="80">
        <v>2</v>
      </c>
      <c r="T302" s="80">
        <v>18</v>
      </c>
      <c r="U302" s="80" t="s">
        <v>562</v>
      </c>
      <c r="V302" s="80" t="s">
        <v>126</v>
      </c>
      <c r="W302" s="80" t="s">
        <v>127</v>
      </c>
      <c r="X302" s="80"/>
      <c r="Y302" s="80"/>
    </row>
    <row r="303" spans="1:25">
      <c r="A303" s="80">
        <f t="shared" si="4"/>
        <v>302</v>
      </c>
      <c r="B303" s="10">
        <v>45967.506342592598</v>
      </c>
      <c r="C303" s="80" t="s">
        <v>880</v>
      </c>
      <c r="D303" s="80" t="s">
        <v>1784</v>
      </c>
      <c r="E303" s="80" t="s">
        <v>1779</v>
      </c>
      <c r="F303" s="80" t="s">
        <v>1780</v>
      </c>
      <c r="G303" s="80" t="s">
        <v>1781</v>
      </c>
      <c r="H303" s="80" t="s">
        <v>115</v>
      </c>
      <c r="I303" s="80" t="s">
        <v>227</v>
      </c>
      <c r="J303" s="80" t="s">
        <v>149</v>
      </c>
      <c r="K303" s="80">
        <v>26</v>
      </c>
      <c r="L303" s="80" t="s">
        <v>1782</v>
      </c>
      <c r="M303" s="80" t="s">
        <v>1783</v>
      </c>
      <c r="N303" s="80" t="s">
        <v>120</v>
      </c>
      <c r="O303" s="80" t="s">
        <v>152</v>
      </c>
      <c r="P303" s="80" t="s">
        <v>135</v>
      </c>
      <c r="Q303" s="80" t="s">
        <v>123</v>
      </c>
      <c r="R303" s="80" t="s">
        <v>174</v>
      </c>
      <c r="S303" s="80">
        <v>2</v>
      </c>
      <c r="T303" s="80">
        <v>18</v>
      </c>
      <c r="U303" s="80" t="s">
        <v>882</v>
      </c>
      <c r="V303" s="80" t="s">
        <v>126</v>
      </c>
      <c r="W303" s="80" t="s">
        <v>127</v>
      </c>
      <c r="X303" s="80"/>
      <c r="Y303" s="80"/>
    </row>
    <row r="304" spans="1:25">
      <c r="A304" s="80">
        <f t="shared" si="4"/>
        <v>303</v>
      </c>
      <c r="B304" s="10">
        <v>45967.508518518502</v>
      </c>
      <c r="C304" s="80" t="s">
        <v>1785</v>
      </c>
      <c r="D304" s="80" t="s">
        <v>1786</v>
      </c>
      <c r="E304" s="80" t="s">
        <v>1787</v>
      </c>
      <c r="F304" s="80" t="s">
        <v>45</v>
      </c>
      <c r="G304" s="80" t="s">
        <v>1788</v>
      </c>
      <c r="H304" s="80" t="s">
        <v>115</v>
      </c>
      <c r="I304" s="80" t="s">
        <v>842</v>
      </c>
      <c r="J304" s="80" t="s">
        <v>117</v>
      </c>
      <c r="K304" s="80">
        <v>10</v>
      </c>
      <c r="L304" s="80" t="s">
        <v>1789</v>
      </c>
      <c r="M304" s="80" t="s">
        <v>1790</v>
      </c>
      <c r="N304" s="80" t="s">
        <v>164</v>
      </c>
      <c r="O304" s="80" t="s">
        <v>406</v>
      </c>
      <c r="P304" s="80" t="s">
        <v>1791</v>
      </c>
      <c r="Q304" s="80" t="s">
        <v>123</v>
      </c>
      <c r="R304" s="80" t="s">
        <v>174</v>
      </c>
      <c r="S304" s="80">
        <v>16</v>
      </c>
      <c r="T304" s="80">
        <v>24</v>
      </c>
      <c r="U304" s="80" t="s">
        <v>1792</v>
      </c>
      <c r="V304" s="80" t="s">
        <v>126</v>
      </c>
      <c r="W304" s="80" t="s">
        <v>127</v>
      </c>
      <c r="X304" s="80"/>
      <c r="Y304" s="80"/>
    </row>
    <row r="305" spans="1:25">
      <c r="A305" s="80">
        <f t="shared" si="4"/>
        <v>304</v>
      </c>
      <c r="B305" s="10">
        <v>45967.514803240701</v>
      </c>
      <c r="C305" s="80" t="s">
        <v>297</v>
      </c>
      <c r="D305" s="80" t="s">
        <v>1793</v>
      </c>
      <c r="E305" s="80" t="s">
        <v>1794</v>
      </c>
      <c r="F305" s="80" t="s">
        <v>1795</v>
      </c>
      <c r="G305" s="80" t="s">
        <v>1796</v>
      </c>
      <c r="H305" s="80" t="s">
        <v>1797</v>
      </c>
      <c r="I305" s="80" t="s">
        <v>44</v>
      </c>
      <c r="J305" s="80" t="s">
        <v>149</v>
      </c>
      <c r="K305" s="80">
        <v>12</v>
      </c>
      <c r="L305" s="80" t="s">
        <v>1798</v>
      </c>
      <c r="M305" s="80" t="s">
        <v>1799</v>
      </c>
      <c r="N305" s="80" t="s">
        <v>517</v>
      </c>
      <c r="O305" s="80" t="s">
        <v>518</v>
      </c>
      <c r="P305" s="80" t="s">
        <v>135</v>
      </c>
      <c r="Q305" s="80" t="s">
        <v>123</v>
      </c>
      <c r="R305" s="80" t="s">
        <v>136</v>
      </c>
      <c r="S305" s="80">
        <v>6</v>
      </c>
      <c r="T305" s="80">
        <v>12</v>
      </c>
      <c r="U305" s="80" t="s">
        <v>305</v>
      </c>
      <c r="V305" s="80" t="s">
        <v>126</v>
      </c>
      <c r="W305" s="80" t="s">
        <v>137</v>
      </c>
      <c r="X305" s="80"/>
      <c r="Y305" s="80"/>
    </row>
    <row r="306" spans="1:25">
      <c r="A306" s="80">
        <f t="shared" si="4"/>
        <v>305</v>
      </c>
      <c r="B306" s="10">
        <v>45967.519224536998</v>
      </c>
      <c r="C306" s="80" t="s">
        <v>157</v>
      </c>
      <c r="D306" s="80" t="s">
        <v>1800</v>
      </c>
      <c r="E306" s="80" t="s">
        <v>1703</v>
      </c>
      <c r="F306" s="80" t="s">
        <v>1704</v>
      </c>
      <c r="G306" s="80" t="s">
        <v>1705</v>
      </c>
      <c r="H306" s="80" t="s">
        <v>115</v>
      </c>
      <c r="I306" s="80" t="s">
        <v>244</v>
      </c>
      <c r="J306" s="80" t="s">
        <v>149</v>
      </c>
      <c r="K306" s="80">
        <v>2</v>
      </c>
      <c r="L306" s="80" t="s">
        <v>1706</v>
      </c>
      <c r="M306" s="80" t="s">
        <v>1707</v>
      </c>
      <c r="N306" s="80" t="s">
        <v>120</v>
      </c>
      <c r="O306" s="80" t="s">
        <v>230</v>
      </c>
      <c r="P306" s="80" t="s">
        <v>231</v>
      </c>
      <c r="Q306" s="80" t="s">
        <v>123</v>
      </c>
      <c r="R306" s="80" t="s">
        <v>124</v>
      </c>
      <c r="S306" s="80">
        <v>1</v>
      </c>
      <c r="T306" s="80">
        <v>18</v>
      </c>
      <c r="U306" s="80" t="s">
        <v>167</v>
      </c>
      <c r="V306" s="80" t="s">
        <v>126</v>
      </c>
      <c r="W306" s="80" t="s">
        <v>127</v>
      </c>
      <c r="X306" s="80"/>
      <c r="Y306" s="80"/>
    </row>
    <row r="307" spans="1:25">
      <c r="A307" s="80">
        <f t="shared" si="4"/>
        <v>306</v>
      </c>
      <c r="B307" s="10">
        <v>45967.535532407397</v>
      </c>
      <c r="C307" s="80" t="s">
        <v>320</v>
      </c>
      <c r="D307" s="80" t="s">
        <v>1801</v>
      </c>
      <c r="E307" s="80" t="s">
        <v>1802</v>
      </c>
      <c r="F307" s="80" t="s">
        <v>1803</v>
      </c>
      <c r="G307" s="80" t="s">
        <v>1804</v>
      </c>
      <c r="H307" s="80" t="s">
        <v>174</v>
      </c>
      <c r="I307" s="80" t="s">
        <v>173</v>
      </c>
      <c r="J307" s="80" t="s">
        <v>149</v>
      </c>
      <c r="K307" s="80">
        <v>1</v>
      </c>
      <c r="L307" s="80" t="s">
        <v>1805</v>
      </c>
      <c r="M307" s="80" t="s">
        <v>1806</v>
      </c>
      <c r="N307" s="80" t="s">
        <v>120</v>
      </c>
      <c r="O307" s="80" t="s">
        <v>152</v>
      </c>
      <c r="P307" s="80" t="s">
        <v>287</v>
      </c>
      <c r="Q307" s="80" t="s">
        <v>123</v>
      </c>
      <c r="R307" s="80" t="s">
        <v>174</v>
      </c>
      <c r="S307" s="80">
        <v>1</v>
      </c>
      <c r="T307" s="80">
        <v>12</v>
      </c>
      <c r="U307" s="80" t="s">
        <v>328</v>
      </c>
      <c r="V307" s="80" t="s">
        <v>126</v>
      </c>
      <c r="W307" s="80" t="s">
        <v>127</v>
      </c>
      <c r="X307" s="80"/>
      <c r="Y307" s="80"/>
    </row>
    <row r="308" spans="1:25">
      <c r="A308" s="80">
        <f t="shared" si="4"/>
        <v>307</v>
      </c>
      <c r="B308" s="10">
        <v>45967.536909722199</v>
      </c>
      <c r="C308" s="80" t="s">
        <v>222</v>
      </c>
      <c r="D308" s="80" t="s">
        <v>1807</v>
      </c>
      <c r="E308" s="80" t="s">
        <v>1802</v>
      </c>
      <c r="F308" s="80" t="s">
        <v>1803</v>
      </c>
      <c r="G308" s="80" t="s">
        <v>1804</v>
      </c>
      <c r="H308" s="80" t="s">
        <v>174</v>
      </c>
      <c r="I308" s="80" t="s">
        <v>173</v>
      </c>
      <c r="J308" s="80" t="s">
        <v>149</v>
      </c>
      <c r="K308" s="80">
        <v>1</v>
      </c>
      <c r="L308" s="80" t="s">
        <v>1805</v>
      </c>
      <c r="M308" s="80" t="s">
        <v>1806</v>
      </c>
      <c r="N308" s="80" t="s">
        <v>120</v>
      </c>
      <c r="O308" s="80" t="s">
        <v>152</v>
      </c>
      <c r="P308" s="80" t="s">
        <v>287</v>
      </c>
      <c r="Q308" s="80" t="s">
        <v>123</v>
      </c>
      <c r="R308" s="80" t="s">
        <v>174</v>
      </c>
      <c r="S308" s="80">
        <v>1</v>
      </c>
      <c r="T308" s="80">
        <v>12</v>
      </c>
      <c r="U308" s="80" t="s">
        <v>232</v>
      </c>
      <c r="V308" s="80" t="s">
        <v>126</v>
      </c>
      <c r="W308" s="80" t="s">
        <v>127</v>
      </c>
      <c r="X308" s="80"/>
      <c r="Y308" s="80"/>
    </row>
    <row r="309" spans="1:25">
      <c r="A309" s="80">
        <f t="shared" si="4"/>
        <v>308</v>
      </c>
      <c r="B309" s="10">
        <v>45967.5394212963</v>
      </c>
      <c r="C309" s="80" t="s">
        <v>320</v>
      </c>
      <c r="D309" s="80" t="s">
        <v>1808</v>
      </c>
      <c r="E309" s="80" t="s">
        <v>1809</v>
      </c>
      <c r="F309" s="80" t="s">
        <v>1810</v>
      </c>
      <c r="G309" s="80" t="s">
        <v>1811</v>
      </c>
      <c r="H309" s="80" t="s">
        <v>115</v>
      </c>
      <c r="I309" s="80" t="s">
        <v>865</v>
      </c>
      <c r="J309" s="80" t="s">
        <v>117</v>
      </c>
      <c r="K309" s="80">
        <v>7</v>
      </c>
      <c r="L309" s="80" t="s">
        <v>1812</v>
      </c>
      <c r="M309" s="80" t="s">
        <v>1813</v>
      </c>
      <c r="N309" s="80" t="s">
        <v>120</v>
      </c>
      <c r="O309" s="80" t="s">
        <v>1814</v>
      </c>
      <c r="P309" s="80" t="s">
        <v>304</v>
      </c>
      <c r="Q309" s="80" t="s">
        <v>123</v>
      </c>
      <c r="R309" s="80" t="s">
        <v>174</v>
      </c>
      <c r="S309" s="80">
        <v>5</v>
      </c>
      <c r="T309" s="80">
        <v>18</v>
      </c>
      <c r="U309" s="80" t="s">
        <v>328</v>
      </c>
      <c r="V309" s="80" t="s">
        <v>126</v>
      </c>
      <c r="W309" s="80" t="s">
        <v>127</v>
      </c>
      <c r="X309" s="80"/>
      <c r="Y309" s="80"/>
    </row>
    <row r="310" spans="1:25">
      <c r="A310" s="80">
        <f t="shared" si="4"/>
        <v>309</v>
      </c>
      <c r="B310" s="10">
        <v>45967.542349536998</v>
      </c>
      <c r="C310" s="80" t="s">
        <v>157</v>
      </c>
      <c r="D310" s="80" t="s">
        <v>1815</v>
      </c>
      <c r="E310" s="80" t="s">
        <v>1816</v>
      </c>
      <c r="F310" s="80" t="s">
        <v>1817</v>
      </c>
      <c r="G310" s="80" t="s">
        <v>1818</v>
      </c>
      <c r="H310" s="80" t="s">
        <v>115</v>
      </c>
      <c r="I310" s="80" t="s">
        <v>275</v>
      </c>
      <c r="J310" s="80" t="s">
        <v>117</v>
      </c>
      <c r="K310" s="80">
        <v>7</v>
      </c>
      <c r="L310" s="80" t="s">
        <v>1819</v>
      </c>
      <c r="M310" s="80" t="s">
        <v>1820</v>
      </c>
      <c r="N310" s="80" t="s">
        <v>120</v>
      </c>
      <c r="O310" s="80" t="s">
        <v>152</v>
      </c>
      <c r="P310" s="80" t="s">
        <v>1635</v>
      </c>
      <c r="Q310" s="80" t="s">
        <v>123</v>
      </c>
      <c r="R310" s="80" t="s">
        <v>174</v>
      </c>
      <c r="S310" s="80">
        <v>14</v>
      </c>
      <c r="T310" s="80">
        <v>24</v>
      </c>
      <c r="U310" s="80" t="s">
        <v>167</v>
      </c>
      <c r="V310" s="80" t="s">
        <v>126</v>
      </c>
      <c r="W310" s="80" t="s">
        <v>127</v>
      </c>
      <c r="X310" s="80"/>
      <c r="Y310" s="80"/>
    </row>
    <row r="311" spans="1:25">
      <c r="A311" s="80">
        <f t="shared" si="4"/>
        <v>310</v>
      </c>
      <c r="B311" s="10">
        <v>45967.545057870397</v>
      </c>
      <c r="C311" s="80" t="s">
        <v>329</v>
      </c>
      <c r="D311" s="80" t="s">
        <v>1821</v>
      </c>
      <c r="E311" s="80" t="s">
        <v>1822</v>
      </c>
      <c r="F311" s="80" t="s">
        <v>1823</v>
      </c>
      <c r="G311" s="80" t="s">
        <v>1824</v>
      </c>
      <c r="H311" s="80" t="s">
        <v>148</v>
      </c>
      <c r="I311" s="80" t="s">
        <v>46</v>
      </c>
      <c r="J311" s="80" t="s">
        <v>149</v>
      </c>
      <c r="K311" s="80">
        <v>23</v>
      </c>
      <c r="L311" s="80" t="s">
        <v>1825</v>
      </c>
      <c r="M311" s="80" t="s">
        <v>1826</v>
      </c>
      <c r="N311" s="80" t="s">
        <v>120</v>
      </c>
      <c r="O311" s="80" t="s">
        <v>187</v>
      </c>
      <c r="P311" s="80" t="s">
        <v>178</v>
      </c>
      <c r="Q311" s="80" t="s">
        <v>123</v>
      </c>
      <c r="R311" s="80" t="s">
        <v>136</v>
      </c>
      <c r="S311" s="80">
        <v>6</v>
      </c>
      <c r="T311" s="80">
        <v>18</v>
      </c>
      <c r="U311" s="80" t="s">
        <v>336</v>
      </c>
      <c r="V311" s="80" t="s">
        <v>126</v>
      </c>
      <c r="W311" s="80" t="s">
        <v>1770</v>
      </c>
      <c r="X311" s="80"/>
      <c r="Y311" s="80"/>
    </row>
    <row r="312" spans="1:25">
      <c r="A312" s="80">
        <f t="shared" si="4"/>
        <v>311</v>
      </c>
      <c r="B312" s="10">
        <v>45967.546168981498</v>
      </c>
      <c r="C312" s="80" t="s">
        <v>320</v>
      </c>
      <c r="D312" s="80" t="s">
        <v>1827</v>
      </c>
      <c r="E312" s="80" t="s">
        <v>1828</v>
      </c>
      <c r="F312" s="80" t="s">
        <v>1829</v>
      </c>
      <c r="G312" s="80" t="s">
        <v>1830</v>
      </c>
      <c r="H312" s="80" t="s">
        <v>115</v>
      </c>
      <c r="I312" s="80" t="s">
        <v>227</v>
      </c>
      <c r="J312" s="80" t="s">
        <v>117</v>
      </c>
      <c r="K312" s="80">
        <v>14</v>
      </c>
      <c r="L312" s="80" t="s">
        <v>1831</v>
      </c>
      <c r="M312" s="80" t="s">
        <v>1832</v>
      </c>
      <c r="N312" s="80" t="s">
        <v>120</v>
      </c>
      <c r="O312" s="80" t="s">
        <v>121</v>
      </c>
      <c r="P312" s="80" t="s">
        <v>701</v>
      </c>
      <c r="Q312" s="80" t="s">
        <v>123</v>
      </c>
      <c r="R312" s="80" t="s">
        <v>174</v>
      </c>
      <c r="S312" s="80">
        <v>9</v>
      </c>
      <c r="T312" s="80">
        <v>18</v>
      </c>
      <c r="U312" s="80" t="s">
        <v>328</v>
      </c>
      <c r="V312" s="80" t="s">
        <v>126</v>
      </c>
      <c r="W312" s="80" t="s">
        <v>127</v>
      </c>
      <c r="X312" s="80"/>
      <c r="Y312" s="80"/>
    </row>
    <row r="313" spans="1:25">
      <c r="A313" s="80">
        <f t="shared" si="4"/>
        <v>312</v>
      </c>
      <c r="B313" s="10">
        <v>45967.550625000003</v>
      </c>
      <c r="C313" s="80" t="s">
        <v>320</v>
      </c>
      <c r="D313" s="80" t="s">
        <v>1833</v>
      </c>
      <c r="E313" s="80" t="s">
        <v>1834</v>
      </c>
      <c r="F313" s="80" t="s">
        <v>1835</v>
      </c>
      <c r="G313" s="80" t="s">
        <v>1836</v>
      </c>
      <c r="H313" s="80" t="s">
        <v>115</v>
      </c>
      <c r="I313" s="80" t="s">
        <v>842</v>
      </c>
      <c r="J313" s="80" t="s">
        <v>149</v>
      </c>
      <c r="K313" s="80">
        <v>21</v>
      </c>
      <c r="L313" s="80" t="s">
        <v>1837</v>
      </c>
      <c r="M313" s="80" t="s">
        <v>1838</v>
      </c>
      <c r="N313" s="80" t="s">
        <v>120</v>
      </c>
      <c r="O313" s="80" t="s">
        <v>121</v>
      </c>
      <c r="P313" s="80" t="s">
        <v>1480</v>
      </c>
      <c r="Q313" s="80" t="s">
        <v>123</v>
      </c>
      <c r="R313" s="80" t="s">
        <v>174</v>
      </c>
      <c r="S313" s="80">
        <v>9</v>
      </c>
      <c r="T313" s="80">
        <v>18</v>
      </c>
      <c r="U313" s="80" t="s">
        <v>328</v>
      </c>
      <c r="V313" s="80" t="s">
        <v>126</v>
      </c>
      <c r="W313" s="80" t="s">
        <v>127</v>
      </c>
      <c r="X313" s="80"/>
      <c r="Y313" s="80"/>
    </row>
    <row r="314" spans="1:25">
      <c r="A314" s="80">
        <f t="shared" si="4"/>
        <v>313</v>
      </c>
      <c r="B314" s="10">
        <v>45967.550636574102</v>
      </c>
      <c r="C314" s="80" t="s">
        <v>222</v>
      </c>
      <c r="D314" s="80" t="s">
        <v>1839</v>
      </c>
      <c r="E314" s="80" t="s">
        <v>1840</v>
      </c>
      <c r="F314" s="80" t="s">
        <v>1841</v>
      </c>
      <c r="G314" s="80" t="s">
        <v>1842</v>
      </c>
      <c r="H314" s="80" t="s">
        <v>115</v>
      </c>
      <c r="I314" s="80" t="s">
        <v>275</v>
      </c>
      <c r="J314" s="80" t="s">
        <v>117</v>
      </c>
      <c r="K314" s="80">
        <v>1</v>
      </c>
      <c r="L314" s="80" t="s">
        <v>1843</v>
      </c>
      <c r="M314" s="80" t="s">
        <v>1844</v>
      </c>
      <c r="N314" s="80" t="s">
        <v>120</v>
      </c>
      <c r="O314" s="80" t="s">
        <v>230</v>
      </c>
      <c r="P314" s="80" t="s">
        <v>612</v>
      </c>
      <c r="Q314" s="80" t="s">
        <v>123</v>
      </c>
      <c r="R314" s="80" t="s">
        <v>136</v>
      </c>
      <c r="S314" s="80">
        <v>5</v>
      </c>
      <c r="T314" s="80">
        <v>18</v>
      </c>
      <c r="U314" s="80" t="s">
        <v>232</v>
      </c>
      <c r="V314" s="80" t="s">
        <v>126</v>
      </c>
      <c r="W314" s="80" t="s">
        <v>127</v>
      </c>
      <c r="X314" s="80"/>
      <c r="Y314" s="80"/>
    </row>
    <row r="315" spans="1:25">
      <c r="A315" s="80">
        <f t="shared" si="4"/>
        <v>314</v>
      </c>
      <c r="B315" s="10">
        <v>45967.551840277803</v>
      </c>
      <c r="C315" s="80" t="s">
        <v>320</v>
      </c>
      <c r="D315" s="80" t="s">
        <v>1845</v>
      </c>
      <c r="E315" s="80" t="s">
        <v>1846</v>
      </c>
      <c r="F315" s="80" t="s">
        <v>1847</v>
      </c>
      <c r="G315" s="80" t="s">
        <v>1848</v>
      </c>
      <c r="H315" s="80" t="s">
        <v>115</v>
      </c>
      <c r="I315" s="80" t="s">
        <v>955</v>
      </c>
      <c r="J315" s="80" t="s">
        <v>117</v>
      </c>
      <c r="K315" s="80">
        <v>14</v>
      </c>
      <c r="L315" s="80" t="s">
        <v>1849</v>
      </c>
      <c r="M315" s="80" t="s">
        <v>1850</v>
      </c>
      <c r="N315" s="80" t="s">
        <v>120</v>
      </c>
      <c r="O315" s="80" t="s">
        <v>327</v>
      </c>
      <c r="P315" s="80" t="s">
        <v>269</v>
      </c>
      <c r="Q315" s="80" t="s">
        <v>123</v>
      </c>
      <c r="R315" s="80" t="s">
        <v>174</v>
      </c>
      <c r="S315" s="80">
        <v>3</v>
      </c>
      <c r="T315" s="80">
        <v>18</v>
      </c>
      <c r="U315" s="80" t="s">
        <v>328</v>
      </c>
      <c r="V315" s="80" t="s">
        <v>126</v>
      </c>
      <c r="W315" s="80" t="s">
        <v>127</v>
      </c>
      <c r="X315" s="80"/>
      <c r="Y315" s="80"/>
    </row>
    <row r="316" spans="1:25">
      <c r="A316" s="80">
        <f t="shared" si="4"/>
        <v>315</v>
      </c>
      <c r="B316" s="10">
        <v>45967.555081018501</v>
      </c>
      <c r="C316" s="80" t="s">
        <v>168</v>
      </c>
      <c r="D316" s="80" t="s">
        <v>1851</v>
      </c>
      <c r="E316" s="80" t="s">
        <v>1852</v>
      </c>
      <c r="F316" s="80" t="s">
        <v>1853</v>
      </c>
      <c r="G316" s="80" t="s">
        <v>1854</v>
      </c>
      <c r="H316" s="80" t="s">
        <v>115</v>
      </c>
      <c r="I316" s="80" t="s">
        <v>865</v>
      </c>
      <c r="J316" s="80" t="s">
        <v>149</v>
      </c>
      <c r="K316" s="80">
        <v>22</v>
      </c>
      <c r="L316" s="80" t="s">
        <v>1855</v>
      </c>
      <c r="M316" s="80" t="s">
        <v>1856</v>
      </c>
      <c r="N316" s="80" t="s">
        <v>120</v>
      </c>
      <c r="O316" s="80" t="s">
        <v>121</v>
      </c>
      <c r="P316" s="80" t="s">
        <v>287</v>
      </c>
      <c r="Q316" s="80" t="s">
        <v>123</v>
      </c>
      <c r="R316" s="80" t="s">
        <v>174</v>
      </c>
      <c r="S316" s="80">
        <v>2</v>
      </c>
      <c r="T316" s="80">
        <v>18</v>
      </c>
      <c r="U316" s="80" t="s">
        <v>179</v>
      </c>
      <c r="V316" s="80" t="s">
        <v>126</v>
      </c>
      <c r="W316" s="80" t="s">
        <v>127</v>
      </c>
      <c r="X316" s="80"/>
      <c r="Y316" s="80"/>
    </row>
    <row r="317" spans="1:25">
      <c r="A317" s="80">
        <f t="shared" si="4"/>
        <v>316</v>
      </c>
      <c r="B317" s="10">
        <v>45967.557627314804</v>
      </c>
      <c r="C317" s="80" t="s">
        <v>604</v>
      </c>
      <c r="D317" s="80" t="s">
        <v>1857</v>
      </c>
      <c r="E317" s="80" t="s">
        <v>1605</v>
      </c>
      <c r="F317" s="80" t="s">
        <v>1606</v>
      </c>
      <c r="G317" s="80" t="s">
        <v>1607</v>
      </c>
      <c r="H317" s="80" t="s">
        <v>115</v>
      </c>
      <c r="I317" s="80" t="s">
        <v>865</v>
      </c>
      <c r="J317" s="80" t="s">
        <v>149</v>
      </c>
      <c r="K317" s="80">
        <v>9</v>
      </c>
      <c r="L317" s="80" t="s">
        <v>1608</v>
      </c>
      <c r="M317" s="80" t="s">
        <v>1609</v>
      </c>
      <c r="N317" s="80" t="s">
        <v>164</v>
      </c>
      <c r="O317" s="80" t="s">
        <v>1559</v>
      </c>
      <c r="P317" s="80" t="s">
        <v>1560</v>
      </c>
      <c r="Q317" s="80" t="s">
        <v>123</v>
      </c>
      <c r="R317" s="80" t="s">
        <v>174</v>
      </c>
      <c r="S317" s="80">
        <v>1</v>
      </c>
      <c r="T317" s="80">
        <v>18</v>
      </c>
      <c r="U317" s="80" t="s">
        <v>613</v>
      </c>
      <c r="V317" s="80" t="s">
        <v>126</v>
      </c>
      <c r="W317" s="80" t="s">
        <v>127</v>
      </c>
      <c r="X317" s="80"/>
      <c r="Y317" s="80"/>
    </row>
    <row r="318" spans="1:25">
      <c r="A318" s="80">
        <f t="shared" si="4"/>
        <v>317</v>
      </c>
      <c r="B318" s="10">
        <v>45967.558472222197</v>
      </c>
      <c r="C318" s="80" t="s">
        <v>320</v>
      </c>
      <c r="D318" s="80" t="s">
        <v>1858</v>
      </c>
      <c r="E318" s="80" t="s">
        <v>1859</v>
      </c>
      <c r="F318" s="80" t="s">
        <v>1860</v>
      </c>
      <c r="G318" s="80" t="s">
        <v>1861</v>
      </c>
      <c r="H318" s="80" t="s">
        <v>115</v>
      </c>
      <c r="I318" s="80" t="s">
        <v>1410</v>
      </c>
      <c r="J318" s="80" t="s">
        <v>117</v>
      </c>
      <c r="K318" s="80">
        <v>1</v>
      </c>
      <c r="L318" s="80" t="s">
        <v>1862</v>
      </c>
      <c r="M318" s="80" t="s">
        <v>1863</v>
      </c>
      <c r="N318" s="80" t="s">
        <v>120</v>
      </c>
      <c r="O318" s="80" t="s">
        <v>213</v>
      </c>
      <c r="P318" s="80" t="s">
        <v>135</v>
      </c>
      <c r="Q318" s="80" t="s">
        <v>123</v>
      </c>
      <c r="R318" s="80" t="s">
        <v>136</v>
      </c>
      <c r="S318" s="80">
        <v>15</v>
      </c>
      <c r="T318" s="80">
        <v>18</v>
      </c>
      <c r="U318" s="80" t="s">
        <v>328</v>
      </c>
      <c r="V318" s="80" t="s">
        <v>126</v>
      </c>
      <c r="W318" s="80" t="s">
        <v>127</v>
      </c>
      <c r="X318" s="80"/>
      <c r="Y318" s="80"/>
    </row>
    <row r="319" spans="1:25">
      <c r="A319" s="80">
        <f t="shared" si="4"/>
        <v>318</v>
      </c>
      <c r="B319" s="10">
        <v>45967.560347222199</v>
      </c>
      <c r="C319" s="80" t="s">
        <v>157</v>
      </c>
      <c r="D319" s="80" t="s">
        <v>1864</v>
      </c>
      <c r="E319" s="80" t="s">
        <v>1865</v>
      </c>
      <c r="F319" s="80" t="s">
        <v>1866</v>
      </c>
      <c r="G319" s="80" t="s">
        <v>1867</v>
      </c>
      <c r="H319" s="80" t="s">
        <v>115</v>
      </c>
      <c r="I319" s="80" t="s">
        <v>865</v>
      </c>
      <c r="J319" s="80" t="s">
        <v>149</v>
      </c>
      <c r="K319" s="80">
        <v>10</v>
      </c>
      <c r="L319" s="80" t="s">
        <v>1868</v>
      </c>
      <c r="M319" s="80" t="s">
        <v>1869</v>
      </c>
      <c r="N319" s="80" t="s">
        <v>120</v>
      </c>
      <c r="O319" s="80" t="s">
        <v>1870</v>
      </c>
      <c r="P319" s="80" t="s">
        <v>135</v>
      </c>
      <c r="Q319" s="80" t="s">
        <v>123</v>
      </c>
      <c r="R319" s="80" t="s">
        <v>174</v>
      </c>
      <c r="S319" s="80">
        <v>1</v>
      </c>
      <c r="T319" s="80">
        <v>18</v>
      </c>
      <c r="U319" s="80" t="s">
        <v>167</v>
      </c>
      <c r="V319" s="80" t="s">
        <v>126</v>
      </c>
      <c r="W319" s="80" t="s">
        <v>127</v>
      </c>
      <c r="X319" s="80"/>
      <c r="Y319" s="80"/>
    </row>
    <row r="320" spans="1:25">
      <c r="A320" s="80">
        <f t="shared" si="4"/>
        <v>319</v>
      </c>
      <c r="B320" s="10">
        <v>45967.566122685203</v>
      </c>
      <c r="C320" s="80" t="s">
        <v>329</v>
      </c>
      <c r="D320" s="80" t="s">
        <v>1871</v>
      </c>
      <c r="E320" s="80" t="s">
        <v>1872</v>
      </c>
      <c r="F320" s="80" t="s">
        <v>1873</v>
      </c>
      <c r="G320" s="80" t="s">
        <v>1874</v>
      </c>
      <c r="H320" s="80" t="s">
        <v>115</v>
      </c>
      <c r="I320" s="80" t="s">
        <v>865</v>
      </c>
      <c r="J320" s="80" t="s">
        <v>149</v>
      </c>
      <c r="K320" s="80">
        <v>15</v>
      </c>
      <c r="L320" s="80" t="s">
        <v>1875</v>
      </c>
      <c r="M320" s="80" t="s">
        <v>1876</v>
      </c>
      <c r="N320" s="80" t="s">
        <v>164</v>
      </c>
      <c r="O320" s="80" t="s">
        <v>1877</v>
      </c>
      <c r="P320" s="80" t="s">
        <v>178</v>
      </c>
      <c r="Q320" s="80" t="s">
        <v>123</v>
      </c>
      <c r="R320" s="80" t="s">
        <v>174</v>
      </c>
      <c r="S320" s="80">
        <v>1</v>
      </c>
      <c r="T320" s="80">
        <v>12</v>
      </c>
      <c r="U320" s="80" t="s">
        <v>336</v>
      </c>
      <c r="V320" s="80" t="s">
        <v>126</v>
      </c>
      <c r="W320" s="80" t="s">
        <v>127</v>
      </c>
      <c r="X320" s="80"/>
      <c r="Y320" s="80"/>
    </row>
    <row r="321" spans="1:25">
      <c r="A321" s="80">
        <f t="shared" si="4"/>
        <v>320</v>
      </c>
      <c r="B321" s="10">
        <v>45967.566840277803</v>
      </c>
      <c r="C321" s="80" t="s">
        <v>329</v>
      </c>
      <c r="D321" s="80" t="s">
        <v>1878</v>
      </c>
      <c r="E321" s="80" t="s">
        <v>1879</v>
      </c>
      <c r="F321" s="80" t="s">
        <v>1880</v>
      </c>
      <c r="G321" s="80" t="s">
        <v>1881</v>
      </c>
      <c r="H321" s="80" t="s">
        <v>115</v>
      </c>
      <c r="I321" s="80" t="s">
        <v>275</v>
      </c>
      <c r="J321" s="80" t="s">
        <v>117</v>
      </c>
      <c r="K321" s="80">
        <v>20</v>
      </c>
      <c r="L321" s="80" t="s">
        <v>1882</v>
      </c>
      <c r="M321" s="80" t="s">
        <v>1883</v>
      </c>
      <c r="N321" s="80" t="s">
        <v>120</v>
      </c>
      <c r="O321" s="80" t="s">
        <v>213</v>
      </c>
      <c r="P321" s="80" t="s">
        <v>178</v>
      </c>
      <c r="Q321" s="80" t="s">
        <v>123</v>
      </c>
      <c r="R321" s="80" t="s">
        <v>174</v>
      </c>
      <c r="S321" s="80">
        <v>14</v>
      </c>
      <c r="T321" s="80">
        <v>18</v>
      </c>
      <c r="U321" s="80" t="s">
        <v>336</v>
      </c>
      <c r="V321" s="80" t="s">
        <v>126</v>
      </c>
      <c r="W321" s="80" t="s">
        <v>127</v>
      </c>
      <c r="X321" s="80"/>
      <c r="Y321" s="80"/>
    </row>
    <row r="322" spans="1:25">
      <c r="A322" s="80">
        <f t="shared" si="4"/>
        <v>321</v>
      </c>
      <c r="B322" s="10">
        <v>45967.568263888897</v>
      </c>
      <c r="C322" s="80" t="s">
        <v>604</v>
      </c>
      <c r="D322" s="80" t="s">
        <v>1884</v>
      </c>
      <c r="E322" s="80" t="s">
        <v>1885</v>
      </c>
      <c r="F322" s="80" t="s">
        <v>1886</v>
      </c>
      <c r="G322" s="80" t="s">
        <v>1887</v>
      </c>
      <c r="H322" s="80" t="s">
        <v>174</v>
      </c>
      <c r="I322" s="80" t="s">
        <v>173</v>
      </c>
      <c r="J322" s="80" t="s">
        <v>149</v>
      </c>
      <c r="K322" s="80">
        <v>1</v>
      </c>
      <c r="L322" s="80" t="s">
        <v>1888</v>
      </c>
      <c r="M322" s="80" t="s">
        <v>1889</v>
      </c>
      <c r="N322" s="80" t="s">
        <v>120</v>
      </c>
      <c r="O322" s="80" t="s">
        <v>121</v>
      </c>
      <c r="P322" s="80" t="s">
        <v>135</v>
      </c>
      <c r="Q322" s="80" t="s">
        <v>123</v>
      </c>
      <c r="R322" s="80" t="s">
        <v>174</v>
      </c>
      <c r="S322" s="80">
        <v>3</v>
      </c>
      <c r="T322" s="80">
        <v>18</v>
      </c>
      <c r="U322" s="80" t="s">
        <v>613</v>
      </c>
      <c r="V322" s="80" t="s">
        <v>126</v>
      </c>
      <c r="W322" s="80" t="s">
        <v>1770</v>
      </c>
      <c r="X322" s="80"/>
      <c r="Y322" s="80"/>
    </row>
    <row r="323" spans="1:25">
      <c r="A323" s="80">
        <f t="shared" si="4"/>
        <v>322</v>
      </c>
      <c r="B323" s="10">
        <v>45967.568900462997</v>
      </c>
      <c r="C323" s="80" t="s">
        <v>604</v>
      </c>
      <c r="D323" s="80" t="s">
        <v>1890</v>
      </c>
      <c r="E323" s="80" t="s">
        <v>1891</v>
      </c>
      <c r="F323" s="80" t="s">
        <v>1892</v>
      </c>
      <c r="G323" s="80" t="s">
        <v>1893</v>
      </c>
      <c r="H323" s="80" t="s">
        <v>115</v>
      </c>
      <c r="I323" s="80" t="s">
        <v>865</v>
      </c>
      <c r="J323" s="80" t="s">
        <v>117</v>
      </c>
      <c r="K323" s="80">
        <v>17</v>
      </c>
      <c r="L323" s="80" t="s">
        <v>1894</v>
      </c>
      <c r="M323" s="80" t="s">
        <v>1895</v>
      </c>
      <c r="N323" s="80" t="s">
        <v>120</v>
      </c>
      <c r="O323" s="80" t="s">
        <v>327</v>
      </c>
      <c r="P323" s="80" t="s">
        <v>135</v>
      </c>
      <c r="Q323" s="80" t="s">
        <v>123</v>
      </c>
      <c r="R323" s="80" t="s">
        <v>174</v>
      </c>
      <c r="S323" s="80">
        <v>4</v>
      </c>
      <c r="T323" s="80">
        <v>18</v>
      </c>
      <c r="U323" s="80" t="s">
        <v>613</v>
      </c>
      <c r="V323" s="80" t="s">
        <v>126</v>
      </c>
      <c r="W323" s="80" t="s">
        <v>127</v>
      </c>
      <c r="X323" s="80"/>
      <c r="Y323" s="80"/>
    </row>
    <row r="324" spans="1:25">
      <c r="A324" s="80">
        <f t="shared" ref="A324:A387" si="5">A323+1</f>
        <v>323</v>
      </c>
      <c r="B324" s="10">
        <v>45967.569837962998</v>
      </c>
      <c r="C324" s="80" t="s">
        <v>168</v>
      </c>
      <c r="D324" s="80" t="s">
        <v>1896</v>
      </c>
      <c r="E324" s="80" t="s">
        <v>1897</v>
      </c>
      <c r="F324" s="80" t="s">
        <v>1898</v>
      </c>
      <c r="G324" s="80" t="s">
        <v>1899</v>
      </c>
      <c r="H324" s="80" t="s">
        <v>115</v>
      </c>
      <c r="I324" s="80" t="s">
        <v>955</v>
      </c>
      <c r="J324" s="80" t="s">
        <v>117</v>
      </c>
      <c r="K324" s="80">
        <v>14</v>
      </c>
      <c r="L324" s="80" t="s">
        <v>1900</v>
      </c>
      <c r="M324" s="80" t="s">
        <v>1901</v>
      </c>
      <c r="N324" s="80" t="s">
        <v>120</v>
      </c>
      <c r="O324" s="80" t="s">
        <v>152</v>
      </c>
      <c r="P324" s="80" t="s">
        <v>178</v>
      </c>
      <c r="Q324" s="80" t="s">
        <v>123</v>
      </c>
      <c r="R324" s="80" t="s">
        <v>174</v>
      </c>
      <c r="S324" s="80">
        <v>6</v>
      </c>
      <c r="T324" s="80">
        <v>18</v>
      </c>
      <c r="U324" s="80" t="s">
        <v>179</v>
      </c>
      <c r="V324" s="80" t="s">
        <v>126</v>
      </c>
      <c r="W324" s="80" t="s">
        <v>127</v>
      </c>
      <c r="X324" s="80"/>
      <c r="Y324" s="80"/>
    </row>
    <row r="325" spans="1:25">
      <c r="A325" s="80">
        <f t="shared" si="5"/>
        <v>324</v>
      </c>
      <c r="B325" s="10">
        <v>45967.570625</v>
      </c>
      <c r="C325" s="80" t="s">
        <v>362</v>
      </c>
      <c r="D325" s="80" t="s">
        <v>1902</v>
      </c>
      <c r="E325" s="80" t="s">
        <v>1903</v>
      </c>
      <c r="F325" s="80" t="s">
        <v>1904</v>
      </c>
      <c r="G325" s="80" t="s">
        <v>1905</v>
      </c>
      <c r="H325" s="80" t="s">
        <v>115</v>
      </c>
      <c r="I325" s="80" t="s">
        <v>842</v>
      </c>
      <c r="J325" s="80" t="s">
        <v>117</v>
      </c>
      <c r="K325" s="80">
        <v>21</v>
      </c>
      <c r="L325" s="80" t="s">
        <v>1906</v>
      </c>
      <c r="M325" s="80" t="s">
        <v>1907</v>
      </c>
      <c r="N325" s="80" t="s">
        <v>120</v>
      </c>
      <c r="O325" s="80" t="s">
        <v>152</v>
      </c>
      <c r="P325" s="80" t="s">
        <v>178</v>
      </c>
      <c r="Q325" s="80" t="s">
        <v>123</v>
      </c>
      <c r="R325" s="80" t="s">
        <v>174</v>
      </c>
      <c r="S325" s="80">
        <v>17</v>
      </c>
      <c r="T325" s="80">
        <v>24</v>
      </c>
      <c r="U325" s="80" t="s">
        <v>364</v>
      </c>
      <c r="V325" s="80" t="s">
        <v>126</v>
      </c>
      <c r="W325" s="80" t="s">
        <v>127</v>
      </c>
      <c r="X325" s="80"/>
      <c r="Y325" s="80"/>
    </row>
    <row r="326" spans="1:25">
      <c r="A326" s="80">
        <f t="shared" si="5"/>
        <v>325</v>
      </c>
      <c r="B326" s="10">
        <v>45967.572233796302</v>
      </c>
      <c r="C326" s="80" t="s">
        <v>110</v>
      </c>
      <c r="D326" s="80" t="s">
        <v>1908</v>
      </c>
      <c r="E326" s="80" t="s">
        <v>1909</v>
      </c>
      <c r="F326" s="80" t="s">
        <v>1910</v>
      </c>
      <c r="G326" s="80" t="s">
        <v>1911</v>
      </c>
      <c r="H326" s="80" t="s">
        <v>115</v>
      </c>
      <c r="I326" s="80" t="s">
        <v>865</v>
      </c>
      <c r="J326" s="80" t="s">
        <v>117</v>
      </c>
      <c r="K326" s="80">
        <v>22</v>
      </c>
      <c r="L326" s="80" t="s">
        <v>1912</v>
      </c>
      <c r="M326" s="80" t="s">
        <v>1913</v>
      </c>
      <c r="N326" s="80" t="s">
        <v>120</v>
      </c>
      <c r="O326" s="80" t="s">
        <v>240</v>
      </c>
      <c r="P326" s="80" t="s">
        <v>295</v>
      </c>
      <c r="Q326" s="80" t="s">
        <v>123</v>
      </c>
      <c r="R326" s="80" t="s">
        <v>174</v>
      </c>
      <c r="S326" s="80">
        <v>7</v>
      </c>
      <c r="T326" s="80">
        <v>24</v>
      </c>
      <c r="U326" s="80" t="s">
        <v>125</v>
      </c>
      <c r="V326" s="80" t="s">
        <v>126</v>
      </c>
      <c r="W326" s="80" t="s">
        <v>127</v>
      </c>
      <c r="X326" s="80"/>
      <c r="Y326" s="80"/>
    </row>
    <row r="327" spans="1:25">
      <c r="A327" s="80">
        <f t="shared" si="5"/>
        <v>326</v>
      </c>
      <c r="B327" s="10">
        <v>45967.577071759297</v>
      </c>
      <c r="C327" s="80" t="s">
        <v>143</v>
      </c>
      <c r="D327" s="80" t="s">
        <v>1914</v>
      </c>
      <c r="E327" s="80" t="s">
        <v>1915</v>
      </c>
      <c r="F327" s="80" t="s">
        <v>1916</v>
      </c>
      <c r="G327" s="80" t="s">
        <v>1917</v>
      </c>
      <c r="H327" s="80" t="s">
        <v>184</v>
      </c>
      <c r="I327" s="80" t="s">
        <v>46</v>
      </c>
      <c r="J327" s="80" t="s">
        <v>149</v>
      </c>
      <c r="K327" s="80">
        <v>8</v>
      </c>
      <c r="L327" s="80" t="s">
        <v>1918</v>
      </c>
      <c r="M327" s="80" t="s">
        <v>1919</v>
      </c>
      <c r="N327" s="80" t="s">
        <v>120</v>
      </c>
      <c r="O327" s="80" t="s">
        <v>572</v>
      </c>
      <c r="P327" s="80" t="s">
        <v>231</v>
      </c>
      <c r="Q327" s="80" t="s">
        <v>123</v>
      </c>
      <c r="R327" s="80" t="s">
        <v>136</v>
      </c>
      <c r="S327" s="80">
        <v>2</v>
      </c>
      <c r="T327" s="80">
        <v>24</v>
      </c>
      <c r="U327" s="80" t="s">
        <v>153</v>
      </c>
      <c r="V327" s="80" t="s">
        <v>126</v>
      </c>
      <c r="W327" s="80" t="s">
        <v>137</v>
      </c>
      <c r="X327" s="80"/>
      <c r="Y327" s="80"/>
    </row>
    <row r="328" spans="1:25">
      <c r="A328" s="80">
        <f t="shared" si="5"/>
        <v>327</v>
      </c>
      <c r="B328" s="10">
        <v>45967.577997685199</v>
      </c>
      <c r="C328" s="80" t="s">
        <v>297</v>
      </c>
      <c r="D328" s="80" t="s">
        <v>1920</v>
      </c>
      <c r="E328" s="80" t="s">
        <v>1915</v>
      </c>
      <c r="F328" s="80" t="s">
        <v>1916</v>
      </c>
      <c r="G328" s="80" t="s">
        <v>1917</v>
      </c>
      <c r="H328" s="80" t="s">
        <v>184</v>
      </c>
      <c r="I328" s="80" t="s">
        <v>46</v>
      </c>
      <c r="J328" s="80" t="s">
        <v>149</v>
      </c>
      <c r="K328" s="80">
        <v>8</v>
      </c>
      <c r="L328" s="80" t="s">
        <v>1918</v>
      </c>
      <c r="M328" s="80" t="s">
        <v>1919</v>
      </c>
      <c r="N328" s="80" t="s">
        <v>120</v>
      </c>
      <c r="O328" s="80" t="s">
        <v>572</v>
      </c>
      <c r="P328" s="80" t="s">
        <v>231</v>
      </c>
      <c r="Q328" s="80" t="s">
        <v>123</v>
      </c>
      <c r="R328" s="80" t="s">
        <v>136</v>
      </c>
      <c r="S328" s="80">
        <v>2</v>
      </c>
      <c r="T328" s="80">
        <v>24</v>
      </c>
      <c r="U328" s="80" t="s">
        <v>305</v>
      </c>
      <c r="V328" s="80" t="s">
        <v>126</v>
      </c>
      <c r="W328" s="80" t="s">
        <v>137</v>
      </c>
      <c r="X328" s="80"/>
      <c r="Y328" s="80"/>
    </row>
    <row r="329" spans="1:25">
      <c r="A329" s="80">
        <f t="shared" si="5"/>
        <v>328</v>
      </c>
      <c r="B329" s="10">
        <v>45967.5991319444</v>
      </c>
      <c r="C329" s="80" t="s">
        <v>1465</v>
      </c>
      <c r="D329" s="80" t="s">
        <v>1921</v>
      </c>
      <c r="E329" s="80" t="s">
        <v>1922</v>
      </c>
      <c r="F329" s="80" t="s">
        <v>1923</v>
      </c>
      <c r="G329" s="80" t="s">
        <v>1924</v>
      </c>
      <c r="H329" s="80" t="s">
        <v>115</v>
      </c>
      <c r="I329" s="80" t="s">
        <v>252</v>
      </c>
      <c r="J329" s="80" t="s">
        <v>117</v>
      </c>
      <c r="K329" s="80">
        <v>2</v>
      </c>
      <c r="L329" s="80" t="s">
        <v>1925</v>
      </c>
      <c r="M329" s="80" t="s">
        <v>1926</v>
      </c>
      <c r="N329" s="80" t="s">
        <v>120</v>
      </c>
      <c r="O329" s="80" t="s">
        <v>240</v>
      </c>
      <c r="P329" s="80" t="s">
        <v>135</v>
      </c>
      <c r="Q329" s="80" t="s">
        <v>123</v>
      </c>
      <c r="R329" s="80" t="s">
        <v>136</v>
      </c>
      <c r="S329" s="80">
        <v>6</v>
      </c>
      <c r="T329" s="80">
        <v>18</v>
      </c>
      <c r="U329" s="80" t="s">
        <v>1473</v>
      </c>
      <c r="V329" s="80" t="s">
        <v>126</v>
      </c>
      <c r="W329" s="80" t="s">
        <v>127</v>
      </c>
      <c r="X329" s="80"/>
      <c r="Y329" s="80"/>
    </row>
    <row r="330" spans="1:25">
      <c r="A330" s="80">
        <f t="shared" si="5"/>
        <v>329</v>
      </c>
      <c r="B330" s="10">
        <v>45967.599189814799</v>
      </c>
      <c r="C330" s="80" t="s">
        <v>261</v>
      </c>
      <c r="D330" s="80" t="s">
        <v>1927</v>
      </c>
      <c r="E330" s="80" t="s">
        <v>1655</v>
      </c>
      <c r="F330" s="80" t="s">
        <v>1656</v>
      </c>
      <c r="G330" s="80" t="s">
        <v>1657</v>
      </c>
      <c r="H330" s="80" t="s">
        <v>115</v>
      </c>
      <c r="I330" s="80" t="s">
        <v>237</v>
      </c>
      <c r="J330" s="80" t="s">
        <v>117</v>
      </c>
      <c r="K330" s="80">
        <v>1</v>
      </c>
      <c r="L330" s="80" t="s">
        <v>1658</v>
      </c>
      <c r="M330" s="80" t="s">
        <v>1659</v>
      </c>
      <c r="N330" s="80" t="s">
        <v>120</v>
      </c>
      <c r="O330" s="80" t="s">
        <v>421</v>
      </c>
      <c r="P330" s="80" t="s">
        <v>135</v>
      </c>
      <c r="Q330" s="80" t="s">
        <v>123</v>
      </c>
      <c r="R330" s="80" t="s">
        <v>136</v>
      </c>
      <c r="S330" s="80">
        <v>6</v>
      </c>
      <c r="T330" s="80">
        <v>18</v>
      </c>
      <c r="U330" s="80" t="s">
        <v>270</v>
      </c>
      <c r="V330" s="80" t="s">
        <v>126</v>
      </c>
      <c r="W330" s="80" t="s">
        <v>127</v>
      </c>
      <c r="X330" s="80"/>
      <c r="Y330" s="80"/>
    </row>
    <row r="331" spans="1:25">
      <c r="A331" s="80">
        <f t="shared" si="5"/>
        <v>330</v>
      </c>
      <c r="B331" s="10">
        <v>45967.606724537</v>
      </c>
      <c r="C331" s="80" t="s">
        <v>589</v>
      </c>
      <c r="D331" s="80" t="s">
        <v>1928</v>
      </c>
      <c r="E331" s="80" t="s">
        <v>1929</v>
      </c>
      <c r="F331" s="80" t="s">
        <v>1930</v>
      </c>
      <c r="G331" s="80" t="s">
        <v>1931</v>
      </c>
      <c r="H331" s="80" t="s">
        <v>115</v>
      </c>
      <c r="I331" s="80" t="s">
        <v>865</v>
      </c>
      <c r="J331" s="80" t="s">
        <v>149</v>
      </c>
      <c r="K331" s="80">
        <v>15</v>
      </c>
      <c r="L331" s="80" t="s">
        <v>1932</v>
      </c>
      <c r="M331" s="80" t="s">
        <v>1933</v>
      </c>
      <c r="N331" s="80" t="s">
        <v>120</v>
      </c>
      <c r="O331" s="80" t="s">
        <v>501</v>
      </c>
      <c r="P331" s="80" t="s">
        <v>178</v>
      </c>
      <c r="Q331" s="80" t="s">
        <v>123</v>
      </c>
      <c r="R331" s="80" t="s">
        <v>174</v>
      </c>
      <c r="S331" s="80">
        <v>1</v>
      </c>
      <c r="T331" s="80">
        <v>12</v>
      </c>
      <c r="U331" s="80" t="s">
        <v>596</v>
      </c>
      <c r="V331" s="80" t="s">
        <v>126</v>
      </c>
      <c r="W331" s="80" t="s">
        <v>127</v>
      </c>
      <c r="X331" s="80"/>
      <c r="Y331" s="80"/>
    </row>
    <row r="332" spans="1:25">
      <c r="A332" s="80">
        <f t="shared" si="5"/>
        <v>331</v>
      </c>
      <c r="B332" s="10">
        <v>45967.609340277799</v>
      </c>
      <c r="C332" s="80" t="s">
        <v>456</v>
      </c>
      <c r="D332" s="80" t="s">
        <v>1934</v>
      </c>
      <c r="E332" s="80" t="s">
        <v>1041</v>
      </c>
      <c r="F332" s="80" t="s">
        <v>1042</v>
      </c>
      <c r="G332" s="80" t="s">
        <v>1043</v>
      </c>
      <c r="H332" s="80" t="s">
        <v>115</v>
      </c>
      <c r="I332" s="80" t="s">
        <v>865</v>
      </c>
      <c r="J332" s="80" t="s">
        <v>149</v>
      </c>
      <c r="K332" s="80">
        <v>20</v>
      </c>
      <c r="L332" s="80" t="s">
        <v>1044</v>
      </c>
      <c r="M332" s="80" t="s">
        <v>1045</v>
      </c>
      <c r="N332" s="80" t="s">
        <v>120</v>
      </c>
      <c r="O332" s="80" t="s">
        <v>449</v>
      </c>
      <c r="P332" s="80" t="s">
        <v>135</v>
      </c>
      <c r="Q332" s="80" t="s">
        <v>123</v>
      </c>
      <c r="R332" s="80" t="s">
        <v>174</v>
      </c>
      <c r="S332" s="80">
        <v>1</v>
      </c>
      <c r="T332" s="80">
        <v>18</v>
      </c>
      <c r="U332" s="80" t="s">
        <v>466</v>
      </c>
      <c r="V332" s="80" t="s">
        <v>126</v>
      </c>
      <c r="W332" s="80" t="s">
        <v>127</v>
      </c>
      <c r="X332" s="80"/>
      <c r="Y332" s="80"/>
    </row>
    <row r="333" spans="1:25">
      <c r="A333" s="80">
        <f t="shared" si="5"/>
        <v>332</v>
      </c>
      <c r="B333" s="10">
        <v>45967.637037036999</v>
      </c>
      <c r="C333" s="80" t="s">
        <v>222</v>
      </c>
      <c r="D333" s="80" t="s">
        <v>1935</v>
      </c>
      <c r="E333" s="80" t="s">
        <v>1936</v>
      </c>
      <c r="F333" s="80" t="s">
        <v>1937</v>
      </c>
      <c r="G333" s="80" t="s">
        <v>1938</v>
      </c>
      <c r="H333" s="80" t="s">
        <v>115</v>
      </c>
      <c r="I333" s="80" t="s">
        <v>865</v>
      </c>
      <c r="J333" s="80" t="s">
        <v>117</v>
      </c>
      <c r="K333" s="80">
        <v>11</v>
      </c>
      <c r="L333" s="80" t="s">
        <v>1939</v>
      </c>
      <c r="M333" s="80" t="s">
        <v>1940</v>
      </c>
      <c r="N333" s="80" t="s">
        <v>1941</v>
      </c>
      <c r="O333" s="80" t="s">
        <v>1942</v>
      </c>
      <c r="P333" s="80" t="s">
        <v>1943</v>
      </c>
      <c r="Q333" s="80" t="s">
        <v>123</v>
      </c>
      <c r="R333" s="80" t="s">
        <v>174</v>
      </c>
      <c r="S333" s="80">
        <v>4</v>
      </c>
      <c r="T333" s="80">
        <v>24</v>
      </c>
      <c r="U333" s="80" t="s">
        <v>232</v>
      </c>
      <c r="V333" s="80" t="s">
        <v>126</v>
      </c>
      <c r="W333" s="80" t="s">
        <v>127</v>
      </c>
      <c r="X333" s="80"/>
      <c r="Y333" s="80"/>
    </row>
    <row r="334" spans="1:25">
      <c r="A334" s="80">
        <f t="shared" si="5"/>
        <v>333</v>
      </c>
      <c r="B334" s="10">
        <v>45967.641574074099</v>
      </c>
      <c r="C334" s="80" t="s">
        <v>143</v>
      </c>
      <c r="D334" s="80" t="s">
        <v>1944</v>
      </c>
      <c r="E334" s="80" t="s">
        <v>1945</v>
      </c>
      <c r="F334" s="80" t="s">
        <v>1176</v>
      </c>
      <c r="G334" s="80" t="s">
        <v>1946</v>
      </c>
      <c r="H334" s="80" t="s">
        <v>115</v>
      </c>
      <c r="I334" s="80" t="s">
        <v>227</v>
      </c>
      <c r="J334" s="80" t="s">
        <v>117</v>
      </c>
      <c r="K334" s="80">
        <v>18</v>
      </c>
      <c r="L334" s="80" t="s">
        <v>1947</v>
      </c>
      <c r="M334" s="80" t="s">
        <v>1948</v>
      </c>
      <c r="N334" s="80" t="s">
        <v>120</v>
      </c>
      <c r="O334" s="80" t="s">
        <v>213</v>
      </c>
      <c r="P334" s="80" t="s">
        <v>1472</v>
      </c>
      <c r="Q334" s="80" t="s">
        <v>123</v>
      </c>
      <c r="R334" s="80" t="s">
        <v>174</v>
      </c>
      <c r="S334" s="80">
        <v>18</v>
      </c>
      <c r="T334" s="80">
        <v>18</v>
      </c>
      <c r="U334" s="80" t="s">
        <v>153</v>
      </c>
      <c r="V334" s="80" t="s">
        <v>126</v>
      </c>
      <c r="W334" s="80" t="s">
        <v>137</v>
      </c>
      <c r="X334" s="80"/>
      <c r="Y334" s="80"/>
    </row>
    <row r="335" spans="1:25">
      <c r="A335" s="80">
        <f t="shared" si="5"/>
        <v>334</v>
      </c>
      <c r="B335" s="10">
        <v>45967.643449074101</v>
      </c>
      <c r="C335" s="80" t="s">
        <v>143</v>
      </c>
      <c r="D335" s="80" t="s">
        <v>1949</v>
      </c>
      <c r="E335" s="80" t="s">
        <v>1950</v>
      </c>
      <c r="F335" s="80" t="s">
        <v>1951</v>
      </c>
      <c r="G335" s="80" t="s">
        <v>1952</v>
      </c>
      <c r="H335" s="80" t="s">
        <v>115</v>
      </c>
      <c r="I335" s="80" t="s">
        <v>865</v>
      </c>
      <c r="J335" s="80" t="s">
        <v>117</v>
      </c>
      <c r="K335" s="80">
        <v>14</v>
      </c>
      <c r="L335" s="80" t="s">
        <v>1953</v>
      </c>
      <c r="M335" s="80" t="s">
        <v>1954</v>
      </c>
      <c r="N335" s="80" t="s">
        <v>120</v>
      </c>
      <c r="O335" s="80" t="s">
        <v>230</v>
      </c>
      <c r="P335" s="80" t="s">
        <v>135</v>
      </c>
      <c r="Q335" s="80" t="s">
        <v>123</v>
      </c>
      <c r="R335" s="80" t="s">
        <v>174</v>
      </c>
      <c r="S335" s="80">
        <v>3</v>
      </c>
      <c r="T335" s="80">
        <v>18</v>
      </c>
      <c r="U335" s="80" t="s">
        <v>153</v>
      </c>
      <c r="V335" s="80" t="s">
        <v>126</v>
      </c>
      <c r="W335" s="80" t="s">
        <v>137</v>
      </c>
      <c r="X335" s="80"/>
      <c r="Y335" s="80"/>
    </row>
    <row r="336" spans="1:25">
      <c r="A336" s="80">
        <f t="shared" si="5"/>
        <v>335</v>
      </c>
      <c r="B336" s="10">
        <v>45967.653402777803</v>
      </c>
      <c r="C336" s="80" t="s">
        <v>1955</v>
      </c>
      <c r="D336" s="80" t="s">
        <v>1956</v>
      </c>
      <c r="E336" s="80" t="s">
        <v>1957</v>
      </c>
      <c r="F336" s="80" t="s">
        <v>1958</v>
      </c>
      <c r="G336" s="80" t="s">
        <v>1959</v>
      </c>
      <c r="H336" s="80" t="s">
        <v>115</v>
      </c>
      <c r="I336" s="80" t="s">
        <v>865</v>
      </c>
      <c r="J336" s="80" t="s">
        <v>117</v>
      </c>
      <c r="K336" s="80">
        <v>20</v>
      </c>
      <c r="L336" s="80" t="s">
        <v>1960</v>
      </c>
      <c r="M336" s="80" t="s">
        <v>1961</v>
      </c>
      <c r="N336" s="80" t="s">
        <v>120</v>
      </c>
      <c r="O336" s="80" t="s">
        <v>1962</v>
      </c>
      <c r="P336" s="80" t="s">
        <v>287</v>
      </c>
      <c r="Q336" s="80" t="s">
        <v>123</v>
      </c>
      <c r="R336" s="80" t="s">
        <v>174</v>
      </c>
      <c r="S336" s="80">
        <v>15</v>
      </c>
      <c r="T336" s="80">
        <v>18</v>
      </c>
      <c r="U336" s="80" t="s">
        <v>1963</v>
      </c>
      <c r="V336" s="80" t="s">
        <v>126</v>
      </c>
      <c r="W336" s="80" t="s">
        <v>127</v>
      </c>
      <c r="X336" s="80"/>
      <c r="Y336" s="80"/>
    </row>
    <row r="337" spans="1:25">
      <c r="A337" s="80">
        <f t="shared" si="5"/>
        <v>336</v>
      </c>
      <c r="B337" s="10">
        <v>45967.657337962999</v>
      </c>
      <c r="C337" s="80" t="s">
        <v>359</v>
      </c>
      <c r="D337" s="80" t="s">
        <v>1964</v>
      </c>
      <c r="E337" s="80" t="s">
        <v>1965</v>
      </c>
      <c r="F337" s="80" t="s">
        <v>1966</v>
      </c>
      <c r="G337" s="80" t="s">
        <v>1967</v>
      </c>
      <c r="H337" s="80" t="s">
        <v>115</v>
      </c>
      <c r="I337" s="80" t="s">
        <v>842</v>
      </c>
      <c r="J337" s="80" t="s">
        <v>117</v>
      </c>
      <c r="K337" s="80">
        <v>3</v>
      </c>
      <c r="L337" s="80" t="s">
        <v>1968</v>
      </c>
      <c r="M337" s="80" t="s">
        <v>1969</v>
      </c>
      <c r="N337" s="80" t="s">
        <v>120</v>
      </c>
      <c r="O337" s="80" t="s">
        <v>572</v>
      </c>
      <c r="P337" s="80" t="s">
        <v>287</v>
      </c>
      <c r="Q337" s="80" t="s">
        <v>123</v>
      </c>
      <c r="R337" s="80" t="s">
        <v>136</v>
      </c>
      <c r="S337" s="80">
        <v>6</v>
      </c>
      <c r="T337" s="80">
        <v>12</v>
      </c>
      <c r="U337" s="80" t="s">
        <v>361</v>
      </c>
      <c r="V337" s="80" t="s">
        <v>126</v>
      </c>
      <c r="W337" s="80" t="s">
        <v>127</v>
      </c>
      <c r="X337" s="80"/>
      <c r="Y337" s="80"/>
    </row>
    <row r="338" spans="1:25">
      <c r="A338" s="80">
        <f t="shared" si="5"/>
        <v>337</v>
      </c>
      <c r="B338" s="10">
        <v>45967.666990740698</v>
      </c>
      <c r="C338" s="80" t="s">
        <v>880</v>
      </c>
      <c r="D338" s="80" t="s">
        <v>1970</v>
      </c>
      <c r="E338" s="80" t="s">
        <v>1971</v>
      </c>
      <c r="F338" s="80" t="s">
        <v>1972</v>
      </c>
      <c r="G338" s="80" t="s">
        <v>1973</v>
      </c>
      <c r="H338" s="80" t="s">
        <v>115</v>
      </c>
      <c r="I338" s="80" t="s">
        <v>244</v>
      </c>
      <c r="J338" s="80" t="s">
        <v>117</v>
      </c>
      <c r="K338" s="80">
        <v>7</v>
      </c>
      <c r="L338" s="80" t="s">
        <v>1974</v>
      </c>
      <c r="M338" s="80" t="s">
        <v>1975</v>
      </c>
      <c r="N338" s="80" t="s">
        <v>164</v>
      </c>
      <c r="O338" s="80" t="s">
        <v>1976</v>
      </c>
      <c r="P338" s="80" t="s">
        <v>1279</v>
      </c>
      <c r="Q338" s="80" t="s">
        <v>123</v>
      </c>
      <c r="R338" s="80" t="s">
        <v>124</v>
      </c>
      <c r="S338" s="80">
        <v>7</v>
      </c>
      <c r="T338" s="80">
        <v>24</v>
      </c>
      <c r="U338" s="80" t="s">
        <v>882</v>
      </c>
      <c r="V338" s="80" t="s">
        <v>126</v>
      </c>
      <c r="W338" s="80" t="s">
        <v>127</v>
      </c>
      <c r="X338" s="80"/>
      <c r="Y338" s="80"/>
    </row>
    <row r="339" spans="1:25">
      <c r="A339" s="80">
        <f t="shared" si="5"/>
        <v>338</v>
      </c>
      <c r="B339" s="10">
        <v>45967.672916666699</v>
      </c>
      <c r="C339" s="80" t="s">
        <v>1977</v>
      </c>
      <c r="D339" s="80" t="s">
        <v>1978</v>
      </c>
      <c r="E339" s="80" t="s">
        <v>1979</v>
      </c>
      <c r="F339" s="80" t="s">
        <v>1980</v>
      </c>
      <c r="G339" s="80" t="s">
        <v>1981</v>
      </c>
      <c r="H339" s="80" t="s">
        <v>174</v>
      </c>
      <c r="I339" s="80" t="s">
        <v>173</v>
      </c>
      <c r="J339" s="80" t="s">
        <v>149</v>
      </c>
      <c r="K339" s="80">
        <v>1</v>
      </c>
      <c r="L339" s="80" t="s">
        <v>1982</v>
      </c>
      <c r="M339" s="80" t="s">
        <v>1983</v>
      </c>
      <c r="N339" s="80" t="s">
        <v>120</v>
      </c>
      <c r="O339" s="80" t="s">
        <v>121</v>
      </c>
      <c r="P339" s="80" t="s">
        <v>1480</v>
      </c>
      <c r="Q339" s="80" t="s">
        <v>123</v>
      </c>
      <c r="R339" s="80" t="s">
        <v>174</v>
      </c>
      <c r="S339" s="80">
        <v>10</v>
      </c>
      <c r="T339" s="80">
        <v>12</v>
      </c>
      <c r="U339" s="80" t="s">
        <v>1984</v>
      </c>
      <c r="V339" s="80" t="s">
        <v>126</v>
      </c>
      <c r="W339" s="80" t="s">
        <v>127</v>
      </c>
      <c r="X339" s="80"/>
      <c r="Y339" s="80"/>
    </row>
    <row r="340" spans="1:25">
      <c r="A340" s="80">
        <f t="shared" si="5"/>
        <v>339</v>
      </c>
      <c r="B340" s="10">
        <v>45967.683796296304</v>
      </c>
      <c r="C340" s="80" t="s">
        <v>1588</v>
      </c>
      <c r="D340" s="80" t="s">
        <v>1985</v>
      </c>
      <c r="E340" s="80" t="s">
        <v>1986</v>
      </c>
      <c r="F340" s="80" t="s">
        <v>1987</v>
      </c>
      <c r="G340" s="80" t="s">
        <v>1988</v>
      </c>
      <c r="H340" s="80" t="s">
        <v>115</v>
      </c>
      <c r="I340" s="80" t="s">
        <v>865</v>
      </c>
      <c r="J340" s="80" t="s">
        <v>149</v>
      </c>
      <c r="K340" s="80">
        <v>13</v>
      </c>
      <c r="L340" s="80" t="s">
        <v>1989</v>
      </c>
      <c r="M340" s="80" t="s">
        <v>1990</v>
      </c>
      <c r="N340" s="80" t="s">
        <v>120</v>
      </c>
      <c r="O340" s="80" t="s">
        <v>247</v>
      </c>
      <c r="P340" s="80" t="s">
        <v>1180</v>
      </c>
      <c r="Q340" s="80" t="s">
        <v>123</v>
      </c>
      <c r="R340" s="80" t="s">
        <v>174</v>
      </c>
      <c r="S340" s="80">
        <v>1</v>
      </c>
      <c r="T340" s="80">
        <v>12</v>
      </c>
      <c r="U340" s="80" t="s">
        <v>1590</v>
      </c>
      <c r="V340" s="80" t="s">
        <v>126</v>
      </c>
      <c r="W340" s="80" t="s">
        <v>127</v>
      </c>
      <c r="X340" s="80"/>
      <c r="Y340" s="80"/>
    </row>
    <row r="341" spans="1:25">
      <c r="A341" s="80">
        <f t="shared" si="5"/>
        <v>340</v>
      </c>
      <c r="B341" s="10">
        <v>45967.699953703697</v>
      </c>
      <c r="C341" s="80" t="s">
        <v>1588</v>
      </c>
      <c r="D341" s="80" t="s">
        <v>1991</v>
      </c>
      <c r="E341" s="80" t="s">
        <v>1992</v>
      </c>
      <c r="F341" s="80" t="s">
        <v>1993</v>
      </c>
      <c r="G341" s="80" t="s">
        <v>1994</v>
      </c>
      <c r="H341" s="80" t="s">
        <v>115</v>
      </c>
      <c r="I341" s="80" t="s">
        <v>865</v>
      </c>
      <c r="J341" s="80" t="s">
        <v>149</v>
      </c>
      <c r="K341" s="80">
        <v>11</v>
      </c>
      <c r="L341" s="80" t="s">
        <v>1995</v>
      </c>
      <c r="M341" s="80" t="s">
        <v>1996</v>
      </c>
      <c r="N341" s="80" t="s">
        <v>120</v>
      </c>
      <c r="O341" s="80" t="s">
        <v>121</v>
      </c>
      <c r="P341" s="80" t="s">
        <v>178</v>
      </c>
      <c r="Q341" s="80" t="s">
        <v>123</v>
      </c>
      <c r="R341" s="80" t="s">
        <v>174</v>
      </c>
      <c r="S341" s="80">
        <v>1</v>
      </c>
      <c r="T341" s="80">
        <v>18</v>
      </c>
      <c r="U341" s="80" t="s">
        <v>1590</v>
      </c>
      <c r="V341" s="80" t="s">
        <v>126</v>
      </c>
      <c r="W341" s="80" t="s">
        <v>127</v>
      </c>
      <c r="X341" s="80"/>
      <c r="Y341" s="80"/>
    </row>
    <row r="342" spans="1:25">
      <c r="A342" s="80">
        <f t="shared" si="5"/>
        <v>341</v>
      </c>
      <c r="B342" s="10">
        <v>45967.737002314803</v>
      </c>
      <c r="C342" s="80" t="s">
        <v>157</v>
      </c>
      <c r="D342" s="80" t="s">
        <v>1997</v>
      </c>
      <c r="E342" s="80" t="s">
        <v>1998</v>
      </c>
      <c r="F342" s="80" t="s">
        <v>1999</v>
      </c>
      <c r="G342" s="80" t="s">
        <v>2000</v>
      </c>
      <c r="H342" s="80" t="s">
        <v>210</v>
      </c>
      <c r="I342" s="80" t="s">
        <v>49</v>
      </c>
      <c r="J342" s="80" t="s">
        <v>149</v>
      </c>
      <c r="K342" s="80">
        <v>3</v>
      </c>
      <c r="L342" s="80" t="s">
        <v>2001</v>
      </c>
      <c r="M342" s="80" t="s">
        <v>2002</v>
      </c>
      <c r="N342" s="80" t="s">
        <v>120</v>
      </c>
      <c r="O342" s="80" t="s">
        <v>371</v>
      </c>
      <c r="P342" s="80" t="s">
        <v>269</v>
      </c>
      <c r="Q342" s="80" t="s">
        <v>123</v>
      </c>
      <c r="R342" s="80" t="s">
        <v>136</v>
      </c>
      <c r="S342" s="80">
        <v>10</v>
      </c>
      <c r="T342" s="80">
        <v>12</v>
      </c>
      <c r="U342" s="80" t="s">
        <v>167</v>
      </c>
      <c r="V342" s="80" t="s">
        <v>126</v>
      </c>
      <c r="W342" s="80" t="s">
        <v>2003</v>
      </c>
      <c r="X342" s="80"/>
      <c r="Y342" s="80"/>
    </row>
    <row r="343" spans="1:25">
      <c r="A343" s="80">
        <f t="shared" si="5"/>
        <v>342</v>
      </c>
      <c r="B343" s="10">
        <v>45967.741770833301</v>
      </c>
      <c r="C343" s="80" t="s">
        <v>2004</v>
      </c>
      <c r="D343" s="80" t="s">
        <v>2005</v>
      </c>
      <c r="E343" s="80" t="s">
        <v>2006</v>
      </c>
      <c r="F343" s="80" t="s">
        <v>2007</v>
      </c>
      <c r="G343" s="80" t="s">
        <v>2008</v>
      </c>
      <c r="H343" s="80" t="s">
        <v>115</v>
      </c>
      <c r="I343" s="80" t="s">
        <v>865</v>
      </c>
      <c r="J343" s="80" t="s">
        <v>117</v>
      </c>
      <c r="K343" s="80">
        <v>11</v>
      </c>
      <c r="L343" s="80" t="s">
        <v>2009</v>
      </c>
      <c r="M343" s="80" t="s">
        <v>2010</v>
      </c>
      <c r="N343" s="80" t="s">
        <v>120</v>
      </c>
      <c r="O343" s="80" t="s">
        <v>943</v>
      </c>
      <c r="P343" s="80" t="s">
        <v>295</v>
      </c>
      <c r="Q343" s="80" t="s">
        <v>123</v>
      </c>
      <c r="R343" s="80" t="s">
        <v>174</v>
      </c>
      <c r="S343" s="80">
        <v>3</v>
      </c>
      <c r="T343" s="80">
        <v>18</v>
      </c>
      <c r="U343" s="80" t="s">
        <v>2011</v>
      </c>
      <c r="V343" s="80" t="s">
        <v>126</v>
      </c>
      <c r="W343" s="80" t="s">
        <v>127</v>
      </c>
      <c r="X343" s="80"/>
      <c r="Y343" s="80"/>
    </row>
    <row r="344" spans="1:25">
      <c r="A344" s="80">
        <f t="shared" si="5"/>
        <v>343</v>
      </c>
      <c r="B344" s="10">
        <v>45967.760046296302</v>
      </c>
      <c r="C344" s="80" t="s">
        <v>2012</v>
      </c>
      <c r="D344" s="80" t="s">
        <v>2013</v>
      </c>
      <c r="E344" s="80" t="s">
        <v>2014</v>
      </c>
      <c r="F344" s="80" t="s">
        <v>2015</v>
      </c>
      <c r="G344" s="80" t="s">
        <v>2016</v>
      </c>
      <c r="H344" s="80" t="s">
        <v>115</v>
      </c>
      <c r="I344" s="80" t="s">
        <v>1069</v>
      </c>
      <c r="J344" s="80" t="s">
        <v>149</v>
      </c>
      <c r="K344" s="80">
        <v>8</v>
      </c>
      <c r="L344" s="80" t="s">
        <v>2017</v>
      </c>
      <c r="M344" s="80" t="s">
        <v>2018</v>
      </c>
      <c r="N344" s="80" t="s">
        <v>120</v>
      </c>
      <c r="O344" s="80" t="s">
        <v>449</v>
      </c>
      <c r="P344" s="80" t="s">
        <v>352</v>
      </c>
      <c r="Q344" s="80" t="s">
        <v>123</v>
      </c>
      <c r="R344" s="80" t="s">
        <v>174</v>
      </c>
      <c r="S344" s="80">
        <v>2</v>
      </c>
      <c r="T344" s="80">
        <v>12</v>
      </c>
      <c r="U344" s="80" t="s">
        <v>2019</v>
      </c>
      <c r="V344" s="80" t="s">
        <v>126</v>
      </c>
      <c r="W344" s="80" t="s">
        <v>127</v>
      </c>
      <c r="X344" s="80"/>
      <c r="Y344" s="80"/>
    </row>
    <row r="345" spans="1:25">
      <c r="A345" s="80">
        <f t="shared" si="5"/>
        <v>344</v>
      </c>
      <c r="B345" s="10">
        <v>45967.764201388898</v>
      </c>
      <c r="C345" s="80" t="s">
        <v>604</v>
      </c>
      <c r="D345" s="80" t="s">
        <v>2020</v>
      </c>
      <c r="E345" s="80" t="s">
        <v>2021</v>
      </c>
      <c r="F345" s="80" t="s">
        <v>2022</v>
      </c>
      <c r="G345" s="80" t="s">
        <v>2023</v>
      </c>
      <c r="H345" s="80" t="s">
        <v>115</v>
      </c>
      <c r="I345" s="80" t="s">
        <v>227</v>
      </c>
      <c r="J345" s="80" t="s">
        <v>117</v>
      </c>
      <c r="K345" s="80">
        <v>10</v>
      </c>
      <c r="L345" s="80" t="s">
        <v>2024</v>
      </c>
      <c r="M345" s="80" t="s">
        <v>2025</v>
      </c>
      <c r="N345" s="80" t="s">
        <v>120</v>
      </c>
      <c r="O345" s="80" t="s">
        <v>213</v>
      </c>
      <c r="P345" s="80" t="s">
        <v>135</v>
      </c>
      <c r="Q345" s="80" t="s">
        <v>123</v>
      </c>
      <c r="R345" s="80" t="s">
        <v>174</v>
      </c>
      <c r="S345" s="80">
        <v>10</v>
      </c>
      <c r="T345" s="80">
        <v>24</v>
      </c>
      <c r="U345" s="80" t="s">
        <v>613</v>
      </c>
      <c r="V345" s="80" t="s">
        <v>126</v>
      </c>
      <c r="W345" s="80" t="s">
        <v>127</v>
      </c>
      <c r="X345" s="80"/>
      <c r="Y345" s="80"/>
    </row>
    <row r="346" spans="1:25">
      <c r="A346" s="80">
        <f t="shared" si="5"/>
        <v>345</v>
      </c>
      <c r="B346" s="10">
        <v>45967.769085648099</v>
      </c>
      <c r="C346" s="80" t="s">
        <v>329</v>
      </c>
      <c r="D346" s="80" t="s">
        <v>2026</v>
      </c>
      <c r="E346" s="80" t="s">
        <v>2027</v>
      </c>
      <c r="F346" s="80" t="s">
        <v>2028</v>
      </c>
      <c r="G346" s="80" t="s">
        <v>2029</v>
      </c>
      <c r="H346" s="80" t="s">
        <v>115</v>
      </c>
      <c r="I346" s="80" t="s">
        <v>244</v>
      </c>
      <c r="J346" s="80" t="s">
        <v>117</v>
      </c>
      <c r="K346" s="80">
        <v>22</v>
      </c>
      <c r="L346" s="80" t="s">
        <v>2030</v>
      </c>
      <c r="M346" s="80" t="s">
        <v>2031</v>
      </c>
      <c r="N346" s="80" t="s">
        <v>120</v>
      </c>
      <c r="O346" s="80" t="s">
        <v>152</v>
      </c>
      <c r="P346" s="80" t="s">
        <v>581</v>
      </c>
      <c r="Q346" s="80" t="s">
        <v>123</v>
      </c>
      <c r="R346" s="80" t="s">
        <v>174</v>
      </c>
      <c r="S346" s="80">
        <v>9</v>
      </c>
      <c r="T346" s="80">
        <v>12</v>
      </c>
      <c r="U346" s="80" t="s">
        <v>336</v>
      </c>
      <c r="V346" s="80" t="s">
        <v>126</v>
      </c>
      <c r="W346" s="80" t="s">
        <v>127</v>
      </c>
      <c r="X346" s="80"/>
      <c r="Y346" s="80"/>
    </row>
    <row r="347" spans="1:25">
      <c r="A347" s="80">
        <f t="shared" si="5"/>
        <v>346</v>
      </c>
      <c r="B347" s="10">
        <v>45967.774618055599</v>
      </c>
      <c r="C347" s="80" t="s">
        <v>604</v>
      </c>
      <c r="D347" s="80" t="s">
        <v>2032</v>
      </c>
      <c r="E347" s="80" t="s">
        <v>2033</v>
      </c>
      <c r="F347" s="80" t="s">
        <v>2034</v>
      </c>
      <c r="G347" s="80" t="s">
        <v>2035</v>
      </c>
      <c r="H347" s="80" t="s">
        <v>115</v>
      </c>
      <c r="I347" s="80" t="s">
        <v>865</v>
      </c>
      <c r="J347" s="80" t="s">
        <v>117</v>
      </c>
      <c r="K347" s="80">
        <v>5</v>
      </c>
      <c r="L347" s="80" t="s">
        <v>2036</v>
      </c>
      <c r="M347" s="80" t="s">
        <v>2037</v>
      </c>
      <c r="N347" s="80" t="s">
        <v>120</v>
      </c>
      <c r="O347" s="80" t="s">
        <v>230</v>
      </c>
      <c r="P347" s="80" t="s">
        <v>135</v>
      </c>
      <c r="Q347" s="80" t="s">
        <v>123</v>
      </c>
      <c r="R347" s="80" t="s">
        <v>124</v>
      </c>
      <c r="S347" s="80">
        <v>5</v>
      </c>
      <c r="T347" s="80">
        <v>12</v>
      </c>
      <c r="U347" s="80" t="s">
        <v>613</v>
      </c>
      <c r="V347" s="80" t="s">
        <v>126</v>
      </c>
      <c r="W347" s="80" t="s">
        <v>127</v>
      </c>
      <c r="X347" s="80"/>
      <c r="Y347" s="80"/>
    </row>
    <row r="348" spans="1:25" ht="60">
      <c r="A348" s="80">
        <f t="shared" si="5"/>
        <v>347</v>
      </c>
      <c r="B348" s="10">
        <v>45967.776736111096</v>
      </c>
      <c r="C348" s="80" t="s">
        <v>2004</v>
      </c>
      <c r="D348" s="80" t="s">
        <v>2038</v>
      </c>
      <c r="E348" s="80" t="s">
        <v>2039</v>
      </c>
      <c r="F348" s="80" t="s">
        <v>2040</v>
      </c>
      <c r="G348" s="80" t="s">
        <v>2041</v>
      </c>
      <c r="H348" s="80" t="s">
        <v>115</v>
      </c>
      <c r="I348" s="80" t="s">
        <v>227</v>
      </c>
      <c r="J348" s="80" t="s">
        <v>461</v>
      </c>
      <c r="K348" s="80">
        <v>1</v>
      </c>
      <c r="L348" s="80" t="s">
        <v>2042</v>
      </c>
      <c r="M348" s="80" t="s">
        <v>2043</v>
      </c>
      <c r="N348" s="80" t="s">
        <v>120</v>
      </c>
      <c r="O348" s="80" t="s">
        <v>152</v>
      </c>
      <c r="P348" s="80" t="s">
        <v>135</v>
      </c>
      <c r="Q348" s="80" t="s">
        <v>123</v>
      </c>
      <c r="R348" s="80" t="s">
        <v>136</v>
      </c>
      <c r="S348" s="80">
        <v>22</v>
      </c>
      <c r="T348" s="80">
        <v>24</v>
      </c>
      <c r="U348" s="80" t="s">
        <v>2011</v>
      </c>
      <c r="V348" s="80" t="s">
        <v>126</v>
      </c>
      <c r="W348" s="80" t="s">
        <v>2044</v>
      </c>
      <c r="X348" s="80"/>
      <c r="Y348" s="12" t="s">
        <v>2045</v>
      </c>
    </row>
    <row r="349" spans="1:25">
      <c r="A349" s="80">
        <f t="shared" si="5"/>
        <v>348</v>
      </c>
      <c r="B349" s="10">
        <v>45967.783877314803</v>
      </c>
      <c r="C349" s="80" t="s">
        <v>2004</v>
      </c>
      <c r="D349" s="80" t="s">
        <v>2046</v>
      </c>
      <c r="E349" s="80" t="s">
        <v>2047</v>
      </c>
      <c r="F349" s="80" t="s">
        <v>2048</v>
      </c>
      <c r="G349" s="80" t="s">
        <v>2049</v>
      </c>
      <c r="H349" s="80" t="s">
        <v>115</v>
      </c>
      <c r="I349" s="80" t="s">
        <v>865</v>
      </c>
      <c r="J349" s="80" t="s">
        <v>117</v>
      </c>
      <c r="K349" s="80">
        <v>14</v>
      </c>
      <c r="L349" s="80" t="s">
        <v>2050</v>
      </c>
      <c r="M349" s="80" t="s">
        <v>2051</v>
      </c>
      <c r="N349" s="80" t="s">
        <v>120</v>
      </c>
      <c r="O349" s="80" t="s">
        <v>213</v>
      </c>
      <c r="P349" s="80" t="s">
        <v>1148</v>
      </c>
      <c r="Q349" s="80" t="s">
        <v>123</v>
      </c>
      <c r="R349" s="80" t="s">
        <v>174</v>
      </c>
      <c r="S349" s="80">
        <v>9</v>
      </c>
      <c r="T349" s="80">
        <v>18</v>
      </c>
      <c r="U349" s="80" t="s">
        <v>2011</v>
      </c>
      <c r="V349" s="80" t="s">
        <v>126</v>
      </c>
      <c r="W349" s="80" t="s">
        <v>127</v>
      </c>
      <c r="X349" s="80"/>
      <c r="Y349" s="80"/>
    </row>
    <row r="350" spans="1:25">
      <c r="A350" s="80">
        <f t="shared" si="5"/>
        <v>349</v>
      </c>
      <c r="B350" s="10">
        <v>45967.811747685198</v>
      </c>
      <c r="C350" s="80" t="s">
        <v>157</v>
      </c>
      <c r="D350" s="80" t="s">
        <v>2052</v>
      </c>
      <c r="E350" s="80" t="s">
        <v>2053</v>
      </c>
      <c r="F350" s="80" t="s">
        <v>2054</v>
      </c>
      <c r="G350" s="80" t="s">
        <v>2055</v>
      </c>
      <c r="H350" s="80" t="s">
        <v>115</v>
      </c>
      <c r="I350" s="80" t="s">
        <v>842</v>
      </c>
      <c r="J350" s="80" t="s">
        <v>117</v>
      </c>
      <c r="K350" s="80">
        <v>14</v>
      </c>
      <c r="L350" s="80" t="s">
        <v>2056</v>
      </c>
      <c r="M350" s="80" t="s">
        <v>2057</v>
      </c>
      <c r="N350" s="80" t="s">
        <v>120</v>
      </c>
      <c r="O350" s="80" t="s">
        <v>152</v>
      </c>
      <c r="P350" s="80" t="s">
        <v>178</v>
      </c>
      <c r="Q350" s="80" t="s">
        <v>123</v>
      </c>
      <c r="R350" s="80" t="s">
        <v>174</v>
      </c>
      <c r="S350" s="80">
        <v>7</v>
      </c>
      <c r="T350" s="80">
        <v>24</v>
      </c>
      <c r="U350" s="80" t="s">
        <v>167</v>
      </c>
      <c r="V350" s="80" t="s">
        <v>126</v>
      </c>
      <c r="W350" s="80" t="s">
        <v>127</v>
      </c>
      <c r="X350" s="80"/>
      <c r="Y350" s="80"/>
    </row>
    <row r="351" spans="1:25">
      <c r="A351" s="80">
        <f t="shared" si="5"/>
        <v>350</v>
      </c>
      <c r="B351" s="10">
        <v>45967.813194444403</v>
      </c>
      <c r="C351" s="80" t="s">
        <v>157</v>
      </c>
      <c r="D351" s="80" t="s">
        <v>2058</v>
      </c>
      <c r="E351" s="80" t="s">
        <v>2059</v>
      </c>
      <c r="F351" s="80" t="s">
        <v>2060</v>
      </c>
      <c r="G351" s="80" t="s">
        <v>2061</v>
      </c>
      <c r="H351" s="80" t="s">
        <v>115</v>
      </c>
      <c r="I351" s="80" t="s">
        <v>865</v>
      </c>
      <c r="J351" s="80" t="s">
        <v>117</v>
      </c>
      <c r="K351" s="80">
        <v>16</v>
      </c>
      <c r="L351" s="80" t="s">
        <v>2062</v>
      </c>
      <c r="M351" s="80" t="s">
        <v>2063</v>
      </c>
      <c r="N351" s="80" t="s">
        <v>120</v>
      </c>
      <c r="O351" s="80" t="s">
        <v>398</v>
      </c>
      <c r="P351" s="80" t="s">
        <v>135</v>
      </c>
      <c r="Q351" s="80" t="s">
        <v>123</v>
      </c>
      <c r="R351" s="80" t="s">
        <v>174</v>
      </c>
      <c r="S351" s="80">
        <v>4</v>
      </c>
      <c r="T351" s="80">
        <v>18</v>
      </c>
      <c r="U351" s="80" t="s">
        <v>167</v>
      </c>
      <c r="V351" s="80" t="s">
        <v>126</v>
      </c>
      <c r="W351" s="80" t="s">
        <v>127</v>
      </c>
      <c r="X351" s="80"/>
      <c r="Y351" s="80"/>
    </row>
    <row r="352" spans="1:25">
      <c r="A352" s="80">
        <f t="shared" si="5"/>
        <v>351</v>
      </c>
      <c r="B352" s="10">
        <v>45967.8175694444</v>
      </c>
      <c r="C352" s="80" t="s">
        <v>157</v>
      </c>
      <c r="D352" s="80" t="s">
        <v>2064</v>
      </c>
      <c r="E352" s="80" t="s">
        <v>2065</v>
      </c>
      <c r="F352" s="80" t="s">
        <v>2066</v>
      </c>
      <c r="G352" s="80" t="s">
        <v>2067</v>
      </c>
      <c r="H352" s="80" t="s">
        <v>174</v>
      </c>
      <c r="I352" s="80" t="s">
        <v>173</v>
      </c>
      <c r="J352" s="80" t="s">
        <v>149</v>
      </c>
      <c r="K352" s="80">
        <v>1</v>
      </c>
      <c r="L352" s="80" t="s">
        <v>2068</v>
      </c>
      <c r="M352" s="80" t="s">
        <v>2069</v>
      </c>
      <c r="N352" s="80" t="s">
        <v>120</v>
      </c>
      <c r="O352" s="80" t="s">
        <v>611</v>
      </c>
      <c r="P352" s="80" t="s">
        <v>2070</v>
      </c>
      <c r="Q352" s="80" t="s">
        <v>123</v>
      </c>
      <c r="R352" s="80" t="s">
        <v>174</v>
      </c>
      <c r="S352" s="80">
        <v>5</v>
      </c>
      <c r="T352" s="80">
        <v>12</v>
      </c>
      <c r="U352" s="80" t="s">
        <v>167</v>
      </c>
      <c r="V352" s="80" t="s">
        <v>126</v>
      </c>
      <c r="W352" s="80" t="s">
        <v>127</v>
      </c>
      <c r="X352" s="80"/>
      <c r="Y352" s="80"/>
    </row>
    <row r="353" spans="1:25">
      <c r="A353" s="80">
        <f t="shared" si="5"/>
        <v>352</v>
      </c>
      <c r="B353" s="10">
        <v>45967.818680555603</v>
      </c>
      <c r="C353" s="80" t="s">
        <v>261</v>
      </c>
      <c r="D353" s="80" t="s">
        <v>2071</v>
      </c>
      <c r="E353" s="80" t="s">
        <v>2072</v>
      </c>
      <c r="F353" s="80" t="s">
        <v>2073</v>
      </c>
      <c r="G353" s="80" t="s">
        <v>2074</v>
      </c>
      <c r="H353" s="80" t="s">
        <v>115</v>
      </c>
      <c r="I353" s="80" t="s">
        <v>865</v>
      </c>
      <c r="J353" s="80" t="s">
        <v>117</v>
      </c>
      <c r="K353" s="80">
        <v>10</v>
      </c>
      <c r="L353" s="80" t="s">
        <v>2075</v>
      </c>
      <c r="M353" s="80" t="s">
        <v>2076</v>
      </c>
      <c r="N353" s="80" t="s">
        <v>120</v>
      </c>
      <c r="O353" s="80" t="s">
        <v>572</v>
      </c>
      <c r="P353" s="80" t="s">
        <v>135</v>
      </c>
      <c r="Q353" s="80" t="s">
        <v>123</v>
      </c>
      <c r="R353" s="80" t="s">
        <v>174</v>
      </c>
      <c r="S353" s="80">
        <v>7</v>
      </c>
      <c r="T353" s="80">
        <v>12</v>
      </c>
      <c r="U353" s="80" t="s">
        <v>270</v>
      </c>
      <c r="V353" s="80" t="s">
        <v>126</v>
      </c>
      <c r="W353" s="80" t="s">
        <v>127</v>
      </c>
      <c r="X353" s="80"/>
      <c r="Y353" s="80"/>
    </row>
    <row r="354" spans="1:25">
      <c r="A354" s="80">
        <f t="shared" si="5"/>
        <v>353</v>
      </c>
      <c r="B354" s="10">
        <v>45967.8195486111</v>
      </c>
      <c r="C354" s="80" t="s">
        <v>2077</v>
      </c>
      <c r="D354" s="80" t="s">
        <v>2078</v>
      </c>
      <c r="E354" s="80" t="s">
        <v>2079</v>
      </c>
      <c r="F354" s="80" t="s">
        <v>2080</v>
      </c>
      <c r="G354" s="80" t="s">
        <v>2081</v>
      </c>
      <c r="H354" s="80" t="s">
        <v>115</v>
      </c>
      <c r="I354" s="80" t="s">
        <v>865</v>
      </c>
      <c r="J354" s="80" t="s">
        <v>117</v>
      </c>
      <c r="K354" s="80">
        <v>5</v>
      </c>
      <c r="L354" s="80" t="s">
        <v>2082</v>
      </c>
      <c r="M354" s="80" t="s">
        <v>2083</v>
      </c>
      <c r="N354" s="80" t="s">
        <v>120</v>
      </c>
      <c r="O354" s="80" t="s">
        <v>572</v>
      </c>
      <c r="P354" s="80" t="s">
        <v>135</v>
      </c>
      <c r="Q354" s="80" t="s">
        <v>123</v>
      </c>
      <c r="R354" s="80" t="s">
        <v>136</v>
      </c>
      <c r="S354" s="80">
        <v>5</v>
      </c>
      <c r="T354" s="80">
        <v>12</v>
      </c>
      <c r="U354" s="80" t="s">
        <v>2084</v>
      </c>
      <c r="V354" s="80" t="s">
        <v>126</v>
      </c>
      <c r="W354" s="80" t="s">
        <v>127</v>
      </c>
      <c r="X354" s="80"/>
      <c r="Y354" s="80"/>
    </row>
    <row r="355" spans="1:25">
      <c r="A355" s="80">
        <f t="shared" si="5"/>
        <v>354</v>
      </c>
      <c r="B355" s="10">
        <v>45967.849803240701</v>
      </c>
      <c r="C355" s="80" t="s">
        <v>157</v>
      </c>
      <c r="D355" s="80" t="s">
        <v>2085</v>
      </c>
      <c r="E355" s="80" t="s">
        <v>2086</v>
      </c>
      <c r="F355" s="80" t="s">
        <v>2087</v>
      </c>
      <c r="G355" s="80" t="s">
        <v>2088</v>
      </c>
      <c r="H355" s="80" t="s">
        <v>115</v>
      </c>
      <c r="I355" s="80" t="s">
        <v>237</v>
      </c>
      <c r="J355" s="80" t="s">
        <v>117</v>
      </c>
      <c r="K355" s="80">
        <v>5</v>
      </c>
      <c r="L355" s="80" t="s">
        <v>2089</v>
      </c>
      <c r="M355" s="80" t="s">
        <v>2090</v>
      </c>
      <c r="N355" s="80" t="s">
        <v>164</v>
      </c>
      <c r="O355" s="80" t="s">
        <v>406</v>
      </c>
      <c r="P355" s="80" t="s">
        <v>287</v>
      </c>
      <c r="Q355" s="80" t="s">
        <v>123</v>
      </c>
      <c r="R355" s="80" t="s">
        <v>136</v>
      </c>
      <c r="S355" s="80">
        <v>13</v>
      </c>
      <c r="T355" s="80">
        <v>24</v>
      </c>
      <c r="U355" s="80" t="s">
        <v>167</v>
      </c>
      <c r="V355" s="80" t="s">
        <v>126</v>
      </c>
      <c r="W355" s="80" t="s">
        <v>2091</v>
      </c>
      <c r="X355" s="80"/>
      <c r="Y355" s="80"/>
    </row>
    <row r="356" spans="1:25">
      <c r="A356" s="80">
        <f t="shared" si="5"/>
        <v>355</v>
      </c>
      <c r="B356" s="10">
        <v>45967.891099537002</v>
      </c>
      <c r="C356" s="80" t="s">
        <v>456</v>
      </c>
      <c r="D356" s="80" t="s">
        <v>2092</v>
      </c>
      <c r="E356" s="80" t="s">
        <v>2093</v>
      </c>
      <c r="F356" s="80" t="s">
        <v>2094</v>
      </c>
      <c r="G356" s="80" t="s">
        <v>2095</v>
      </c>
      <c r="H356" s="80" t="s">
        <v>210</v>
      </c>
      <c r="I356" s="80" t="s">
        <v>1165</v>
      </c>
      <c r="J356" s="80" t="s">
        <v>149</v>
      </c>
      <c r="K356" s="80">
        <v>6</v>
      </c>
      <c r="L356" s="80" t="s">
        <v>2096</v>
      </c>
      <c r="M356" s="80" t="s">
        <v>2097</v>
      </c>
      <c r="N356" s="80" t="s">
        <v>120</v>
      </c>
      <c r="O356" s="80" t="s">
        <v>152</v>
      </c>
      <c r="P356" s="80" t="s">
        <v>2098</v>
      </c>
      <c r="Q356" s="80" t="s">
        <v>123</v>
      </c>
      <c r="R356" s="80" t="s">
        <v>136</v>
      </c>
      <c r="S356" s="80">
        <v>14</v>
      </c>
      <c r="T356" s="80">
        <v>18</v>
      </c>
      <c r="U356" s="80" t="s">
        <v>466</v>
      </c>
      <c r="V356" s="80" t="s">
        <v>126</v>
      </c>
      <c r="W356" s="80" t="s">
        <v>1770</v>
      </c>
      <c r="X356" s="80"/>
      <c r="Y356" s="80"/>
    </row>
    <row r="357" spans="1:25">
      <c r="A357" s="80">
        <f t="shared" si="5"/>
        <v>356</v>
      </c>
      <c r="B357" s="10">
        <v>45967.892615740697</v>
      </c>
      <c r="C357" s="80" t="s">
        <v>456</v>
      </c>
      <c r="D357" s="80" t="s">
        <v>2099</v>
      </c>
      <c r="E357" s="80" t="s">
        <v>2100</v>
      </c>
      <c r="F357" s="80" t="s">
        <v>2101</v>
      </c>
      <c r="G357" s="80" t="s">
        <v>2102</v>
      </c>
      <c r="H357" s="80" t="s">
        <v>115</v>
      </c>
      <c r="I357" s="80" t="s">
        <v>842</v>
      </c>
      <c r="J357" s="80" t="s">
        <v>117</v>
      </c>
      <c r="K357" s="80">
        <v>1</v>
      </c>
      <c r="L357" s="80" t="s">
        <v>2103</v>
      </c>
      <c r="M357" s="80" t="s">
        <v>2104</v>
      </c>
      <c r="N357" s="80" t="s">
        <v>120</v>
      </c>
      <c r="O357" s="80" t="s">
        <v>572</v>
      </c>
      <c r="P357" s="80" t="s">
        <v>352</v>
      </c>
      <c r="Q357" s="80" t="s">
        <v>123</v>
      </c>
      <c r="R357" s="80" t="s">
        <v>136</v>
      </c>
      <c r="S357" s="80">
        <v>6</v>
      </c>
      <c r="T357" s="80">
        <v>18</v>
      </c>
      <c r="U357" s="80" t="s">
        <v>466</v>
      </c>
      <c r="V357" s="80" t="s">
        <v>126</v>
      </c>
      <c r="W357" s="80" t="s">
        <v>127</v>
      </c>
      <c r="X357" s="80"/>
      <c r="Y357" s="80"/>
    </row>
    <row r="358" spans="1:25">
      <c r="A358" s="80">
        <f t="shared" si="5"/>
        <v>357</v>
      </c>
      <c r="B358" s="10">
        <v>45967.898159722201</v>
      </c>
      <c r="C358" s="80" t="s">
        <v>456</v>
      </c>
      <c r="D358" s="80" t="s">
        <v>2105</v>
      </c>
      <c r="E358" s="80" t="s">
        <v>2106</v>
      </c>
      <c r="F358" s="80" t="s">
        <v>2107</v>
      </c>
      <c r="G358" s="80" t="s">
        <v>2108</v>
      </c>
      <c r="H358" s="80" t="s">
        <v>115</v>
      </c>
      <c r="I358" s="80" t="s">
        <v>252</v>
      </c>
      <c r="J358" s="80" t="s">
        <v>117</v>
      </c>
      <c r="K358" s="80">
        <v>17</v>
      </c>
      <c r="L358" s="80" t="s">
        <v>2109</v>
      </c>
      <c r="M358" s="80" t="s">
        <v>2110</v>
      </c>
      <c r="N358" s="80" t="s">
        <v>164</v>
      </c>
      <c r="O358" s="80" t="s">
        <v>1529</v>
      </c>
      <c r="P358" s="80" t="s">
        <v>178</v>
      </c>
      <c r="Q358" s="80" t="s">
        <v>123</v>
      </c>
      <c r="R358" s="80" t="s">
        <v>174</v>
      </c>
      <c r="S358" s="80">
        <v>14</v>
      </c>
      <c r="T358" s="80">
        <v>24</v>
      </c>
      <c r="U358" s="80" t="s">
        <v>466</v>
      </c>
      <c r="V358" s="80" t="s">
        <v>126</v>
      </c>
      <c r="W358" s="80" t="s">
        <v>127</v>
      </c>
      <c r="X358" s="80"/>
      <c r="Y358" s="80"/>
    </row>
    <row r="359" spans="1:25">
      <c r="A359" s="80">
        <f t="shared" si="5"/>
        <v>358</v>
      </c>
      <c r="B359" s="10">
        <v>45968.291539351798</v>
      </c>
      <c r="C359" s="80" t="s">
        <v>359</v>
      </c>
      <c r="D359" s="80" t="s">
        <v>2111</v>
      </c>
      <c r="E359" s="80" t="s">
        <v>2112</v>
      </c>
      <c r="F359" s="80" t="s">
        <v>2113</v>
      </c>
      <c r="G359" s="80" t="s">
        <v>2114</v>
      </c>
      <c r="H359" s="80" t="s">
        <v>115</v>
      </c>
      <c r="I359" s="80" t="s">
        <v>865</v>
      </c>
      <c r="J359" s="80" t="s">
        <v>149</v>
      </c>
      <c r="K359" s="80">
        <v>15</v>
      </c>
      <c r="L359" s="80" t="s">
        <v>2115</v>
      </c>
      <c r="M359" s="80" t="s">
        <v>2116</v>
      </c>
      <c r="N359" s="80" t="s">
        <v>120</v>
      </c>
      <c r="O359" s="80" t="s">
        <v>449</v>
      </c>
      <c r="P359" s="80" t="s">
        <v>135</v>
      </c>
      <c r="Q359" s="80" t="s">
        <v>123</v>
      </c>
      <c r="R359" s="80" t="s">
        <v>174</v>
      </c>
      <c r="S359" s="80">
        <v>2</v>
      </c>
      <c r="T359" s="80">
        <v>18</v>
      </c>
      <c r="U359" s="80" t="s">
        <v>361</v>
      </c>
      <c r="V359" s="80" t="s">
        <v>126</v>
      </c>
      <c r="W359" s="80" t="s">
        <v>127</v>
      </c>
      <c r="X359" s="80"/>
      <c r="Y359" s="80"/>
    </row>
    <row r="360" spans="1:25">
      <c r="A360" s="80">
        <f t="shared" si="5"/>
        <v>359</v>
      </c>
      <c r="B360" s="10">
        <v>45968.310509259303</v>
      </c>
      <c r="C360" s="80" t="s">
        <v>1465</v>
      </c>
      <c r="D360" s="80" t="s">
        <v>2117</v>
      </c>
      <c r="E360" s="80" t="s">
        <v>2118</v>
      </c>
      <c r="F360" s="80" t="s">
        <v>2119</v>
      </c>
      <c r="G360" s="80" t="s">
        <v>2120</v>
      </c>
      <c r="H360" s="80" t="s">
        <v>174</v>
      </c>
      <c r="I360" s="80" t="s">
        <v>173</v>
      </c>
      <c r="J360" s="80" t="s">
        <v>149</v>
      </c>
      <c r="K360" s="80">
        <v>1</v>
      </c>
      <c r="L360" s="80" t="s">
        <v>2121</v>
      </c>
      <c r="M360" s="80" t="s">
        <v>2122</v>
      </c>
      <c r="N360" s="80" t="s">
        <v>120</v>
      </c>
      <c r="O360" s="80" t="s">
        <v>1231</v>
      </c>
      <c r="P360" s="80" t="s">
        <v>295</v>
      </c>
      <c r="Q360" s="80" t="s">
        <v>123</v>
      </c>
      <c r="R360" s="80" t="s">
        <v>174</v>
      </c>
      <c r="S360" s="80">
        <v>12</v>
      </c>
      <c r="T360" s="80">
        <v>12</v>
      </c>
      <c r="U360" s="80" t="s">
        <v>1473</v>
      </c>
      <c r="V360" s="80" t="s">
        <v>126</v>
      </c>
      <c r="W360" s="80" t="s">
        <v>127</v>
      </c>
      <c r="X360" s="80"/>
      <c r="Y360" s="80"/>
    </row>
    <row r="361" spans="1:25">
      <c r="A361" s="80">
        <f t="shared" si="5"/>
        <v>360</v>
      </c>
      <c r="B361" s="10">
        <v>45968.359953703701</v>
      </c>
      <c r="C361" s="80" t="s">
        <v>143</v>
      </c>
      <c r="D361" s="80" t="s">
        <v>2123</v>
      </c>
      <c r="E361" s="80" t="s">
        <v>2124</v>
      </c>
      <c r="F361" s="80" t="s">
        <v>2125</v>
      </c>
      <c r="G361" s="80" t="s">
        <v>2126</v>
      </c>
      <c r="H361" s="80" t="s">
        <v>1258</v>
      </c>
      <c r="I361" s="80" t="s">
        <v>46</v>
      </c>
      <c r="J361" s="80" t="s">
        <v>149</v>
      </c>
      <c r="K361" s="80">
        <v>1</v>
      </c>
      <c r="L361" s="80" t="s">
        <v>2127</v>
      </c>
      <c r="M361" s="80" t="s">
        <v>2128</v>
      </c>
      <c r="N361" s="80" t="s">
        <v>120</v>
      </c>
      <c r="O361" s="80" t="s">
        <v>572</v>
      </c>
      <c r="P361" s="80" t="s">
        <v>135</v>
      </c>
      <c r="Q361" s="80" t="s">
        <v>123</v>
      </c>
      <c r="R361" s="80" t="s">
        <v>136</v>
      </c>
      <c r="S361" s="80">
        <v>7</v>
      </c>
      <c r="T361" s="80">
        <v>18</v>
      </c>
      <c r="U361" s="80" t="s">
        <v>153</v>
      </c>
      <c r="V361" s="80" t="s">
        <v>126</v>
      </c>
      <c r="W361" s="80" t="s">
        <v>137</v>
      </c>
      <c r="X361" s="80"/>
      <c r="Y361" s="80"/>
    </row>
    <row r="362" spans="1:25">
      <c r="A362" s="80">
        <f t="shared" si="5"/>
        <v>361</v>
      </c>
      <c r="B362" s="10">
        <v>45968.383090277799</v>
      </c>
      <c r="C362" s="80" t="s">
        <v>168</v>
      </c>
      <c r="D362" s="80" t="s">
        <v>2129</v>
      </c>
      <c r="E362" s="80" t="s">
        <v>2130</v>
      </c>
      <c r="F362" s="80" t="s">
        <v>2131</v>
      </c>
      <c r="G362" s="80" t="s">
        <v>2132</v>
      </c>
      <c r="H362" s="80" t="s">
        <v>115</v>
      </c>
      <c r="I362" s="80" t="s">
        <v>865</v>
      </c>
      <c r="J362" s="80" t="s">
        <v>117</v>
      </c>
      <c r="K362" s="80">
        <v>12</v>
      </c>
      <c r="L362" s="80" t="s">
        <v>2133</v>
      </c>
      <c r="M362" s="80" t="s">
        <v>2134</v>
      </c>
      <c r="N362" s="80" t="s">
        <v>120</v>
      </c>
      <c r="O362" s="80" t="s">
        <v>247</v>
      </c>
      <c r="P362" s="80" t="s">
        <v>1480</v>
      </c>
      <c r="Q362" s="80" t="s">
        <v>123</v>
      </c>
      <c r="R362" s="80" t="s">
        <v>174</v>
      </c>
      <c r="S362" s="80">
        <v>3</v>
      </c>
      <c r="T362" s="80">
        <v>12</v>
      </c>
      <c r="U362" s="80" t="s">
        <v>179</v>
      </c>
      <c r="V362" s="80" t="s">
        <v>126</v>
      </c>
      <c r="W362" s="80" t="s">
        <v>127</v>
      </c>
      <c r="X362" s="80"/>
      <c r="Y362" s="80"/>
    </row>
    <row r="363" spans="1:25">
      <c r="A363" s="80">
        <f t="shared" si="5"/>
        <v>362</v>
      </c>
      <c r="B363" s="10">
        <v>45968.433182870402</v>
      </c>
      <c r="C363" s="80" t="s">
        <v>329</v>
      </c>
      <c r="D363" s="80" t="s">
        <v>2135</v>
      </c>
      <c r="E363" s="80" t="s">
        <v>740</v>
      </c>
      <c r="F363" s="80" t="s">
        <v>741</v>
      </c>
      <c r="G363" s="80" t="s">
        <v>742</v>
      </c>
      <c r="H363" s="80" t="s">
        <v>115</v>
      </c>
      <c r="I363" s="80" t="s">
        <v>865</v>
      </c>
      <c r="J363" s="80" t="s">
        <v>117</v>
      </c>
      <c r="K363" s="80">
        <v>13</v>
      </c>
      <c r="L363" s="80" t="s">
        <v>743</v>
      </c>
      <c r="M363" s="80" t="s">
        <v>744</v>
      </c>
      <c r="N363" s="80" t="s">
        <v>120</v>
      </c>
      <c r="O363" s="80" t="s">
        <v>327</v>
      </c>
      <c r="P363" s="80" t="s">
        <v>135</v>
      </c>
      <c r="Q363" s="80" t="s">
        <v>123</v>
      </c>
      <c r="R363" s="80" t="s">
        <v>174</v>
      </c>
      <c r="S363" s="80">
        <v>11</v>
      </c>
      <c r="T363" s="80">
        <v>12</v>
      </c>
      <c r="U363" s="80" t="s">
        <v>336</v>
      </c>
      <c r="V363" s="80" t="s">
        <v>126</v>
      </c>
      <c r="W363" s="80" t="s">
        <v>127</v>
      </c>
      <c r="X363" s="80"/>
      <c r="Y363" s="80"/>
    </row>
    <row r="364" spans="1:25">
      <c r="A364" s="80">
        <f t="shared" si="5"/>
        <v>363</v>
      </c>
      <c r="B364" s="10">
        <v>45968.433865740699</v>
      </c>
      <c r="C364" s="80" t="s">
        <v>329</v>
      </c>
      <c r="D364" s="80" t="s">
        <v>2136</v>
      </c>
      <c r="E364" s="80" t="s">
        <v>2137</v>
      </c>
      <c r="F364" s="80" t="s">
        <v>2138</v>
      </c>
      <c r="G364" s="80" t="s">
        <v>2139</v>
      </c>
      <c r="H364" s="80" t="s">
        <v>115</v>
      </c>
      <c r="I364" s="80" t="s">
        <v>244</v>
      </c>
      <c r="J364" s="80" t="s">
        <v>117</v>
      </c>
      <c r="K364" s="80">
        <v>12</v>
      </c>
      <c r="L364" s="80" t="s">
        <v>2140</v>
      </c>
      <c r="M364" s="80" t="s">
        <v>2141</v>
      </c>
      <c r="N364" s="80" t="s">
        <v>120</v>
      </c>
      <c r="O364" s="80" t="s">
        <v>2142</v>
      </c>
      <c r="P364" s="80" t="s">
        <v>269</v>
      </c>
      <c r="Q364" s="80" t="s">
        <v>123</v>
      </c>
      <c r="R364" s="80" t="s">
        <v>174</v>
      </c>
      <c r="S364" s="80">
        <v>5</v>
      </c>
      <c r="T364" s="80">
        <v>6</v>
      </c>
      <c r="U364" s="80" t="s">
        <v>336</v>
      </c>
      <c r="V364" s="80" t="s">
        <v>126</v>
      </c>
      <c r="W364" s="80" t="s">
        <v>127</v>
      </c>
      <c r="X364" s="80"/>
      <c r="Y364" s="80"/>
    </row>
    <row r="365" spans="1:25">
      <c r="A365" s="80">
        <f t="shared" si="5"/>
        <v>364</v>
      </c>
      <c r="B365" s="10">
        <v>45968.433958333299</v>
      </c>
      <c r="C365" s="80" t="s">
        <v>222</v>
      </c>
      <c r="D365" s="80" t="s">
        <v>2143</v>
      </c>
      <c r="E365" s="80" t="s">
        <v>2137</v>
      </c>
      <c r="F365" s="80" t="s">
        <v>2138</v>
      </c>
      <c r="G365" s="80" t="s">
        <v>2139</v>
      </c>
      <c r="H365" s="80" t="s">
        <v>115</v>
      </c>
      <c r="I365" s="80" t="s">
        <v>244</v>
      </c>
      <c r="J365" s="80" t="s">
        <v>117</v>
      </c>
      <c r="K365" s="80">
        <v>12</v>
      </c>
      <c r="L365" s="80" t="s">
        <v>2140</v>
      </c>
      <c r="M365" s="80" t="s">
        <v>2141</v>
      </c>
      <c r="N365" s="80" t="s">
        <v>120</v>
      </c>
      <c r="O365" s="80" t="s">
        <v>2142</v>
      </c>
      <c r="P365" s="80" t="s">
        <v>269</v>
      </c>
      <c r="Q365" s="80" t="s">
        <v>123</v>
      </c>
      <c r="R365" s="80" t="s">
        <v>174</v>
      </c>
      <c r="S365" s="80">
        <v>5</v>
      </c>
      <c r="T365" s="80">
        <v>6</v>
      </c>
      <c r="U365" s="80" t="s">
        <v>232</v>
      </c>
      <c r="V365" s="80" t="s">
        <v>126</v>
      </c>
      <c r="W365" s="80" t="s">
        <v>127</v>
      </c>
      <c r="X365" s="80"/>
      <c r="Y365" s="80"/>
    </row>
    <row r="366" spans="1:25">
      <c r="A366" s="80">
        <f t="shared" si="5"/>
        <v>365</v>
      </c>
      <c r="B366" s="10">
        <v>45968.452037037001</v>
      </c>
      <c r="C366" s="80" t="s">
        <v>222</v>
      </c>
      <c r="D366" s="80" t="s">
        <v>2144</v>
      </c>
      <c r="E366" s="80" t="s">
        <v>224</v>
      </c>
      <c r="F366" s="80" t="s">
        <v>225</v>
      </c>
      <c r="G366" s="80" t="s">
        <v>226</v>
      </c>
      <c r="H366" s="80" t="s">
        <v>115</v>
      </c>
      <c r="I366" s="80" t="s">
        <v>227</v>
      </c>
      <c r="J366" s="80" t="s">
        <v>117</v>
      </c>
      <c r="K366" s="80">
        <v>11</v>
      </c>
      <c r="L366" s="80" t="s">
        <v>228</v>
      </c>
      <c r="M366" s="80" t="s">
        <v>229</v>
      </c>
      <c r="N366" s="80" t="s">
        <v>120</v>
      </c>
      <c r="O366" s="80" t="s">
        <v>230</v>
      </c>
      <c r="P366" s="80" t="s">
        <v>231</v>
      </c>
      <c r="Q366" s="80" t="s">
        <v>123</v>
      </c>
      <c r="R366" s="80" t="s">
        <v>174</v>
      </c>
      <c r="S366" s="80">
        <v>10</v>
      </c>
      <c r="T366" s="80">
        <v>12</v>
      </c>
      <c r="U366" s="80" t="s">
        <v>232</v>
      </c>
      <c r="V366" s="80" t="s">
        <v>126</v>
      </c>
      <c r="W366" s="80" t="s">
        <v>127</v>
      </c>
      <c r="X366" s="80"/>
      <c r="Y366" s="80"/>
    </row>
    <row r="367" spans="1:25">
      <c r="A367" s="80">
        <f t="shared" si="5"/>
        <v>366</v>
      </c>
      <c r="B367" s="10">
        <v>45968.494409722203</v>
      </c>
      <c r="C367" s="80" t="s">
        <v>329</v>
      </c>
      <c r="D367" s="80" t="s">
        <v>2145</v>
      </c>
      <c r="E367" s="80" t="s">
        <v>2146</v>
      </c>
      <c r="F367" s="80" t="s">
        <v>2147</v>
      </c>
      <c r="G367" s="80" t="s">
        <v>2148</v>
      </c>
      <c r="H367" s="80" t="s">
        <v>115</v>
      </c>
      <c r="I367" s="80" t="s">
        <v>275</v>
      </c>
      <c r="J367" s="80" t="s">
        <v>117</v>
      </c>
      <c r="K367" s="80">
        <v>20</v>
      </c>
      <c r="L367" s="80" t="s">
        <v>2149</v>
      </c>
      <c r="M367" s="80" t="s">
        <v>2150</v>
      </c>
      <c r="N367" s="80" t="s">
        <v>120</v>
      </c>
      <c r="O367" s="80" t="s">
        <v>572</v>
      </c>
      <c r="P367" s="80" t="s">
        <v>279</v>
      </c>
      <c r="Q367" s="80" t="s">
        <v>123</v>
      </c>
      <c r="R367" s="80" t="s">
        <v>174</v>
      </c>
      <c r="S367" s="80">
        <v>8</v>
      </c>
      <c r="T367" s="80">
        <v>12</v>
      </c>
      <c r="U367" s="80" t="s">
        <v>336</v>
      </c>
      <c r="V367" s="80" t="s">
        <v>126</v>
      </c>
      <c r="W367" s="80" t="s">
        <v>127</v>
      </c>
      <c r="X367" s="80"/>
      <c r="Y367" s="80"/>
    </row>
    <row r="368" spans="1:25">
      <c r="A368" s="80">
        <f t="shared" si="5"/>
        <v>367</v>
      </c>
      <c r="B368" s="10">
        <v>45968.498460648101</v>
      </c>
      <c r="C368" s="80" t="s">
        <v>320</v>
      </c>
      <c r="D368" s="80" t="s">
        <v>2151</v>
      </c>
      <c r="E368" s="80" t="s">
        <v>2152</v>
      </c>
      <c r="F368" s="80" t="s">
        <v>2153</v>
      </c>
      <c r="G368" s="80" t="s">
        <v>2154</v>
      </c>
      <c r="H368" s="80" t="s">
        <v>115</v>
      </c>
      <c r="I368" s="80" t="s">
        <v>237</v>
      </c>
      <c r="J368" s="80" t="s">
        <v>117</v>
      </c>
      <c r="K368" s="80">
        <v>4</v>
      </c>
      <c r="L368" s="80" t="s">
        <v>2155</v>
      </c>
      <c r="M368" s="80" t="s">
        <v>2156</v>
      </c>
      <c r="N368" s="80" t="s">
        <v>120</v>
      </c>
      <c r="O368" s="80" t="s">
        <v>121</v>
      </c>
      <c r="P368" s="80" t="s">
        <v>1372</v>
      </c>
      <c r="Q368" s="80" t="s">
        <v>123</v>
      </c>
      <c r="R368" s="80" t="s">
        <v>136</v>
      </c>
      <c r="S368" s="80">
        <v>14</v>
      </c>
      <c r="T368" s="80">
        <v>24</v>
      </c>
      <c r="U368" s="80" t="s">
        <v>328</v>
      </c>
      <c r="V368" s="80" t="s">
        <v>126</v>
      </c>
      <c r="W368" s="80" t="s">
        <v>127</v>
      </c>
      <c r="X368" s="80"/>
      <c r="Y368" s="80"/>
    </row>
    <row r="369" spans="1:25">
      <c r="A369" s="80">
        <f t="shared" si="5"/>
        <v>368</v>
      </c>
      <c r="B369" s="10">
        <v>45968.507731481499</v>
      </c>
      <c r="C369" s="80" t="s">
        <v>261</v>
      </c>
      <c r="D369" s="80" t="s">
        <v>2157</v>
      </c>
      <c r="E369" s="80" t="s">
        <v>2158</v>
      </c>
      <c r="F369" s="80" t="s">
        <v>2159</v>
      </c>
      <c r="G369" s="80" t="s">
        <v>2160</v>
      </c>
      <c r="H369" s="80" t="s">
        <v>115</v>
      </c>
      <c r="I369" s="80" t="s">
        <v>237</v>
      </c>
      <c r="J369" s="80" t="s">
        <v>117</v>
      </c>
      <c r="K369" s="80">
        <v>3</v>
      </c>
      <c r="L369" s="80" t="s">
        <v>2161</v>
      </c>
      <c r="M369" s="80" t="s">
        <v>2162</v>
      </c>
      <c r="N369" s="80" t="s">
        <v>120</v>
      </c>
      <c r="O369" s="80" t="s">
        <v>152</v>
      </c>
      <c r="P369" s="80" t="s">
        <v>287</v>
      </c>
      <c r="Q369" s="80" t="s">
        <v>123</v>
      </c>
      <c r="R369" s="80" t="s">
        <v>136</v>
      </c>
      <c r="S369" s="80">
        <v>10</v>
      </c>
      <c r="T369" s="80">
        <v>30</v>
      </c>
      <c r="U369" s="80" t="s">
        <v>270</v>
      </c>
      <c r="V369" s="80" t="s">
        <v>126</v>
      </c>
      <c r="W369" s="80" t="s">
        <v>127</v>
      </c>
      <c r="X369" s="80"/>
      <c r="Y369" s="80"/>
    </row>
    <row r="370" spans="1:25">
      <c r="A370" s="80">
        <f t="shared" si="5"/>
        <v>369</v>
      </c>
      <c r="B370" s="10">
        <v>45968.521284722199</v>
      </c>
      <c r="C370" s="80" t="s">
        <v>1465</v>
      </c>
      <c r="D370" s="80" t="s">
        <v>2163</v>
      </c>
      <c r="E370" s="80" t="s">
        <v>2164</v>
      </c>
      <c r="F370" s="80" t="s">
        <v>2165</v>
      </c>
      <c r="G370" s="80" t="s">
        <v>2166</v>
      </c>
      <c r="H370" s="80" t="s">
        <v>115</v>
      </c>
      <c r="I370" s="80" t="s">
        <v>842</v>
      </c>
      <c r="J370" s="80" t="s">
        <v>117</v>
      </c>
      <c r="K370" s="80">
        <v>1</v>
      </c>
      <c r="L370" s="80" t="s">
        <v>2167</v>
      </c>
      <c r="M370" s="80" t="s">
        <v>2168</v>
      </c>
      <c r="N370" s="80" t="s">
        <v>120</v>
      </c>
      <c r="O370" s="80" t="s">
        <v>572</v>
      </c>
      <c r="P370" s="80" t="s">
        <v>2169</v>
      </c>
      <c r="Q370" s="80" t="s">
        <v>123</v>
      </c>
      <c r="R370" s="80" t="s">
        <v>136</v>
      </c>
      <c r="S370" s="80">
        <v>9</v>
      </c>
      <c r="T370" s="80">
        <v>12</v>
      </c>
      <c r="U370" s="80" t="s">
        <v>1473</v>
      </c>
      <c r="V370" s="80" t="s">
        <v>126</v>
      </c>
      <c r="W370" s="80" t="s">
        <v>127</v>
      </c>
      <c r="X370" s="80"/>
      <c r="Y370" s="80"/>
    </row>
    <row r="371" spans="1:25">
      <c r="A371" s="80">
        <f t="shared" si="5"/>
        <v>370</v>
      </c>
      <c r="B371" s="10">
        <v>45968.534259259301</v>
      </c>
      <c r="C371" s="80" t="s">
        <v>168</v>
      </c>
      <c r="D371" s="80" t="s">
        <v>2170</v>
      </c>
      <c r="E371" s="80" t="s">
        <v>2171</v>
      </c>
      <c r="F371" s="80" t="s">
        <v>2172</v>
      </c>
      <c r="G371" s="80" t="s">
        <v>2173</v>
      </c>
      <c r="H371" s="80" t="s">
        <v>115</v>
      </c>
      <c r="I371" s="80" t="s">
        <v>842</v>
      </c>
      <c r="J371" s="80" t="s">
        <v>117</v>
      </c>
      <c r="K371" s="80">
        <v>1</v>
      </c>
      <c r="L371" s="80" t="s">
        <v>2174</v>
      </c>
      <c r="M371" s="80" t="s">
        <v>2175</v>
      </c>
      <c r="N371" s="80" t="s">
        <v>120</v>
      </c>
      <c r="O371" s="80" t="s">
        <v>2176</v>
      </c>
      <c r="P371" s="80" t="s">
        <v>546</v>
      </c>
      <c r="Q371" s="80" t="s">
        <v>123</v>
      </c>
      <c r="R371" s="80" t="s">
        <v>124</v>
      </c>
      <c r="S371" s="80">
        <v>15</v>
      </c>
      <c r="T371" s="80">
        <v>24</v>
      </c>
      <c r="U371" s="80" t="s">
        <v>179</v>
      </c>
      <c r="V371" s="80" t="s">
        <v>126</v>
      </c>
      <c r="W371" s="80" t="s">
        <v>127</v>
      </c>
      <c r="X371" s="80"/>
      <c r="Y371" s="80"/>
    </row>
    <row r="372" spans="1:25">
      <c r="A372" s="80">
        <f t="shared" si="5"/>
        <v>371</v>
      </c>
      <c r="B372" s="10">
        <v>45968.542199074102</v>
      </c>
      <c r="C372" s="80" t="s">
        <v>456</v>
      </c>
      <c r="D372" s="80" t="s">
        <v>2177</v>
      </c>
      <c r="E372" s="80" t="s">
        <v>2178</v>
      </c>
      <c r="F372" s="80" t="s">
        <v>45</v>
      </c>
      <c r="G372" s="80" t="s">
        <v>2179</v>
      </c>
      <c r="H372" s="80" t="s">
        <v>210</v>
      </c>
      <c r="I372" s="80" t="s">
        <v>44</v>
      </c>
      <c r="J372" s="80" t="s">
        <v>149</v>
      </c>
      <c r="K372" s="80">
        <v>5</v>
      </c>
      <c r="L372" s="80" t="s">
        <v>2180</v>
      </c>
      <c r="M372" s="80" t="s">
        <v>2181</v>
      </c>
      <c r="N372" s="80" t="s">
        <v>120</v>
      </c>
      <c r="O372" s="80" t="s">
        <v>152</v>
      </c>
      <c r="P372" s="80" t="s">
        <v>178</v>
      </c>
      <c r="Q372" s="80" t="s">
        <v>123</v>
      </c>
      <c r="R372" s="80" t="s">
        <v>136</v>
      </c>
      <c r="S372" s="80">
        <v>11</v>
      </c>
      <c r="T372" s="80">
        <v>18</v>
      </c>
      <c r="U372" s="80" t="s">
        <v>466</v>
      </c>
      <c r="V372" s="80" t="s">
        <v>126</v>
      </c>
      <c r="W372" s="80" t="s">
        <v>1770</v>
      </c>
      <c r="X372" s="80"/>
      <c r="Y372" s="80"/>
    </row>
    <row r="373" spans="1:25">
      <c r="A373" s="80">
        <f t="shared" si="5"/>
        <v>372</v>
      </c>
      <c r="B373" s="10">
        <v>45968.544791666704</v>
      </c>
      <c r="C373" s="80" t="s">
        <v>222</v>
      </c>
      <c r="D373" s="80" t="s">
        <v>2182</v>
      </c>
      <c r="E373" s="80" t="s">
        <v>2183</v>
      </c>
      <c r="F373" s="80" t="s">
        <v>2184</v>
      </c>
      <c r="G373" s="80" t="s">
        <v>2185</v>
      </c>
      <c r="H373" s="80" t="s">
        <v>115</v>
      </c>
      <c r="I373" s="80" t="s">
        <v>918</v>
      </c>
      <c r="J373" s="80" t="s">
        <v>117</v>
      </c>
      <c r="K373" s="80">
        <v>9</v>
      </c>
      <c r="L373" s="80" t="s">
        <v>2186</v>
      </c>
      <c r="M373" s="80" t="s">
        <v>2187</v>
      </c>
      <c r="N373" s="80" t="s">
        <v>120</v>
      </c>
      <c r="O373" s="80" t="s">
        <v>121</v>
      </c>
      <c r="P373" s="80" t="s">
        <v>135</v>
      </c>
      <c r="Q373" s="80" t="s">
        <v>123</v>
      </c>
      <c r="R373" s="80" t="s">
        <v>174</v>
      </c>
      <c r="S373" s="80">
        <v>6</v>
      </c>
      <c r="T373" s="80">
        <v>18</v>
      </c>
      <c r="U373" s="80" t="s">
        <v>232</v>
      </c>
      <c r="V373" s="80" t="s">
        <v>126</v>
      </c>
      <c r="W373" s="80" t="s">
        <v>127</v>
      </c>
      <c r="X373" s="80"/>
      <c r="Y373" s="80"/>
    </row>
    <row r="374" spans="1:25">
      <c r="A374" s="80">
        <f t="shared" si="5"/>
        <v>373</v>
      </c>
      <c r="B374" s="10">
        <v>45968.544918981497</v>
      </c>
      <c r="C374" s="80" t="s">
        <v>2188</v>
      </c>
      <c r="D374" s="80" t="s">
        <v>2189</v>
      </c>
      <c r="E374" s="80" t="s">
        <v>2190</v>
      </c>
      <c r="F374" s="80" t="s">
        <v>2191</v>
      </c>
      <c r="G374" s="80" t="s">
        <v>2192</v>
      </c>
      <c r="H374" s="80" t="s">
        <v>115</v>
      </c>
      <c r="I374" s="80" t="s">
        <v>865</v>
      </c>
      <c r="J374" s="80" t="s">
        <v>117</v>
      </c>
      <c r="K374" s="80">
        <v>10</v>
      </c>
      <c r="L374" s="80" t="s">
        <v>2193</v>
      </c>
      <c r="M374" s="80" t="s">
        <v>2194</v>
      </c>
      <c r="N374" s="80" t="s">
        <v>120</v>
      </c>
      <c r="O374" s="80" t="s">
        <v>152</v>
      </c>
      <c r="P374" s="80" t="s">
        <v>287</v>
      </c>
      <c r="Q374" s="80" t="s">
        <v>123</v>
      </c>
      <c r="R374" s="80" t="s">
        <v>174</v>
      </c>
      <c r="S374" s="80">
        <v>18</v>
      </c>
      <c r="T374" s="80">
        <v>24</v>
      </c>
      <c r="U374" s="80" t="s">
        <v>2195</v>
      </c>
      <c r="V374" s="80" t="s">
        <v>126</v>
      </c>
      <c r="W374" s="80" t="s">
        <v>127</v>
      </c>
      <c r="X374" s="80"/>
      <c r="Y374" s="80"/>
    </row>
    <row r="375" spans="1:25">
      <c r="A375" s="80">
        <f t="shared" si="5"/>
        <v>374</v>
      </c>
      <c r="B375" s="10">
        <v>45968.5491203704</v>
      </c>
      <c r="C375" s="80" t="s">
        <v>589</v>
      </c>
      <c r="D375" s="80" t="s">
        <v>2196</v>
      </c>
      <c r="E375" s="80" t="s">
        <v>2197</v>
      </c>
      <c r="F375" s="80" t="s">
        <v>2198</v>
      </c>
      <c r="G375" s="80" t="s">
        <v>2199</v>
      </c>
      <c r="H375" s="80" t="s">
        <v>115</v>
      </c>
      <c r="I375" s="80" t="s">
        <v>1069</v>
      </c>
      <c r="J375" s="80" t="s">
        <v>117</v>
      </c>
      <c r="K375" s="80">
        <v>9</v>
      </c>
      <c r="L375" s="80" t="s">
        <v>2200</v>
      </c>
      <c r="M375" s="80" t="s">
        <v>2201</v>
      </c>
      <c r="N375" s="80" t="s">
        <v>517</v>
      </c>
      <c r="O375" s="80" t="s">
        <v>2202</v>
      </c>
      <c r="P375" s="80" t="s">
        <v>287</v>
      </c>
      <c r="Q375" s="80" t="s">
        <v>123</v>
      </c>
      <c r="R375" s="80" t="s">
        <v>174</v>
      </c>
      <c r="S375" s="80">
        <v>3</v>
      </c>
      <c r="T375" s="80">
        <v>12</v>
      </c>
      <c r="U375" s="80" t="s">
        <v>596</v>
      </c>
      <c r="V375" s="80" t="s">
        <v>126</v>
      </c>
      <c r="W375" s="80" t="s">
        <v>1770</v>
      </c>
      <c r="X375" s="80"/>
      <c r="Y375" s="80"/>
    </row>
    <row r="376" spans="1:25">
      <c r="A376" s="80">
        <f t="shared" si="5"/>
        <v>375</v>
      </c>
      <c r="B376" s="10">
        <v>45968.549143518503</v>
      </c>
      <c r="C376" s="80" t="s">
        <v>157</v>
      </c>
      <c r="D376" s="80" t="s">
        <v>2203</v>
      </c>
      <c r="E376" s="80" t="s">
        <v>2197</v>
      </c>
      <c r="F376" s="80" t="s">
        <v>2198</v>
      </c>
      <c r="G376" s="80" t="s">
        <v>2199</v>
      </c>
      <c r="H376" s="80" t="s">
        <v>115</v>
      </c>
      <c r="I376" s="80" t="s">
        <v>1069</v>
      </c>
      <c r="J376" s="80" t="s">
        <v>117</v>
      </c>
      <c r="K376" s="80">
        <v>9</v>
      </c>
      <c r="L376" s="80" t="s">
        <v>2200</v>
      </c>
      <c r="M376" s="80" t="s">
        <v>2201</v>
      </c>
      <c r="N376" s="80" t="s">
        <v>517</v>
      </c>
      <c r="O376" s="80" t="s">
        <v>2202</v>
      </c>
      <c r="P376" s="80" t="s">
        <v>287</v>
      </c>
      <c r="Q376" s="80" t="s">
        <v>123</v>
      </c>
      <c r="R376" s="80" t="s">
        <v>174</v>
      </c>
      <c r="S376" s="80">
        <v>3</v>
      </c>
      <c r="T376" s="80">
        <v>12</v>
      </c>
      <c r="U376" s="80" t="s">
        <v>167</v>
      </c>
      <c r="V376" s="80" t="s">
        <v>126</v>
      </c>
      <c r="W376" s="80" t="s">
        <v>127</v>
      </c>
      <c r="X376" s="80"/>
      <c r="Y376" s="80"/>
    </row>
    <row r="377" spans="1:25">
      <c r="A377" s="80">
        <f t="shared" si="5"/>
        <v>376</v>
      </c>
      <c r="B377" s="10">
        <v>45968.549178240697</v>
      </c>
      <c r="C377" s="80" t="s">
        <v>329</v>
      </c>
      <c r="D377" s="80" t="s">
        <v>2204</v>
      </c>
      <c r="E377" s="80" t="s">
        <v>2197</v>
      </c>
      <c r="F377" s="80" t="s">
        <v>2198</v>
      </c>
      <c r="G377" s="80" t="s">
        <v>2199</v>
      </c>
      <c r="H377" s="80" t="s">
        <v>115</v>
      </c>
      <c r="I377" s="80" t="s">
        <v>1069</v>
      </c>
      <c r="J377" s="80" t="s">
        <v>117</v>
      </c>
      <c r="K377" s="80">
        <v>9</v>
      </c>
      <c r="L377" s="80" t="s">
        <v>2200</v>
      </c>
      <c r="M377" s="80" t="s">
        <v>2201</v>
      </c>
      <c r="N377" s="80" t="s">
        <v>517</v>
      </c>
      <c r="O377" s="80" t="s">
        <v>2202</v>
      </c>
      <c r="P377" s="80" t="s">
        <v>287</v>
      </c>
      <c r="Q377" s="80" t="s">
        <v>123</v>
      </c>
      <c r="R377" s="80" t="s">
        <v>174</v>
      </c>
      <c r="S377" s="80">
        <v>3</v>
      </c>
      <c r="T377" s="80">
        <v>12</v>
      </c>
      <c r="U377" s="80" t="s">
        <v>336</v>
      </c>
      <c r="V377" s="80" t="s">
        <v>126</v>
      </c>
      <c r="W377" s="80" t="s">
        <v>127</v>
      </c>
      <c r="X377" s="80"/>
      <c r="Y377" s="80"/>
    </row>
    <row r="378" spans="1:25">
      <c r="A378" s="80">
        <f t="shared" si="5"/>
        <v>377</v>
      </c>
      <c r="B378" s="10">
        <v>45968.553819444402</v>
      </c>
      <c r="C378" s="80" t="s">
        <v>840</v>
      </c>
      <c r="D378" s="80" t="s">
        <v>2205</v>
      </c>
      <c r="E378" s="80" t="s">
        <v>2206</v>
      </c>
      <c r="F378" s="80" t="s">
        <v>2207</v>
      </c>
      <c r="G378" s="80" t="s">
        <v>2208</v>
      </c>
      <c r="H378" s="80" t="s">
        <v>115</v>
      </c>
      <c r="I378" s="80" t="s">
        <v>865</v>
      </c>
      <c r="J378" s="80" t="s">
        <v>117</v>
      </c>
      <c r="K378" s="80">
        <v>12</v>
      </c>
      <c r="L378" s="80" t="s">
        <v>2209</v>
      </c>
      <c r="M378" s="80" t="s">
        <v>2210</v>
      </c>
      <c r="N378" s="80" t="s">
        <v>120</v>
      </c>
      <c r="O378" s="80" t="s">
        <v>152</v>
      </c>
      <c r="P378" s="80" t="s">
        <v>352</v>
      </c>
      <c r="Q378" s="80" t="s">
        <v>123</v>
      </c>
      <c r="R378" s="80" t="s">
        <v>174</v>
      </c>
      <c r="S378" s="80">
        <v>4</v>
      </c>
      <c r="T378" s="80">
        <v>12</v>
      </c>
      <c r="U378" s="80" t="s">
        <v>843</v>
      </c>
      <c r="V378" s="80" t="s">
        <v>126</v>
      </c>
      <c r="W378" s="80" t="s">
        <v>127</v>
      </c>
      <c r="X378" s="80"/>
      <c r="Y378" s="80"/>
    </row>
    <row r="379" spans="1:25">
      <c r="A379" s="80">
        <f t="shared" si="5"/>
        <v>378</v>
      </c>
      <c r="B379" s="10">
        <v>45968.5542361111</v>
      </c>
      <c r="C379" s="80" t="s">
        <v>589</v>
      </c>
      <c r="D379" s="80" t="s">
        <v>2211</v>
      </c>
      <c r="E379" s="80" t="s">
        <v>2212</v>
      </c>
      <c r="F379" s="80" t="s">
        <v>2213</v>
      </c>
      <c r="G379" s="80" t="s">
        <v>2214</v>
      </c>
      <c r="H379" s="80" t="s">
        <v>115</v>
      </c>
      <c r="I379" s="80" t="s">
        <v>865</v>
      </c>
      <c r="J379" s="80" t="s">
        <v>117</v>
      </c>
      <c r="K379" s="80">
        <v>6</v>
      </c>
      <c r="L379" s="80" t="s">
        <v>2215</v>
      </c>
      <c r="M379" s="80" t="s">
        <v>2216</v>
      </c>
      <c r="N379" s="80" t="s">
        <v>120</v>
      </c>
      <c r="O379" s="80" t="s">
        <v>2217</v>
      </c>
      <c r="P379" s="80" t="s">
        <v>135</v>
      </c>
      <c r="Q379" s="80" t="s">
        <v>123</v>
      </c>
      <c r="R379" s="80" t="s">
        <v>124</v>
      </c>
      <c r="S379" s="80">
        <v>3</v>
      </c>
      <c r="T379" s="80">
        <v>18</v>
      </c>
      <c r="U379" s="80" t="s">
        <v>596</v>
      </c>
      <c r="V379" s="80" t="s">
        <v>126</v>
      </c>
      <c r="W379" s="80" t="s">
        <v>127</v>
      </c>
      <c r="X379" s="80"/>
      <c r="Y379" s="80"/>
    </row>
    <row r="380" spans="1:25">
      <c r="A380" s="80">
        <f t="shared" si="5"/>
        <v>379</v>
      </c>
      <c r="B380" s="10">
        <v>45968.554409722201</v>
      </c>
      <c r="C380" s="80" t="s">
        <v>157</v>
      </c>
      <c r="D380" s="80" t="s">
        <v>2218</v>
      </c>
      <c r="E380" s="80" t="s">
        <v>2219</v>
      </c>
      <c r="F380" s="80" t="s">
        <v>2220</v>
      </c>
      <c r="G380" s="80" t="s">
        <v>2221</v>
      </c>
      <c r="H380" s="80" t="s">
        <v>115</v>
      </c>
      <c r="I380" s="80" t="s">
        <v>865</v>
      </c>
      <c r="J380" s="80" t="s">
        <v>117</v>
      </c>
      <c r="K380" s="80">
        <v>17</v>
      </c>
      <c r="L380" s="80" t="s">
        <v>2222</v>
      </c>
      <c r="M380" s="80" t="s">
        <v>2223</v>
      </c>
      <c r="N380" s="80" t="s">
        <v>120</v>
      </c>
      <c r="O380" s="80" t="s">
        <v>240</v>
      </c>
      <c r="P380" s="80" t="s">
        <v>135</v>
      </c>
      <c r="Q380" s="80" t="s">
        <v>123</v>
      </c>
      <c r="R380" s="80" t="s">
        <v>124</v>
      </c>
      <c r="S380" s="80">
        <v>11</v>
      </c>
      <c r="T380" s="80">
        <v>12</v>
      </c>
      <c r="U380" s="80" t="s">
        <v>167</v>
      </c>
      <c r="V380" s="80" t="s">
        <v>126</v>
      </c>
      <c r="W380" s="80" t="s">
        <v>127</v>
      </c>
      <c r="X380" s="80"/>
      <c r="Y380" s="80"/>
    </row>
    <row r="381" spans="1:25">
      <c r="A381" s="80">
        <f t="shared" si="5"/>
        <v>380</v>
      </c>
      <c r="B381" s="10">
        <v>45968.555532407401</v>
      </c>
      <c r="C381" s="80" t="s">
        <v>456</v>
      </c>
      <c r="D381" s="80" t="s">
        <v>2224</v>
      </c>
      <c r="E381" s="80" t="s">
        <v>2225</v>
      </c>
      <c r="F381" s="80" t="s">
        <v>2226</v>
      </c>
      <c r="G381" s="80" t="s">
        <v>2227</v>
      </c>
      <c r="H381" s="80" t="s">
        <v>115</v>
      </c>
      <c r="I381" s="80" t="s">
        <v>865</v>
      </c>
      <c r="J381" s="80" t="s">
        <v>117</v>
      </c>
      <c r="K381" s="80">
        <v>16</v>
      </c>
      <c r="L381" s="80" t="s">
        <v>2228</v>
      </c>
      <c r="M381" s="80" t="s">
        <v>2229</v>
      </c>
      <c r="N381" s="80" t="s">
        <v>120</v>
      </c>
      <c r="O381" s="80" t="s">
        <v>428</v>
      </c>
      <c r="P381" s="80" t="s">
        <v>122</v>
      </c>
      <c r="Q381" s="80" t="s">
        <v>123</v>
      </c>
      <c r="R381" s="80" t="s">
        <v>174</v>
      </c>
      <c r="S381" s="80">
        <v>10</v>
      </c>
      <c r="T381" s="80">
        <v>12</v>
      </c>
      <c r="U381" s="80" t="s">
        <v>466</v>
      </c>
      <c r="V381" s="80" t="s">
        <v>126</v>
      </c>
      <c r="W381" s="80" t="s">
        <v>127</v>
      </c>
      <c r="X381" s="80"/>
      <c r="Y381" s="80"/>
    </row>
    <row r="382" spans="1:25">
      <c r="A382" s="80">
        <f t="shared" si="5"/>
        <v>381</v>
      </c>
      <c r="B382" s="10">
        <v>45968.558599536998</v>
      </c>
      <c r="C382" s="80" t="s">
        <v>880</v>
      </c>
      <c r="D382" s="80" t="s">
        <v>2230</v>
      </c>
      <c r="E382" s="80" t="s">
        <v>2231</v>
      </c>
      <c r="F382" s="80" t="s">
        <v>2232</v>
      </c>
      <c r="G382" s="80" t="s">
        <v>2233</v>
      </c>
      <c r="H382" s="80" t="s">
        <v>115</v>
      </c>
      <c r="I382" s="80" t="s">
        <v>1069</v>
      </c>
      <c r="J382" s="80" t="s">
        <v>117</v>
      </c>
      <c r="K382" s="80">
        <v>7</v>
      </c>
      <c r="L382" s="80" t="s">
        <v>2234</v>
      </c>
      <c r="M382" s="80" t="s">
        <v>2235</v>
      </c>
      <c r="N382" s="80" t="s">
        <v>164</v>
      </c>
      <c r="O382" s="80" t="s">
        <v>487</v>
      </c>
      <c r="P382" s="80" t="s">
        <v>269</v>
      </c>
      <c r="Q382" s="80" t="s">
        <v>123</v>
      </c>
      <c r="R382" s="80" t="s">
        <v>174</v>
      </c>
      <c r="S382" s="80">
        <v>15</v>
      </c>
      <c r="T382" s="80">
        <v>24</v>
      </c>
      <c r="U382" s="80" t="s">
        <v>882</v>
      </c>
      <c r="V382" s="80" t="s">
        <v>126</v>
      </c>
      <c r="W382" s="80" t="s">
        <v>127</v>
      </c>
      <c r="X382" s="80"/>
      <c r="Y382" s="80"/>
    </row>
    <row r="383" spans="1:25">
      <c r="A383" s="80">
        <f t="shared" si="5"/>
        <v>382</v>
      </c>
      <c r="B383" s="10">
        <v>45968.558645833298</v>
      </c>
      <c r="C383" s="80" t="s">
        <v>362</v>
      </c>
      <c r="D383" s="80" t="s">
        <v>2236</v>
      </c>
      <c r="E383" s="80" t="s">
        <v>2231</v>
      </c>
      <c r="F383" s="80" t="s">
        <v>2232</v>
      </c>
      <c r="G383" s="80" t="s">
        <v>2233</v>
      </c>
      <c r="H383" s="80" t="s">
        <v>115</v>
      </c>
      <c r="I383" s="80" t="s">
        <v>1069</v>
      </c>
      <c r="J383" s="80" t="s">
        <v>117</v>
      </c>
      <c r="K383" s="80">
        <v>7</v>
      </c>
      <c r="L383" s="80" t="s">
        <v>2234</v>
      </c>
      <c r="M383" s="80" t="s">
        <v>2235</v>
      </c>
      <c r="N383" s="80" t="s">
        <v>164</v>
      </c>
      <c r="O383" s="80" t="s">
        <v>487</v>
      </c>
      <c r="P383" s="80" t="s">
        <v>269</v>
      </c>
      <c r="Q383" s="80" t="s">
        <v>123</v>
      </c>
      <c r="R383" s="80" t="s">
        <v>174</v>
      </c>
      <c r="S383" s="80">
        <v>15</v>
      </c>
      <c r="T383" s="80">
        <v>24</v>
      </c>
      <c r="U383" s="80" t="s">
        <v>364</v>
      </c>
      <c r="V383" s="80" t="s">
        <v>126</v>
      </c>
      <c r="W383" s="80" t="s">
        <v>127</v>
      </c>
      <c r="X383" s="80"/>
      <c r="Y383" s="80"/>
    </row>
    <row r="384" spans="1:25">
      <c r="A384" s="80">
        <f t="shared" si="5"/>
        <v>383</v>
      </c>
      <c r="B384" s="10">
        <v>45968.558692129598</v>
      </c>
      <c r="C384" s="80" t="s">
        <v>604</v>
      </c>
      <c r="D384" s="80" t="s">
        <v>2237</v>
      </c>
      <c r="E384" s="80" t="s">
        <v>2231</v>
      </c>
      <c r="F384" s="80" t="s">
        <v>2232</v>
      </c>
      <c r="G384" s="80" t="s">
        <v>2233</v>
      </c>
      <c r="H384" s="80" t="s">
        <v>115</v>
      </c>
      <c r="I384" s="80" t="s">
        <v>1069</v>
      </c>
      <c r="J384" s="80" t="s">
        <v>117</v>
      </c>
      <c r="K384" s="80">
        <v>7</v>
      </c>
      <c r="L384" s="80" t="s">
        <v>2234</v>
      </c>
      <c r="M384" s="80" t="s">
        <v>2235</v>
      </c>
      <c r="N384" s="80" t="s">
        <v>164</v>
      </c>
      <c r="O384" s="80" t="s">
        <v>487</v>
      </c>
      <c r="P384" s="80" t="s">
        <v>269</v>
      </c>
      <c r="Q384" s="80" t="s">
        <v>123</v>
      </c>
      <c r="R384" s="80" t="s">
        <v>174</v>
      </c>
      <c r="S384" s="80">
        <v>15</v>
      </c>
      <c r="T384" s="80">
        <v>24</v>
      </c>
      <c r="U384" s="80" t="s">
        <v>613</v>
      </c>
      <c r="V384" s="80" t="s">
        <v>126</v>
      </c>
      <c r="W384" s="80" t="s">
        <v>127</v>
      </c>
      <c r="X384" s="80"/>
      <c r="Y384" s="80"/>
    </row>
    <row r="385" spans="1:25">
      <c r="A385" s="80">
        <f t="shared" si="5"/>
        <v>384</v>
      </c>
      <c r="B385" s="10">
        <v>45968.559861111098</v>
      </c>
      <c r="C385" s="80" t="s">
        <v>157</v>
      </c>
      <c r="D385" s="80" t="s">
        <v>2238</v>
      </c>
      <c r="E385" s="80" t="s">
        <v>2239</v>
      </c>
      <c r="F385" s="80" t="s">
        <v>2240</v>
      </c>
      <c r="G385" s="80" t="s">
        <v>2241</v>
      </c>
      <c r="H385" s="80" t="s">
        <v>115</v>
      </c>
      <c r="I385" s="80" t="s">
        <v>1383</v>
      </c>
      <c r="J385" s="80" t="s">
        <v>117</v>
      </c>
      <c r="K385" s="80">
        <v>24</v>
      </c>
      <c r="L385" s="80" t="s">
        <v>2242</v>
      </c>
      <c r="M385" s="80" t="s">
        <v>2243</v>
      </c>
      <c r="N385" s="80" t="s">
        <v>120</v>
      </c>
      <c r="O385" s="80" t="s">
        <v>240</v>
      </c>
      <c r="P385" s="80" t="s">
        <v>135</v>
      </c>
      <c r="Q385" s="80" t="s">
        <v>123</v>
      </c>
      <c r="R385" s="80" t="s">
        <v>174</v>
      </c>
      <c r="S385" s="80">
        <v>10</v>
      </c>
      <c r="T385" s="80">
        <v>18</v>
      </c>
      <c r="U385" s="80" t="s">
        <v>167</v>
      </c>
      <c r="V385" s="80" t="s">
        <v>126</v>
      </c>
      <c r="W385" s="80" t="s">
        <v>127</v>
      </c>
      <c r="X385" s="80"/>
      <c r="Y385" s="80"/>
    </row>
    <row r="386" spans="1:25">
      <c r="A386" s="80">
        <f t="shared" si="5"/>
        <v>385</v>
      </c>
      <c r="B386" s="10">
        <v>45968.5620949074</v>
      </c>
      <c r="C386" s="80" t="s">
        <v>157</v>
      </c>
      <c r="D386" s="80" t="s">
        <v>2244</v>
      </c>
      <c r="E386" s="80" t="s">
        <v>2245</v>
      </c>
      <c r="F386" s="80" t="s">
        <v>2246</v>
      </c>
      <c r="G386" s="80" t="s">
        <v>2247</v>
      </c>
      <c r="H386" s="80" t="s">
        <v>115</v>
      </c>
      <c r="I386" s="80" t="s">
        <v>865</v>
      </c>
      <c r="J386" s="80" t="s">
        <v>117</v>
      </c>
      <c r="K386" s="80">
        <v>8</v>
      </c>
      <c r="L386" s="80" t="s">
        <v>2248</v>
      </c>
      <c r="M386" s="80" t="s">
        <v>2249</v>
      </c>
      <c r="N386" s="80" t="s">
        <v>120</v>
      </c>
      <c r="O386" s="80" t="s">
        <v>572</v>
      </c>
      <c r="P386" s="80" t="s">
        <v>135</v>
      </c>
      <c r="Q386" s="80" t="s">
        <v>123</v>
      </c>
      <c r="R386" s="80" t="s">
        <v>124</v>
      </c>
      <c r="S386" s="80">
        <v>4</v>
      </c>
      <c r="T386" s="80">
        <v>12</v>
      </c>
      <c r="U386" s="80" t="s">
        <v>167</v>
      </c>
      <c r="V386" s="80" t="s">
        <v>126</v>
      </c>
      <c r="W386" s="80" t="s">
        <v>127</v>
      </c>
      <c r="X386" s="80"/>
      <c r="Y386" s="80"/>
    </row>
    <row r="387" spans="1:25">
      <c r="A387" s="80">
        <f t="shared" si="5"/>
        <v>386</v>
      </c>
      <c r="B387" s="10">
        <v>45968.562569444402</v>
      </c>
      <c r="C387" s="80" t="s">
        <v>320</v>
      </c>
      <c r="D387" s="80" t="s">
        <v>2250</v>
      </c>
      <c r="E387" s="80" t="s">
        <v>2251</v>
      </c>
      <c r="F387" s="80" t="s">
        <v>2252</v>
      </c>
      <c r="G387" s="80" t="s">
        <v>2253</v>
      </c>
      <c r="H387" s="80" t="s">
        <v>477</v>
      </c>
      <c r="I387" s="80" t="s">
        <v>44</v>
      </c>
      <c r="J387" s="80" t="s">
        <v>149</v>
      </c>
      <c r="K387" s="80">
        <v>9</v>
      </c>
      <c r="L387" s="80" t="s">
        <v>2254</v>
      </c>
      <c r="M387" s="80" t="s">
        <v>2255</v>
      </c>
      <c r="N387" s="80" t="s">
        <v>120</v>
      </c>
      <c r="O387" s="80" t="s">
        <v>652</v>
      </c>
      <c r="P387" s="80" t="s">
        <v>1522</v>
      </c>
      <c r="Q387" s="80" t="s">
        <v>123</v>
      </c>
      <c r="R387" s="80" t="s">
        <v>215</v>
      </c>
      <c r="S387" s="80">
        <v>3</v>
      </c>
      <c r="T387" s="80">
        <v>18</v>
      </c>
      <c r="U387" s="80" t="s">
        <v>328</v>
      </c>
      <c r="V387" s="80" t="s">
        <v>126</v>
      </c>
      <c r="W387" s="80" t="s">
        <v>127</v>
      </c>
      <c r="X387" s="80"/>
      <c r="Y387" s="80"/>
    </row>
    <row r="388" spans="1:25">
      <c r="A388" s="80">
        <f t="shared" ref="A388:A451" si="6">A387+1</f>
        <v>387</v>
      </c>
      <c r="B388" s="10">
        <v>45968.5637152778</v>
      </c>
      <c r="C388" s="80" t="s">
        <v>589</v>
      </c>
      <c r="D388" s="80" t="s">
        <v>2256</v>
      </c>
      <c r="E388" s="80" t="s">
        <v>2257</v>
      </c>
      <c r="F388" s="80" t="s">
        <v>2258</v>
      </c>
      <c r="G388" s="80" t="s">
        <v>2259</v>
      </c>
      <c r="H388" s="80" t="s">
        <v>115</v>
      </c>
      <c r="I388" s="80" t="s">
        <v>1383</v>
      </c>
      <c r="J388" s="80" t="s">
        <v>149</v>
      </c>
      <c r="K388" s="80">
        <v>25</v>
      </c>
      <c r="L388" s="80" t="s">
        <v>2260</v>
      </c>
      <c r="M388" s="80" t="s">
        <v>2261</v>
      </c>
      <c r="N388" s="80" t="s">
        <v>164</v>
      </c>
      <c r="O388" s="80" t="s">
        <v>2262</v>
      </c>
      <c r="P388" s="80" t="s">
        <v>269</v>
      </c>
      <c r="Q388" s="80" t="s">
        <v>123</v>
      </c>
      <c r="R388" s="80" t="s">
        <v>174</v>
      </c>
      <c r="S388" s="80">
        <v>1</v>
      </c>
      <c r="T388" s="80">
        <v>24</v>
      </c>
      <c r="U388" s="80" t="s">
        <v>596</v>
      </c>
      <c r="V388" s="80" t="s">
        <v>126</v>
      </c>
      <c r="W388" s="80" t="s">
        <v>127</v>
      </c>
      <c r="X388" s="80"/>
      <c r="Y388" s="80"/>
    </row>
    <row r="389" spans="1:25">
      <c r="A389" s="80">
        <f t="shared" si="6"/>
        <v>388</v>
      </c>
      <c r="B389" s="10">
        <v>45968.563842592601</v>
      </c>
      <c r="C389" s="80" t="s">
        <v>261</v>
      </c>
      <c r="D389" s="80" t="s">
        <v>2263</v>
      </c>
      <c r="E389" s="80" t="s">
        <v>884</v>
      </c>
      <c r="F389" s="80" t="s">
        <v>885</v>
      </c>
      <c r="G389" s="80" t="s">
        <v>886</v>
      </c>
      <c r="H389" s="80" t="s">
        <v>115</v>
      </c>
      <c r="I389" s="80" t="s">
        <v>237</v>
      </c>
      <c r="J389" s="80" t="s">
        <v>117</v>
      </c>
      <c r="K389" s="80">
        <v>3</v>
      </c>
      <c r="L389" s="80" t="s">
        <v>887</v>
      </c>
      <c r="M389" s="80" t="s">
        <v>888</v>
      </c>
      <c r="N389" s="80" t="s">
        <v>120</v>
      </c>
      <c r="O389" s="80" t="s">
        <v>230</v>
      </c>
      <c r="P389" s="80" t="s">
        <v>269</v>
      </c>
      <c r="Q389" s="80" t="s">
        <v>123</v>
      </c>
      <c r="R389" s="80" t="s">
        <v>136</v>
      </c>
      <c r="S389" s="80">
        <v>10</v>
      </c>
      <c r="T389" s="80">
        <v>18</v>
      </c>
      <c r="U389" s="80" t="s">
        <v>270</v>
      </c>
      <c r="V389" s="80" t="s">
        <v>126</v>
      </c>
      <c r="W389" s="80" t="s">
        <v>127</v>
      </c>
      <c r="X389" s="80"/>
      <c r="Y389" s="80"/>
    </row>
    <row r="390" spans="1:25">
      <c r="A390" s="80">
        <f t="shared" si="6"/>
        <v>389</v>
      </c>
      <c r="B390" s="10">
        <v>45968.567187499997</v>
      </c>
      <c r="C390" s="80" t="s">
        <v>589</v>
      </c>
      <c r="D390" s="80" t="s">
        <v>2264</v>
      </c>
      <c r="E390" s="80" t="s">
        <v>2265</v>
      </c>
      <c r="F390" s="80" t="s">
        <v>2266</v>
      </c>
      <c r="G390" s="80" t="s">
        <v>2267</v>
      </c>
      <c r="H390" s="80" t="s">
        <v>115</v>
      </c>
      <c r="I390" s="80" t="s">
        <v>275</v>
      </c>
      <c r="J390" s="80" t="s">
        <v>149</v>
      </c>
      <c r="K390" s="80">
        <v>12</v>
      </c>
      <c r="L390" s="80" t="s">
        <v>2268</v>
      </c>
      <c r="M390" s="80" t="s">
        <v>2269</v>
      </c>
      <c r="N390" s="80" t="s">
        <v>120</v>
      </c>
      <c r="O390" s="80" t="s">
        <v>152</v>
      </c>
      <c r="P390" s="80" t="s">
        <v>135</v>
      </c>
      <c r="Q390" s="80" t="s">
        <v>123</v>
      </c>
      <c r="R390" s="80" t="s">
        <v>174</v>
      </c>
      <c r="S390" s="80">
        <v>12</v>
      </c>
      <c r="T390" s="80">
        <v>18</v>
      </c>
      <c r="U390" s="80" t="s">
        <v>596</v>
      </c>
      <c r="V390" s="80" t="s">
        <v>126</v>
      </c>
      <c r="W390" s="80" t="s">
        <v>127</v>
      </c>
      <c r="X390" s="80"/>
      <c r="Y390" s="80"/>
    </row>
    <row r="391" spans="1:25">
      <c r="A391" s="80">
        <f t="shared" si="6"/>
        <v>390</v>
      </c>
      <c r="B391" s="10">
        <v>45968.569675925901</v>
      </c>
      <c r="C391" s="80" t="s">
        <v>359</v>
      </c>
      <c r="D391" s="80" t="s">
        <v>2270</v>
      </c>
      <c r="E391" s="80" t="s">
        <v>2271</v>
      </c>
      <c r="F391" s="80" t="s">
        <v>2272</v>
      </c>
      <c r="G391" s="80" t="s">
        <v>2273</v>
      </c>
      <c r="H391" s="80" t="s">
        <v>115</v>
      </c>
      <c r="I391" s="80" t="s">
        <v>1410</v>
      </c>
      <c r="J391" s="80" t="s">
        <v>117</v>
      </c>
      <c r="K391" s="80">
        <v>1</v>
      </c>
      <c r="L391" s="80" t="s">
        <v>2274</v>
      </c>
      <c r="M391" s="80" t="s">
        <v>2275</v>
      </c>
      <c r="N391" s="80" t="s">
        <v>120</v>
      </c>
      <c r="O391" s="80" t="s">
        <v>152</v>
      </c>
      <c r="P391" s="80" t="s">
        <v>135</v>
      </c>
      <c r="Q391" s="80" t="s">
        <v>123</v>
      </c>
      <c r="R391" s="80" t="s">
        <v>136</v>
      </c>
      <c r="S391" s="80">
        <v>4</v>
      </c>
      <c r="T391" s="80">
        <v>18</v>
      </c>
      <c r="U391" s="80" t="s">
        <v>361</v>
      </c>
      <c r="V391" s="80" t="s">
        <v>126</v>
      </c>
      <c r="W391" s="80" t="s">
        <v>127</v>
      </c>
      <c r="X391" s="80"/>
      <c r="Y391" s="80"/>
    </row>
    <row r="392" spans="1:25">
      <c r="A392" s="80">
        <f t="shared" si="6"/>
        <v>391</v>
      </c>
      <c r="B392" s="10">
        <v>45968.569675925901</v>
      </c>
      <c r="C392" s="80" t="s">
        <v>589</v>
      </c>
      <c r="D392" s="80" t="s">
        <v>2276</v>
      </c>
      <c r="E392" s="80" t="s">
        <v>2271</v>
      </c>
      <c r="F392" s="80" t="s">
        <v>2272</v>
      </c>
      <c r="G392" s="80" t="s">
        <v>2273</v>
      </c>
      <c r="H392" s="80" t="s">
        <v>115</v>
      </c>
      <c r="I392" s="80" t="s">
        <v>1410</v>
      </c>
      <c r="J392" s="80" t="s">
        <v>117</v>
      </c>
      <c r="K392" s="80">
        <v>1</v>
      </c>
      <c r="L392" s="80" t="s">
        <v>2274</v>
      </c>
      <c r="M392" s="80" t="s">
        <v>2275</v>
      </c>
      <c r="N392" s="80" t="s">
        <v>120</v>
      </c>
      <c r="O392" s="80" t="s">
        <v>152</v>
      </c>
      <c r="P392" s="80" t="s">
        <v>135</v>
      </c>
      <c r="Q392" s="80" t="s">
        <v>123</v>
      </c>
      <c r="R392" s="80" t="s">
        <v>136</v>
      </c>
      <c r="S392" s="80">
        <v>4</v>
      </c>
      <c r="T392" s="80">
        <v>18</v>
      </c>
      <c r="U392" s="80" t="s">
        <v>596</v>
      </c>
      <c r="V392" s="80" t="s">
        <v>126</v>
      </c>
      <c r="W392" s="80" t="s">
        <v>127</v>
      </c>
      <c r="X392" s="80"/>
      <c r="Y392" s="80"/>
    </row>
    <row r="393" spans="1:25">
      <c r="A393" s="80">
        <f t="shared" si="6"/>
        <v>392</v>
      </c>
      <c r="B393" s="10">
        <v>45968.571018518502</v>
      </c>
      <c r="C393" s="80" t="s">
        <v>553</v>
      </c>
      <c r="D393" s="80" t="s">
        <v>2277</v>
      </c>
      <c r="E393" s="80" t="s">
        <v>2278</v>
      </c>
      <c r="F393" s="80" t="s">
        <v>2279</v>
      </c>
      <c r="G393" s="80" t="s">
        <v>2280</v>
      </c>
      <c r="H393" s="80" t="s">
        <v>115</v>
      </c>
      <c r="I393" s="80" t="s">
        <v>1069</v>
      </c>
      <c r="J393" s="80" t="s">
        <v>117</v>
      </c>
      <c r="K393" s="80">
        <v>18</v>
      </c>
      <c r="L393" s="80" t="s">
        <v>2281</v>
      </c>
      <c r="M393" s="80" t="s">
        <v>2282</v>
      </c>
      <c r="N393" s="80" t="s">
        <v>120</v>
      </c>
      <c r="O393" s="80" t="s">
        <v>572</v>
      </c>
      <c r="P393" s="80" t="s">
        <v>135</v>
      </c>
      <c r="Q393" s="80" t="s">
        <v>123</v>
      </c>
      <c r="R393" s="80" t="s">
        <v>174</v>
      </c>
      <c r="S393" s="80">
        <v>10</v>
      </c>
      <c r="T393" s="80">
        <v>12</v>
      </c>
      <c r="U393" s="80" t="s">
        <v>562</v>
      </c>
      <c r="V393" s="80" t="s">
        <v>126</v>
      </c>
      <c r="W393" s="80" t="s">
        <v>127</v>
      </c>
      <c r="X393" s="80"/>
      <c r="Y393" s="80"/>
    </row>
    <row r="394" spans="1:25">
      <c r="A394" s="80">
        <f t="shared" si="6"/>
        <v>393</v>
      </c>
      <c r="B394" s="10">
        <v>45968.571180555598</v>
      </c>
      <c r="C394" s="80" t="s">
        <v>840</v>
      </c>
      <c r="D394" s="80" t="s">
        <v>2283</v>
      </c>
      <c r="E394" s="80" t="s">
        <v>2278</v>
      </c>
      <c r="F394" s="80" t="s">
        <v>2279</v>
      </c>
      <c r="G394" s="80" t="s">
        <v>2280</v>
      </c>
      <c r="H394" s="80" t="s">
        <v>115</v>
      </c>
      <c r="I394" s="80" t="s">
        <v>1069</v>
      </c>
      <c r="J394" s="80" t="s">
        <v>117</v>
      </c>
      <c r="K394" s="80">
        <v>18</v>
      </c>
      <c r="L394" s="80" t="s">
        <v>2281</v>
      </c>
      <c r="M394" s="80" t="s">
        <v>2282</v>
      </c>
      <c r="N394" s="80" t="s">
        <v>120</v>
      </c>
      <c r="O394" s="80" t="s">
        <v>572</v>
      </c>
      <c r="P394" s="80" t="s">
        <v>135</v>
      </c>
      <c r="Q394" s="80" t="s">
        <v>123</v>
      </c>
      <c r="R394" s="80" t="s">
        <v>174</v>
      </c>
      <c r="S394" s="80">
        <v>10</v>
      </c>
      <c r="T394" s="80">
        <v>12</v>
      </c>
      <c r="U394" s="80" t="s">
        <v>843</v>
      </c>
      <c r="V394" s="80" t="s">
        <v>126</v>
      </c>
      <c r="W394" s="80" t="s">
        <v>127</v>
      </c>
      <c r="X394" s="80"/>
      <c r="Y394" s="80"/>
    </row>
    <row r="395" spans="1:25">
      <c r="A395" s="80">
        <f t="shared" si="6"/>
        <v>394</v>
      </c>
      <c r="B395" s="10">
        <v>45968.573298611103</v>
      </c>
      <c r="C395" s="80" t="s">
        <v>359</v>
      </c>
      <c r="D395" s="80" t="s">
        <v>2284</v>
      </c>
      <c r="E395" s="80" t="s">
        <v>2285</v>
      </c>
      <c r="F395" s="80" t="s">
        <v>2286</v>
      </c>
      <c r="G395" s="80" t="s">
        <v>2287</v>
      </c>
      <c r="H395" s="80" t="s">
        <v>174</v>
      </c>
      <c r="I395" s="80" t="s">
        <v>173</v>
      </c>
      <c r="J395" s="80" t="s">
        <v>149</v>
      </c>
      <c r="K395" s="80">
        <v>14</v>
      </c>
      <c r="L395" s="80" t="s">
        <v>2288</v>
      </c>
      <c r="M395" s="80" t="s">
        <v>2289</v>
      </c>
      <c r="N395" s="80" t="s">
        <v>120</v>
      </c>
      <c r="O395" s="80" t="s">
        <v>121</v>
      </c>
      <c r="P395" s="80" t="s">
        <v>2290</v>
      </c>
      <c r="Q395" s="80" t="s">
        <v>123</v>
      </c>
      <c r="R395" s="80" t="s">
        <v>174</v>
      </c>
      <c r="S395" s="80">
        <v>6</v>
      </c>
      <c r="T395" s="80">
        <v>12</v>
      </c>
      <c r="U395" s="80" t="s">
        <v>361</v>
      </c>
      <c r="V395" s="80" t="s">
        <v>126</v>
      </c>
      <c r="W395" s="80" t="s">
        <v>127</v>
      </c>
      <c r="X395" s="80"/>
      <c r="Y395" s="80"/>
    </row>
    <row r="396" spans="1:25">
      <c r="A396" s="80">
        <f t="shared" si="6"/>
        <v>395</v>
      </c>
      <c r="B396" s="10">
        <v>45968.574074074102</v>
      </c>
      <c r="C396" s="80" t="s">
        <v>840</v>
      </c>
      <c r="D396" s="80" t="s">
        <v>2291</v>
      </c>
      <c r="E396" s="80" t="s">
        <v>2292</v>
      </c>
      <c r="F396" s="80" t="s">
        <v>2293</v>
      </c>
      <c r="G396" s="80" t="s">
        <v>2294</v>
      </c>
      <c r="H396" s="80" t="s">
        <v>115</v>
      </c>
      <c r="I396" s="80" t="s">
        <v>865</v>
      </c>
      <c r="J396" s="80" t="s">
        <v>149</v>
      </c>
      <c r="K396" s="80">
        <v>15</v>
      </c>
      <c r="L396" s="80" t="s">
        <v>2295</v>
      </c>
      <c r="M396" s="80" t="s">
        <v>2296</v>
      </c>
      <c r="N396" s="80" t="s">
        <v>120</v>
      </c>
      <c r="O396" s="80" t="s">
        <v>2297</v>
      </c>
      <c r="P396" s="80" t="s">
        <v>1720</v>
      </c>
      <c r="Q396" s="80" t="s">
        <v>123</v>
      </c>
      <c r="R396" s="80" t="s">
        <v>174</v>
      </c>
      <c r="S396" s="80">
        <v>2</v>
      </c>
      <c r="T396" s="80">
        <v>18</v>
      </c>
      <c r="U396" s="80" t="s">
        <v>843</v>
      </c>
      <c r="V396" s="80" t="s">
        <v>126</v>
      </c>
      <c r="W396" s="80" t="s">
        <v>127</v>
      </c>
      <c r="X396" s="80"/>
      <c r="Y396" s="80"/>
    </row>
    <row r="397" spans="1:25">
      <c r="A397" s="80">
        <f t="shared" si="6"/>
        <v>396</v>
      </c>
      <c r="B397" s="10">
        <v>45968.574606481503</v>
      </c>
      <c r="C397" s="80" t="s">
        <v>362</v>
      </c>
      <c r="D397" s="80" t="s">
        <v>2298</v>
      </c>
      <c r="E397" s="80" t="s">
        <v>2299</v>
      </c>
      <c r="F397" s="80" t="s">
        <v>2300</v>
      </c>
      <c r="G397" s="80" t="s">
        <v>2301</v>
      </c>
      <c r="H397" s="80" t="s">
        <v>115</v>
      </c>
      <c r="I397" s="80" t="s">
        <v>865</v>
      </c>
      <c r="J397" s="80" t="s">
        <v>149</v>
      </c>
      <c r="K397" s="80">
        <v>9</v>
      </c>
      <c r="L397" s="80" t="s">
        <v>2302</v>
      </c>
      <c r="M397" s="80" t="s">
        <v>2303</v>
      </c>
      <c r="N397" s="80" t="s">
        <v>120</v>
      </c>
      <c r="O397" s="80" t="s">
        <v>152</v>
      </c>
      <c r="P397" s="80" t="s">
        <v>287</v>
      </c>
      <c r="Q397" s="80" t="s">
        <v>123</v>
      </c>
      <c r="R397" s="80" t="s">
        <v>174</v>
      </c>
      <c r="S397" s="80">
        <v>2</v>
      </c>
      <c r="T397" s="80">
        <v>18</v>
      </c>
      <c r="U397" s="80" t="s">
        <v>364</v>
      </c>
      <c r="V397" s="80" t="s">
        <v>126</v>
      </c>
      <c r="W397" s="80" t="s">
        <v>127</v>
      </c>
      <c r="X397" s="80"/>
      <c r="Y397" s="80"/>
    </row>
    <row r="398" spans="1:25">
      <c r="A398" s="80">
        <f t="shared" si="6"/>
        <v>397</v>
      </c>
      <c r="B398" s="10">
        <v>45968.578321759298</v>
      </c>
      <c r="C398" s="80" t="s">
        <v>320</v>
      </c>
      <c r="D398" s="80" t="s">
        <v>2304</v>
      </c>
      <c r="E398" s="80" t="s">
        <v>2305</v>
      </c>
      <c r="F398" s="80" t="s">
        <v>2306</v>
      </c>
      <c r="G398" s="80" t="s">
        <v>2307</v>
      </c>
      <c r="H398" s="80" t="s">
        <v>115</v>
      </c>
      <c r="I398" s="80" t="s">
        <v>1069</v>
      </c>
      <c r="J398" s="80" t="s">
        <v>117</v>
      </c>
      <c r="K398" s="80">
        <v>7</v>
      </c>
      <c r="L398" s="80" t="s">
        <v>2308</v>
      </c>
      <c r="M398" s="80" t="s">
        <v>2309</v>
      </c>
      <c r="N398" s="80" t="s">
        <v>120</v>
      </c>
      <c r="O398" s="80" t="s">
        <v>152</v>
      </c>
      <c r="P398" s="80" t="s">
        <v>295</v>
      </c>
      <c r="Q398" s="80" t="s">
        <v>123</v>
      </c>
      <c r="R398" s="80" t="s">
        <v>174</v>
      </c>
      <c r="S398" s="80">
        <v>14</v>
      </c>
      <c r="T398" s="80">
        <v>24</v>
      </c>
      <c r="U398" s="80" t="s">
        <v>328</v>
      </c>
      <c r="V398" s="80" t="s">
        <v>126</v>
      </c>
      <c r="W398" s="80" t="s">
        <v>127</v>
      </c>
      <c r="X398" s="80"/>
      <c r="Y398" s="80"/>
    </row>
    <row r="399" spans="1:25">
      <c r="A399" s="80">
        <f t="shared" si="6"/>
        <v>398</v>
      </c>
      <c r="B399" s="10">
        <v>45968.5804166667</v>
      </c>
      <c r="C399" s="80" t="s">
        <v>320</v>
      </c>
      <c r="D399" s="80" t="s">
        <v>2310</v>
      </c>
      <c r="E399" s="80" t="s">
        <v>2311</v>
      </c>
      <c r="F399" s="80" t="s">
        <v>2312</v>
      </c>
      <c r="G399" s="80" t="s">
        <v>2313</v>
      </c>
      <c r="H399" s="80" t="s">
        <v>115</v>
      </c>
      <c r="I399" s="80" t="s">
        <v>1383</v>
      </c>
      <c r="J399" s="80" t="s">
        <v>117</v>
      </c>
      <c r="K399" s="80">
        <v>1</v>
      </c>
      <c r="L399" s="80" t="s">
        <v>2314</v>
      </c>
      <c r="M399" s="80" t="s">
        <v>2315</v>
      </c>
      <c r="N399" s="80" t="s">
        <v>120</v>
      </c>
      <c r="O399" s="80" t="s">
        <v>247</v>
      </c>
      <c r="P399" s="80" t="s">
        <v>2098</v>
      </c>
      <c r="Q399" s="80" t="s">
        <v>123</v>
      </c>
      <c r="R399" s="80" t="s">
        <v>136</v>
      </c>
      <c r="S399" s="80">
        <v>8</v>
      </c>
      <c r="T399" s="80">
        <v>12</v>
      </c>
      <c r="U399" s="80" t="s">
        <v>328</v>
      </c>
      <c r="V399" s="80" t="s">
        <v>126</v>
      </c>
      <c r="W399" s="80" t="s">
        <v>127</v>
      </c>
      <c r="X399" s="80"/>
      <c r="Y399" s="80"/>
    </row>
    <row r="400" spans="1:25">
      <c r="A400" s="80">
        <f t="shared" si="6"/>
        <v>399</v>
      </c>
      <c r="B400" s="10">
        <v>45968.5852199074</v>
      </c>
      <c r="C400" s="80" t="s">
        <v>604</v>
      </c>
      <c r="D400" s="80" t="s">
        <v>2316</v>
      </c>
      <c r="E400" s="80" t="s">
        <v>2317</v>
      </c>
      <c r="F400" s="80" t="s">
        <v>2318</v>
      </c>
      <c r="G400" s="80" t="s">
        <v>2319</v>
      </c>
      <c r="H400" s="80" t="s">
        <v>115</v>
      </c>
      <c r="I400" s="80" t="s">
        <v>1069</v>
      </c>
      <c r="J400" s="80" t="s">
        <v>117</v>
      </c>
      <c r="K400" s="80">
        <v>5</v>
      </c>
      <c r="L400" s="80" t="s">
        <v>2320</v>
      </c>
      <c r="M400" s="80" t="s">
        <v>2321</v>
      </c>
      <c r="N400" s="80" t="s">
        <v>120</v>
      </c>
      <c r="O400" s="80" t="s">
        <v>2322</v>
      </c>
      <c r="P400" s="80" t="s">
        <v>178</v>
      </c>
      <c r="Q400" s="80" t="s">
        <v>123</v>
      </c>
      <c r="R400" s="80" t="s">
        <v>124</v>
      </c>
      <c r="S400" s="80">
        <v>11</v>
      </c>
      <c r="T400" s="80">
        <v>12</v>
      </c>
      <c r="U400" s="80" t="s">
        <v>613</v>
      </c>
      <c r="V400" s="80" t="s">
        <v>126</v>
      </c>
      <c r="W400" s="80" t="s">
        <v>127</v>
      </c>
      <c r="X400" s="80"/>
      <c r="Y400" s="80"/>
    </row>
    <row r="401" spans="1:25">
      <c r="A401" s="80">
        <f t="shared" si="6"/>
        <v>400</v>
      </c>
      <c r="B401" s="10">
        <v>45968.586180555598</v>
      </c>
      <c r="C401" s="80" t="s">
        <v>2323</v>
      </c>
      <c r="D401" s="80" t="s">
        <v>2324</v>
      </c>
      <c r="E401" s="80" t="s">
        <v>2325</v>
      </c>
      <c r="F401" s="80" t="s">
        <v>2326</v>
      </c>
      <c r="G401" s="80" t="s">
        <v>2327</v>
      </c>
      <c r="H401" s="80" t="s">
        <v>115</v>
      </c>
      <c r="I401" s="80" t="s">
        <v>955</v>
      </c>
      <c r="J401" s="80" t="s">
        <v>117</v>
      </c>
      <c r="K401" s="80">
        <v>21</v>
      </c>
      <c r="L401" s="80" t="s">
        <v>2328</v>
      </c>
      <c r="M401" s="80" t="s">
        <v>2329</v>
      </c>
      <c r="N401" s="80" t="s">
        <v>120</v>
      </c>
      <c r="O401" s="80" t="s">
        <v>976</v>
      </c>
      <c r="P401" s="80" t="s">
        <v>135</v>
      </c>
      <c r="Q401" s="80" t="s">
        <v>123</v>
      </c>
      <c r="R401" s="80" t="s">
        <v>174</v>
      </c>
      <c r="S401" s="80">
        <v>5</v>
      </c>
      <c r="T401" s="80">
        <v>6</v>
      </c>
      <c r="U401" s="80" t="s">
        <v>2330</v>
      </c>
      <c r="V401" s="80" t="s">
        <v>126</v>
      </c>
      <c r="W401" s="80" t="s">
        <v>127</v>
      </c>
      <c r="X401" s="80"/>
      <c r="Y401" s="80"/>
    </row>
    <row r="402" spans="1:25">
      <c r="A402" s="80">
        <f t="shared" si="6"/>
        <v>401</v>
      </c>
      <c r="B402" s="10">
        <v>45968.586307870399</v>
      </c>
      <c r="C402" s="80" t="s">
        <v>2323</v>
      </c>
      <c r="D402" s="80" t="s">
        <v>2324</v>
      </c>
      <c r="E402" s="80" t="s">
        <v>2331</v>
      </c>
      <c r="F402" s="80" t="s">
        <v>2332</v>
      </c>
      <c r="G402" s="80" t="s">
        <v>2333</v>
      </c>
      <c r="H402" s="80" t="s">
        <v>115</v>
      </c>
      <c r="I402" s="80" t="s">
        <v>955</v>
      </c>
      <c r="J402" s="80" t="s">
        <v>117</v>
      </c>
      <c r="K402" s="80">
        <v>18</v>
      </c>
      <c r="L402" s="80" t="s">
        <v>2334</v>
      </c>
      <c r="M402" s="80" t="s">
        <v>2335</v>
      </c>
      <c r="N402" s="80" t="s">
        <v>120</v>
      </c>
      <c r="O402" s="80" t="s">
        <v>510</v>
      </c>
      <c r="P402" s="80" t="s">
        <v>135</v>
      </c>
      <c r="Q402" s="80" t="s">
        <v>123</v>
      </c>
      <c r="R402" s="80" t="s">
        <v>174</v>
      </c>
      <c r="S402" s="80">
        <v>10</v>
      </c>
      <c r="T402" s="80">
        <v>18</v>
      </c>
      <c r="U402" s="80" t="s">
        <v>2330</v>
      </c>
      <c r="V402" s="80" t="s">
        <v>126</v>
      </c>
      <c r="W402" s="80" t="s">
        <v>127</v>
      </c>
      <c r="X402" s="80"/>
      <c r="Y402" s="80"/>
    </row>
    <row r="403" spans="1:25">
      <c r="A403" s="80">
        <f t="shared" si="6"/>
        <v>402</v>
      </c>
      <c r="B403" s="10">
        <v>45968.587083333303</v>
      </c>
      <c r="C403" s="80" t="s">
        <v>320</v>
      </c>
      <c r="D403" s="80" t="s">
        <v>2336</v>
      </c>
      <c r="E403" s="80" t="s">
        <v>2337</v>
      </c>
      <c r="F403" s="80" t="s">
        <v>2338</v>
      </c>
      <c r="G403" s="80" t="s">
        <v>2339</v>
      </c>
      <c r="H403" s="80" t="s">
        <v>115</v>
      </c>
      <c r="I403" s="80" t="s">
        <v>1069</v>
      </c>
      <c r="J403" s="80" t="s">
        <v>117</v>
      </c>
      <c r="K403" s="80">
        <v>1</v>
      </c>
      <c r="L403" s="80" t="s">
        <v>2340</v>
      </c>
      <c r="M403" s="80" t="s">
        <v>2341</v>
      </c>
      <c r="N403" s="80" t="s">
        <v>517</v>
      </c>
      <c r="O403" s="80" t="s">
        <v>2202</v>
      </c>
      <c r="P403" s="80" t="s">
        <v>135</v>
      </c>
      <c r="Q403" s="80" t="s">
        <v>123</v>
      </c>
      <c r="R403" s="80" t="s">
        <v>136</v>
      </c>
      <c r="S403" s="80">
        <v>10</v>
      </c>
      <c r="T403" s="80">
        <v>12</v>
      </c>
      <c r="U403" s="80" t="s">
        <v>328</v>
      </c>
      <c r="V403" s="80" t="s">
        <v>126</v>
      </c>
      <c r="W403" s="80" t="s">
        <v>127</v>
      </c>
      <c r="X403" s="80"/>
      <c r="Y403" s="80"/>
    </row>
    <row r="404" spans="1:25">
      <c r="A404" s="80">
        <f t="shared" si="6"/>
        <v>403</v>
      </c>
      <c r="B404" s="10">
        <v>45968.590648148202</v>
      </c>
      <c r="C404" s="80" t="s">
        <v>604</v>
      </c>
      <c r="D404" s="80" t="s">
        <v>2342</v>
      </c>
      <c r="E404" s="80" t="s">
        <v>2343</v>
      </c>
      <c r="F404" s="80" t="s">
        <v>2344</v>
      </c>
      <c r="G404" s="80" t="s">
        <v>2345</v>
      </c>
      <c r="H404" s="80" t="s">
        <v>115</v>
      </c>
      <c r="I404" s="80" t="s">
        <v>842</v>
      </c>
      <c r="J404" s="80" t="s">
        <v>117</v>
      </c>
      <c r="K404" s="80">
        <v>8</v>
      </c>
      <c r="L404" s="80" t="s">
        <v>2346</v>
      </c>
      <c r="M404" s="80" t="s">
        <v>2347</v>
      </c>
      <c r="N404" s="80" t="s">
        <v>164</v>
      </c>
      <c r="O404" s="80" t="s">
        <v>202</v>
      </c>
      <c r="P404" s="80" t="s">
        <v>214</v>
      </c>
      <c r="Q404" s="80" t="s">
        <v>123</v>
      </c>
      <c r="R404" s="80" t="s">
        <v>174</v>
      </c>
      <c r="S404" s="80">
        <v>12</v>
      </c>
      <c r="T404" s="80">
        <v>24</v>
      </c>
      <c r="U404" s="80" t="s">
        <v>613</v>
      </c>
      <c r="V404" s="80" t="s">
        <v>126</v>
      </c>
      <c r="W404" s="80" t="s">
        <v>127</v>
      </c>
      <c r="X404" s="80"/>
      <c r="Y404" s="80"/>
    </row>
    <row r="405" spans="1:25">
      <c r="A405" s="80">
        <f t="shared" si="6"/>
        <v>404</v>
      </c>
      <c r="B405" s="10">
        <v>45968.590729166703</v>
      </c>
      <c r="C405" s="80" t="s">
        <v>563</v>
      </c>
      <c r="D405" s="80" t="s">
        <v>2348</v>
      </c>
      <c r="E405" s="80" t="s">
        <v>2343</v>
      </c>
      <c r="F405" s="80" t="s">
        <v>2344</v>
      </c>
      <c r="G405" s="80" t="s">
        <v>2345</v>
      </c>
      <c r="H405" s="80" t="s">
        <v>115</v>
      </c>
      <c r="I405" s="80" t="s">
        <v>842</v>
      </c>
      <c r="J405" s="80" t="s">
        <v>117</v>
      </c>
      <c r="K405" s="80">
        <v>8</v>
      </c>
      <c r="L405" s="80" t="s">
        <v>2346</v>
      </c>
      <c r="M405" s="80" t="s">
        <v>2347</v>
      </c>
      <c r="N405" s="80" t="s">
        <v>164</v>
      </c>
      <c r="O405" s="80" t="s">
        <v>202</v>
      </c>
      <c r="P405" s="80" t="s">
        <v>214</v>
      </c>
      <c r="Q405" s="80" t="s">
        <v>123</v>
      </c>
      <c r="R405" s="80" t="s">
        <v>174</v>
      </c>
      <c r="S405" s="80">
        <v>12</v>
      </c>
      <c r="T405" s="80">
        <v>24</v>
      </c>
      <c r="U405" s="80" t="s">
        <v>565</v>
      </c>
      <c r="V405" s="80" t="s">
        <v>126</v>
      </c>
      <c r="W405" s="80" t="s">
        <v>127</v>
      </c>
      <c r="X405" s="80"/>
      <c r="Y405" s="80"/>
    </row>
    <row r="406" spans="1:25">
      <c r="A406" s="80">
        <f t="shared" si="6"/>
        <v>405</v>
      </c>
      <c r="B406" s="10">
        <v>45968.5949652778</v>
      </c>
      <c r="C406" s="80" t="s">
        <v>110</v>
      </c>
      <c r="D406" s="80" t="s">
        <v>2349</v>
      </c>
      <c r="E406" s="80" t="s">
        <v>2350</v>
      </c>
      <c r="F406" s="80" t="s">
        <v>2351</v>
      </c>
      <c r="G406" s="80" t="s">
        <v>2352</v>
      </c>
      <c r="H406" s="80" t="s">
        <v>115</v>
      </c>
      <c r="I406" s="80" t="s">
        <v>849</v>
      </c>
      <c r="J406" s="80" t="s">
        <v>117</v>
      </c>
      <c r="K406" s="80">
        <v>22</v>
      </c>
      <c r="L406" s="80" t="s">
        <v>2353</v>
      </c>
      <c r="M406" s="80" t="s">
        <v>2354</v>
      </c>
      <c r="N406" s="80" t="s">
        <v>164</v>
      </c>
      <c r="O406" s="80" t="s">
        <v>2355</v>
      </c>
      <c r="P406" s="80" t="s">
        <v>214</v>
      </c>
      <c r="Q406" s="80" t="s">
        <v>123</v>
      </c>
      <c r="R406" s="80" t="s">
        <v>174</v>
      </c>
      <c r="S406" s="80">
        <v>28</v>
      </c>
      <c r="T406" s="80">
        <v>36</v>
      </c>
      <c r="U406" s="80" t="s">
        <v>125</v>
      </c>
      <c r="V406" s="80" t="s">
        <v>126</v>
      </c>
      <c r="W406" s="80" t="s">
        <v>127</v>
      </c>
      <c r="X406" s="80"/>
      <c r="Y406" s="80"/>
    </row>
    <row r="407" spans="1:25">
      <c r="A407" s="80">
        <f t="shared" si="6"/>
        <v>406</v>
      </c>
      <c r="B407" s="10">
        <v>45968.595694444397</v>
      </c>
      <c r="C407" s="80" t="s">
        <v>110</v>
      </c>
      <c r="D407" s="80" t="s">
        <v>2356</v>
      </c>
      <c r="E407" s="80" t="s">
        <v>2357</v>
      </c>
      <c r="F407" s="80" t="s">
        <v>2358</v>
      </c>
      <c r="G407" s="80" t="s">
        <v>2359</v>
      </c>
      <c r="H407" s="80" t="s">
        <v>477</v>
      </c>
      <c r="I407" s="80" t="s">
        <v>50</v>
      </c>
      <c r="J407" s="80" t="s">
        <v>149</v>
      </c>
      <c r="K407" s="80">
        <v>6</v>
      </c>
      <c r="L407" s="80" t="s">
        <v>2360</v>
      </c>
      <c r="M407" s="80" t="s">
        <v>2361</v>
      </c>
      <c r="N407" s="80" t="s">
        <v>164</v>
      </c>
      <c r="O407" s="80" t="s">
        <v>202</v>
      </c>
      <c r="P407" s="80" t="s">
        <v>135</v>
      </c>
      <c r="Q407" s="80" t="s">
        <v>123</v>
      </c>
      <c r="R407" s="80" t="s">
        <v>136</v>
      </c>
      <c r="S407" s="80">
        <v>2</v>
      </c>
      <c r="T407" s="80">
        <v>12</v>
      </c>
      <c r="U407" s="80" t="s">
        <v>125</v>
      </c>
      <c r="V407" s="80" t="s">
        <v>126</v>
      </c>
      <c r="W407" s="80" t="s">
        <v>5333</v>
      </c>
      <c r="X407" s="80"/>
      <c r="Y407" s="80"/>
    </row>
    <row r="408" spans="1:25">
      <c r="A408" s="80">
        <f t="shared" si="6"/>
        <v>407</v>
      </c>
      <c r="B408" s="10">
        <v>45968.598530092597</v>
      </c>
      <c r="C408" s="80" t="s">
        <v>1465</v>
      </c>
      <c r="D408" s="80" t="s">
        <v>2362</v>
      </c>
      <c r="E408" s="80" t="s">
        <v>2363</v>
      </c>
      <c r="F408" s="80" t="s">
        <v>2364</v>
      </c>
      <c r="G408" s="80" t="s">
        <v>2365</v>
      </c>
      <c r="H408" s="80" t="s">
        <v>115</v>
      </c>
      <c r="I408" s="80" t="s">
        <v>252</v>
      </c>
      <c r="J408" s="80" t="s">
        <v>461</v>
      </c>
      <c r="K408" s="80">
        <v>5</v>
      </c>
      <c r="L408" s="80" t="s">
        <v>2366</v>
      </c>
      <c r="M408" s="80" t="s">
        <v>2367</v>
      </c>
      <c r="N408" s="80" t="s">
        <v>120</v>
      </c>
      <c r="O408" s="80" t="s">
        <v>187</v>
      </c>
      <c r="P408" s="80" t="s">
        <v>2368</v>
      </c>
      <c r="Q408" s="80" t="s">
        <v>123</v>
      </c>
      <c r="R408" s="80" t="s">
        <v>136</v>
      </c>
      <c r="S408" s="80">
        <v>8</v>
      </c>
      <c r="T408" s="80">
        <v>12</v>
      </c>
      <c r="U408" s="80" t="s">
        <v>1473</v>
      </c>
      <c r="V408" s="80" t="s">
        <v>126</v>
      </c>
      <c r="W408" s="80" t="s">
        <v>127</v>
      </c>
      <c r="X408" s="80"/>
      <c r="Y408" s="80"/>
    </row>
    <row r="409" spans="1:25">
      <c r="A409" s="80">
        <f t="shared" si="6"/>
        <v>408</v>
      </c>
      <c r="B409" s="10">
        <v>45968.601342592599</v>
      </c>
      <c r="C409" s="80" t="s">
        <v>110</v>
      </c>
      <c r="D409" s="80" t="s">
        <v>2369</v>
      </c>
      <c r="E409" s="80" t="s">
        <v>2370</v>
      </c>
      <c r="F409" s="80" t="s">
        <v>2371</v>
      </c>
      <c r="G409" s="80" t="s">
        <v>2372</v>
      </c>
      <c r="H409" s="80" t="s">
        <v>115</v>
      </c>
      <c r="I409" s="80" t="s">
        <v>849</v>
      </c>
      <c r="J409" s="80" t="s">
        <v>117</v>
      </c>
      <c r="K409" s="80">
        <v>9</v>
      </c>
      <c r="L409" s="80" t="s">
        <v>2373</v>
      </c>
      <c r="M409" s="80" t="s">
        <v>2374</v>
      </c>
      <c r="N409" s="80" t="s">
        <v>120</v>
      </c>
      <c r="O409" s="80" t="s">
        <v>398</v>
      </c>
      <c r="P409" s="80" t="s">
        <v>135</v>
      </c>
      <c r="Q409" s="80" t="s">
        <v>123</v>
      </c>
      <c r="R409" s="80" t="s">
        <v>174</v>
      </c>
      <c r="S409" s="80">
        <v>6</v>
      </c>
      <c r="T409" s="80">
        <v>24</v>
      </c>
      <c r="U409" s="80" t="s">
        <v>125</v>
      </c>
      <c r="V409" s="80" t="s">
        <v>126</v>
      </c>
      <c r="W409" s="80" t="s">
        <v>127</v>
      </c>
      <c r="X409" s="80"/>
      <c r="Y409" s="80"/>
    </row>
    <row r="410" spans="1:25">
      <c r="A410" s="80">
        <f t="shared" si="6"/>
        <v>409</v>
      </c>
      <c r="B410" s="10">
        <v>45968.601875</v>
      </c>
      <c r="C410" s="80" t="s">
        <v>2004</v>
      </c>
      <c r="D410" s="80" t="s">
        <v>2375</v>
      </c>
      <c r="E410" s="80" t="s">
        <v>606</v>
      </c>
      <c r="F410" s="80" t="s">
        <v>607</v>
      </c>
      <c r="G410" s="80" t="s">
        <v>608</v>
      </c>
      <c r="H410" s="80" t="s">
        <v>115</v>
      </c>
      <c r="I410" s="80" t="s">
        <v>842</v>
      </c>
      <c r="J410" s="80" t="s">
        <v>149</v>
      </c>
      <c r="K410" s="80">
        <v>26</v>
      </c>
      <c r="L410" s="80" t="s">
        <v>609</v>
      </c>
      <c r="M410" s="80" t="s">
        <v>610</v>
      </c>
      <c r="N410" s="80" t="s">
        <v>120</v>
      </c>
      <c r="O410" s="80" t="s">
        <v>611</v>
      </c>
      <c r="P410" s="80" t="s">
        <v>612</v>
      </c>
      <c r="Q410" s="80" t="s">
        <v>123</v>
      </c>
      <c r="R410" s="80" t="s">
        <v>174</v>
      </c>
      <c r="S410" s="80">
        <v>2</v>
      </c>
      <c r="T410" s="80">
        <v>6</v>
      </c>
      <c r="U410" s="80" t="s">
        <v>2011</v>
      </c>
      <c r="V410" s="80" t="s">
        <v>126</v>
      </c>
      <c r="W410" s="80" t="s">
        <v>127</v>
      </c>
      <c r="X410" s="80"/>
      <c r="Y410" s="80"/>
    </row>
    <row r="411" spans="1:25">
      <c r="A411" s="80">
        <f t="shared" si="6"/>
        <v>410</v>
      </c>
      <c r="B411" s="10">
        <v>45968.603067129603</v>
      </c>
      <c r="C411" s="80" t="s">
        <v>2004</v>
      </c>
      <c r="D411" s="80" t="s">
        <v>2376</v>
      </c>
      <c r="E411" s="80" t="s">
        <v>1936</v>
      </c>
      <c r="F411" s="80" t="s">
        <v>1937</v>
      </c>
      <c r="G411" s="80" t="s">
        <v>1938</v>
      </c>
      <c r="H411" s="80" t="s">
        <v>115</v>
      </c>
      <c r="I411" s="80" t="s">
        <v>865</v>
      </c>
      <c r="J411" s="80" t="s">
        <v>117</v>
      </c>
      <c r="K411" s="80">
        <v>11</v>
      </c>
      <c r="L411" s="80" t="s">
        <v>1939</v>
      </c>
      <c r="M411" s="80" t="s">
        <v>1940</v>
      </c>
      <c r="N411" s="80" t="s">
        <v>1941</v>
      </c>
      <c r="O411" s="80" t="s">
        <v>1942</v>
      </c>
      <c r="P411" s="80" t="s">
        <v>1943</v>
      </c>
      <c r="Q411" s="80" t="s">
        <v>123</v>
      </c>
      <c r="R411" s="80" t="s">
        <v>174</v>
      </c>
      <c r="S411" s="80">
        <v>4</v>
      </c>
      <c r="T411" s="80">
        <v>24</v>
      </c>
      <c r="U411" s="80" t="s">
        <v>2011</v>
      </c>
      <c r="V411" s="80" t="s">
        <v>126</v>
      </c>
      <c r="W411" s="80" t="s">
        <v>127</v>
      </c>
      <c r="X411" s="80"/>
      <c r="Y411" s="80"/>
    </row>
    <row r="412" spans="1:25">
      <c r="A412" s="80">
        <f t="shared" si="6"/>
        <v>411</v>
      </c>
      <c r="B412" s="10">
        <v>45968.603784722203</v>
      </c>
      <c r="C412" s="80" t="s">
        <v>157</v>
      </c>
      <c r="D412" s="80" t="s">
        <v>2377</v>
      </c>
      <c r="E412" s="80" t="s">
        <v>2378</v>
      </c>
      <c r="F412" s="80" t="s">
        <v>2379</v>
      </c>
      <c r="G412" s="80" t="s">
        <v>2380</v>
      </c>
      <c r="H412" s="80" t="s">
        <v>115</v>
      </c>
      <c r="I412" s="80" t="s">
        <v>865</v>
      </c>
      <c r="J412" s="80" t="s">
        <v>117</v>
      </c>
      <c r="K412" s="80">
        <v>14</v>
      </c>
      <c r="L412" s="80" t="s">
        <v>2381</v>
      </c>
      <c r="M412" s="80" t="s">
        <v>2382</v>
      </c>
      <c r="N412" s="80" t="s">
        <v>120</v>
      </c>
      <c r="O412" s="80" t="s">
        <v>152</v>
      </c>
      <c r="P412" s="80" t="s">
        <v>178</v>
      </c>
      <c r="Q412" s="80" t="s">
        <v>123</v>
      </c>
      <c r="R412" s="80" t="s">
        <v>174</v>
      </c>
      <c r="S412" s="80">
        <v>3</v>
      </c>
      <c r="T412" s="80">
        <v>12</v>
      </c>
      <c r="U412" s="80" t="s">
        <v>167</v>
      </c>
      <c r="V412" s="80" t="s">
        <v>126</v>
      </c>
      <c r="W412" s="80" t="s">
        <v>127</v>
      </c>
      <c r="X412" s="80"/>
      <c r="Y412" s="80"/>
    </row>
    <row r="413" spans="1:25">
      <c r="A413" s="80">
        <f t="shared" si="6"/>
        <v>412</v>
      </c>
      <c r="B413" s="10">
        <v>45968.604699074102</v>
      </c>
      <c r="C413" s="80" t="s">
        <v>2323</v>
      </c>
      <c r="D413" s="80" t="s">
        <v>2383</v>
      </c>
      <c r="E413" s="80" t="s">
        <v>2363</v>
      </c>
      <c r="F413" s="80" t="s">
        <v>2364</v>
      </c>
      <c r="G413" s="80" t="s">
        <v>2365</v>
      </c>
      <c r="H413" s="80" t="s">
        <v>115</v>
      </c>
      <c r="I413" s="80" t="s">
        <v>252</v>
      </c>
      <c r="J413" s="80" t="s">
        <v>461</v>
      </c>
      <c r="K413" s="80">
        <v>5</v>
      </c>
      <c r="L413" s="80" t="s">
        <v>2366</v>
      </c>
      <c r="M413" s="80" t="s">
        <v>2367</v>
      </c>
      <c r="N413" s="80" t="s">
        <v>120</v>
      </c>
      <c r="O413" s="80" t="s">
        <v>187</v>
      </c>
      <c r="P413" s="80" t="s">
        <v>2368</v>
      </c>
      <c r="Q413" s="80" t="s">
        <v>123</v>
      </c>
      <c r="R413" s="80" t="s">
        <v>136</v>
      </c>
      <c r="S413" s="80">
        <v>8</v>
      </c>
      <c r="T413" s="80">
        <v>12</v>
      </c>
      <c r="U413" s="80" t="s">
        <v>2330</v>
      </c>
      <c r="V413" s="80" t="s">
        <v>126</v>
      </c>
      <c r="W413" s="80" t="s">
        <v>127</v>
      </c>
      <c r="X413" s="80"/>
      <c r="Y413" s="80"/>
    </row>
    <row r="414" spans="1:25">
      <c r="A414" s="80">
        <f t="shared" si="6"/>
        <v>413</v>
      </c>
      <c r="B414" s="10">
        <v>45968.609097222201</v>
      </c>
      <c r="C414" s="80" t="s">
        <v>143</v>
      </c>
      <c r="D414" s="80" t="s">
        <v>2384</v>
      </c>
      <c r="E414" s="80" t="s">
        <v>654</v>
      </c>
      <c r="F414" s="80" t="s">
        <v>655</v>
      </c>
      <c r="G414" s="80" t="s">
        <v>656</v>
      </c>
      <c r="H414" s="80" t="s">
        <v>148</v>
      </c>
      <c r="I414" s="80" t="s">
        <v>46</v>
      </c>
      <c r="J414" s="80" t="s">
        <v>149</v>
      </c>
      <c r="K414" s="80">
        <v>13</v>
      </c>
      <c r="L414" s="80" t="s">
        <v>657</v>
      </c>
      <c r="M414" s="80" t="s">
        <v>658</v>
      </c>
      <c r="N414" s="80" t="s">
        <v>120</v>
      </c>
      <c r="O414" s="80" t="s">
        <v>152</v>
      </c>
      <c r="P414" s="80" t="s">
        <v>414</v>
      </c>
      <c r="Q414" s="80" t="s">
        <v>123</v>
      </c>
      <c r="R414" s="80" t="s">
        <v>136</v>
      </c>
      <c r="S414" s="80">
        <v>7</v>
      </c>
      <c r="T414" s="80">
        <v>24</v>
      </c>
      <c r="U414" s="80" t="s">
        <v>153</v>
      </c>
      <c r="V414" s="80" t="s">
        <v>126</v>
      </c>
      <c r="W414" s="80" t="s">
        <v>137</v>
      </c>
      <c r="X414" s="80"/>
      <c r="Y414" s="80"/>
    </row>
    <row r="415" spans="1:25">
      <c r="A415" s="80">
        <f t="shared" si="6"/>
        <v>414</v>
      </c>
      <c r="B415" s="10">
        <v>45968.609155092599</v>
      </c>
      <c r="C415" s="80" t="s">
        <v>297</v>
      </c>
      <c r="D415" s="80" t="s">
        <v>2385</v>
      </c>
      <c r="E415" s="80" t="s">
        <v>654</v>
      </c>
      <c r="F415" s="80" t="s">
        <v>655</v>
      </c>
      <c r="G415" s="80" t="s">
        <v>656</v>
      </c>
      <c r="H415" s="80" t="s">
        <v>148</v>
      </c>
      <c r="I415" s="80" t="s">
        <v>46</v>
      </c>
      <c r="J415" s="80" t="s">
        <v>149</v>
      </c>
      <c r="K415" s="80">
        <v>13</v>
      </c>
      <c r="L415" s="80" t="s">
        <v>657</v>
      </c>
      <c r="M415" s="80" t="s">
        <v>658</v>
      </c>
      <c r="N415" s="80" t="s">
        <v>120</v>
      </c>
      <c r="O415" s="80" t="s">
        <v>152</v>
      </c>
      <c r="P415" s="80" t="s">
        <v>414</v>
      </c>
      <c r="Q415" s="80" t="s">
        <v>123</v>
      </c>
      <c r="R415" s="80" t="s">
        <v>136</v>
      </c>
      <c r="S415" s="80">
        <v>7</v>
      </c>
      <c r="T415" s="80">
        <v>24</v>
      </c>
      <c r="U415" s="80" t="s">
        <v>305</v>
      </c>
      <c r="V415" s="80" t="s">
        <v>126</v>
      </c>
      <c r="W415" s="80" t="s">
        <v>137</v>
      </c>
      <c r="X415" s="80"/>
      <c r="Y415" s="80"/>
    </row>
    <row r="416" spans="1:25">
      <c r="A416" s="80">
        <f t="shared" si="6"/>
        <v>415</v>
      </c>
      <c r="B416" s="10">
        <v>45968.614976851903</v>
      </c>
      <c r="C416" s="80" t="s">
        <v>563</v>
      </c>
      <c r="D416" s="80" t="s">
        <v>2386</v>
      </c>
      <c r="E416" s="80" t="s">
        <v>2387</v>
      </c>
      <c r="F416" s="80" t="s">
        <v>2388</v>
      </c>
      <c r="G416" s="80" t="s">
        <v>2389</v>
      </c>
      <c r="H416" s="80" t="s">
        <v>115</v>
      </c>
      <c r="I416" s="80" t="s">
        <v>1069</v>
      </c>
      <c r="J416" s="80" t="s">
        <v>117</v>
      </c>
      <c r="K416" s="80">
        <v>4</v>
      </c>
      <c r="L416" s="80" t="s">
        <v>2390</v>
      </c>
      <c r="M416" s="80" t="s">
        <v>2391</v>
      </c>
      <c r="N416" s="80" t="s">
        <v>120</v>
      </c>
      <c r="O416" s="80" t="s">
        <v>152</v>
      </c>
      <c r="P416" s="80" t="s">
        <v>135</v>
      </c>
      <c r="Q416" s="80" t="s">
        <v>123</v>
      </c>
      <c r="R416" s="80" t="s">
        <v>136</v>
      </c>
      <c r="S416" s="80">
        <v>14</v>
      </c>
      <c r="T416" s="80">
        <v>24</v>
      </c>
      <c r="U416" s="80" t="s">
        <v>565</v>
      </c>
      <c r="V416" s="80" t="s">
        <v>126</v>
      </c>
      <c r="W416" s="80" t="s">
        <v>127</v>
      </c>
      <c r="X416" s="80"/>
      <c r="Y416" s="80"/>
    </row>
    <row r="417" spans="1:25">
      <c r="A417" s="80">
        <f t="shared" si="6"/>
        <v>416</v>
      </c>
      <c r="B417" s="10">
        <v>45968.615023148202</v>
      </c>
      <c r="C417" s="80" t="s">
        <v>880</v>
      </c>
      <c r="D417" s="80" t="s">
        <v>2392</v>
      </c>
      <c r="E417" s="80" t="s">
        <v>2387</v>
      </c>
      <c r="F417" s="80" t="s">
        <v>2388</v>
      </c>
      <c r="G417" s="80" t="s">
        <v>2389</v>
      </c>
      <c r="H417" s="80" t="s">
        <v>115</v>
      </c>
      <c r="I417" s="80" t="s">
        <v>1069</v>
      </c>
      <c r="J417" s="80" t="s">
        <v>117</v>
      </c>
      <c r="K417" s="80">
        <v>4</v>
      </c>
      <c r="L417" s="80" t="s">
        <v>2390</v>
      </c>
      <c r="M417" s="80" t="s">
        <v>2391</v>
      </c>
      <c r="N417" s="80" t="s">
        <v>120</v>
      </c>
      <c r="O417" s="80" t="s">
        <v>152</v>
      </c>
      <c r="P417" s="80" t="s">
        <v>135</v>
      </c>
      <c r="Q417" s="80" t="s">
        <v>123</v>
      </c>
      <c r="R417" s="80" t="s">
        <v>136</v>
      </c>
      <c r="S417" s="80">
        <v>14</v>
      </c>
      <c r="T417" s="80">
        <v>24</v>
      </c>
      <c r="U417" s="80" t="s">
        <v>882</v>
      </c>
      <c r="V417" s="80" t="s">
        <v>126</v>
      </c>
      <c r="W417" s="80" t="s">
        <v>127</v>
      </c>
      <c r="X417" s="80"/>
      <c r="Y417" s="80"/>
    </row>
    <row r="418" spans="1:25">
      <c r="A418" s="80">
        <f t="shared" si="6"/>
        <v>417</v>
      </c>
      <c r="B418" s="10">
        <v>45968.6160185185</v>
      </c>
      <c r="C418" s="80" t="s">
        <v>563</v>
      </c>
      <c r="D418" s="80" t="s">
        <v>2393</v>
      </c>
      <c r="E418" s="80" t="s">
        <v>2394</v>
      </c>
      <c r="F418" s="80" t="s">
        <v>2395</v>
      </c>
      <c r="G418" s="80" t="s">
        <v>2396</v>
      </c>
      <c r="H418" s="80" t="s">
        <v>115</v>
      </c>
      <c r="I418" s="80" t="s">
        <v>1069</v>
      </c>
      <c r="J418" s="80" t="s">
        <v>117</v>
      </c>
      <c r="K418" s="80">
        <v>16</v>
      </c>
      <c r="L418" s="80" t="s">
        <v>2397</v>
      </c>
      <c r="M418" s="80" t="s">
        <v>2398</v>
      </c>
      <c r="N418" s="80" t="s">
        <v>120</v>
      </c>
      <c r="O418" s="80" t="s">
        <v>327</v>
      </c>
      <c r="P418" s="80" t="s">
        <v>269</v>
      </c>
      <c r="Q418" s="80" t="s">
        <v>123</v>
      </c>
      <c r="R418" s="80" t="s">
        <v>174</v>
      </c>
      <c r="S418" s="80">
        <v>3</v>
      </c>
      <c r="T418" s="80">
        <v>24</v>
      </c>
      <c r="U418" s="80" t="s">
        <v>565</v>
      </c>
      <c r="V418" s="80" t="s">
        <v>126</v>
      </c>
      <c r="W418" s="80" t="s">
        <v>127</v>
      </c>
      <c r="X418" s="80"/>
      <c r="Y418" s="80"/>
    </row>
    <row r="419" spans="1:25">
      <c r="A419" s="80">
        <f t="shared" si="6"/>
        <v>418</v>
      </c>
      <c r="B419" s="10">
        <v>45968.616759259297</v>
      </c>
      <c r="C419" s="80" t="s">
        <v>110</v>
      </c>
      <c r="D419" s="80" t="s">
        <v>2399</v>
      </c>
      <c r="E419" s="80" t="s">
        <v>2400</v>
      </c>
      <c r="F419" s="80" t="s">
        <v>2401</v>
      </c>
      <c r="G419" s="80" t="s">
        <v>2402</v>
      </c>
      <c r="H419" s="80" t="s">
        <v>184</v>
      </c>
      <c r="I419" s="80" t="s">
        <v>50</v>
      </c>
      <c r="J419" s="80" t="s">
        <v>149</v>
      </c>
      <c r="K419" s="80">
        <v>10</v>
      </c>
      <c r="L419" s="80" t="s">
        <v>2403</v>
      </c>
      <c r="M419" s="80" t="s">
        <v>2404</v>
      </c>
      <c r="N419" s="80" t="s">
        <v>120</v>
      </c>
      <c r="O419" s="80" t="s">
        <v>2405</v>
      </c>
      <c r="P419" s="80" t="s">
        <v>135</v>
      </c>
      <c r="Q419" s="80" t="s">
        <v>123</v>
      </c>
      <c r="R419" s="80" t="s">
        <v>2406</v>
      </c>
      <c r="S419" s="80">
        <v>8</v>
      </c>
      <c r="T419" s="80">
        <v>18</v>
      </c>
      <c r="U419" s="80" t="s">
        <v>125</v>
      </c>
      <c r="V419" s="80" t="s">
        <v>126</v>
      </c>
      <c r="W419" s="80" t="s">
        <v>127</v>
      </c>
      <c r="X419" s="80"/>
      <c r="Y419" s="80"/>
    </row>
    <row r="420" spans="1:25">
      <c r="A420" s="80">
        <f t="shared" si="6"/>
        <v>419</v>
      </c>
      <c r="B420" s="10">
        <v>45968.621759259302</v>
      </c>
      <c r="C420" s="80" t="s">
        <v>157</v>
      </c>
      <c r="D420" s="80" t="s">
        <v>2407</v>
      </c>
      <c r="E420" s="80" t="s">
        <v>2387</v>
      </c>
      <c r="F420" s="80" t="s">
        <v>2388</v>
      </c>
      <c r="G420" s="80" t="s">
        <v>2389</v>
      </c>
      <c r="H420" s="80" t="s">
        <v>115</v>
      </c>
      <c r="I420" s="80" t="s">
        <v>1069</v>
      </c>
      <c r="J420" s="80" t="s">
        <v>117</v>
      </c>
      <c r="K420" s="80">
        <v>4</v>
      </c>
      <c r="L420" s="80" t="s">
        <v>2390</v>
      </c>
      <c r="M420" s="80" t="s">
        <v>2391</v>
      </c>
      <c r="N420" s="80" t="s">
        <v>120</v>
      </c>
      <c r="O420" s="80" t="s">
        <v>152</v>
      </c>
      <c r="P420" s="80" t="s">
        <v>135</v>
      </c>
      <c r="Q420" s="80" t="s">
        <v>123</v>
      </c>
      <c r="R420" s="80" t="s">
        <v>136</v>
      </c>
      <c r="S420" s="80">
        <v>14</v>
      </c>
      <c r="T420" s="80">
        <v>24</v>
      </c>
      <c r="U420" s="80" t="s">
        <v>167</v>
      </c>
      <c r="V420" s="80" t="s">
        <v>126</v>
      </c>
      <c r="W420" s="80" t="s">
        <v>127</v>
      </c>
      <c r="X420" s="80"/>
      <c r="Y420" s="80"/>
    </row>
    <row r="421" spans="1:25">
      <c r="A421" s="80">
        <f t="shared" si="6"/>
        <v>420</v>
      </c>
      <c r="B421" s="10">
        <v>45968.627916666701</v>
      </c>
      <c r="C421" s="80" t="s">
        <v>456</v>
      </c>
      <c r="D421" s="80" t="s">
        <v>2408</v>
      </c>
      <c r="E421" s="80" t="s">
        <v>2409</v>
      </c>
      <c r="F421" s="80" t="s">
        <v>2410</v>
      </c>
      <c r="G421" s="80" t="s">
        <v>2411</v>
      </c>
      <c r="H421" s="80" t="s">
        <v>148</v>
      </c>
      <c r="I421" s="80" t="s">
        <v>46</v>
      </c>
      <c r="J421" s="80" t="s">
        <v>149</v>
      </c>
      <c r="K421" s="80">
        <v>25</v>
      </c>
      <c r="L421" s="80" t="s">
        <v>2412</v>
      </c>
      <c r="M421" s="80" t="s">
        <v>2413</v>
      </c>
      <c r="N421" s="80" t="s">
        <v>164</v>
      </c>
      <c r="O421" s="80" t="s">
        <v>720</v>
      </c>
      <c r="P421" s="80" t="s">
        <v>214</v>
      </c>
      <c r="Q421" s="80" t="s">
        <v>123</v>
      </c>
      <c r="R421" s="80" t="s">
        <v>136</v>
      </c>
      <c r="S421" s="80">
        <v>10</v>
      </c>
      <c r="T421" s="80">
        <v>18</v>
      </c>
      <c r="U421" s="80" t="s">
        <v>466</v>
      </c>
      <c r="V421" s="80" t="s">
        <v>126</v>
      </c>
      <c r="W421" s="80" t="s">
        <v>2414</v>
      </c>
      <c r="X421" s="80"/>
      <c r="Y421" s="80"/>
    </row>
    <row r="422" spans="1:25" ht="75">
      <c r="A422" s="80">
        <f t="shared" si="6"/>
        <v>421</v>
      </c>
      <c r="B422" s="10">
        <v>45968.641377314802</v>
      </c>
      <c r="C422" s="80" t="s">
        <v>359</v>
      </c>
      <c r="D422" s="80" t="s">
        <v>2415</v>
      </c>
      <c r="E422" s="80" t="s">
        <v>2416</v>
      </c>
      <c r="F422" s="80" t="s">
        <v>2417</v>
      </c>
      <c r="G422" s="80" t="s">
        <v>2418</v>
      </c>
      <c r="H422" s="80" t="s">
        <v>148</v>
      </c>
      <c r="I422" s="80" t="s">
        <v>44</v>
      </c>
      <c r="J422" s="80" t="s">
        <v>149</v>
      </c>
      <c r="K422" s="80">
        <v>16</v>
      </c>
      <c r="L422" s="80" t="s">
        <v>2419</v>
      </c>
      <c r="M422" s="80" t="s">
        <v>2420</v>
      </c>
      <c r="N422" s="80" t="s">
        <v>120</v>
      </c>
      <c r="O422" s="80" t="s">
        <v>213</v>
      </c>
      <c r="P422" s="80" t="s">
        <v>295</v>
      </c>
      <c r="Q422" s="80" t="s">
        <v>123</v>
      </c>
      <c r="R422" s="80" t="s">
        <v>136</v>
      </c>
      <c r="S422" s="80">
        <v>3</v>
      </c>
      <c r="T422" s="80">
        <v>30</v>
      </c>
      <c r="U422" s="80" t="s">
        <v>361</v>
      </c>
      <c r="V422" s="80" t="s">
        <v>126</v>
      </c>
      <c r="W422" s="80" t="s">
        <v>204</v>
      </c>
      <c r="X422" s="80" t="s">
        <v>205</v>
      </c>
      <c r="Y422" s="12" t="s">
        <v>2421</v>
      </c>
    </row>
    <row r="423" spans="1:25">
      <c r="A423" s="80">
        <f t="shared" si="6"/>
        <v>422</v>
      </c>
      <c r="B423" s="10">
        <v>45968.651087963</v>
      </c>
      <c r="C423" s="80" t="s">
        <v>362</v>
      </c>
      <c r="D423" s="80" t="s">
        <v>2422</v>
      </c>
      <c r="E423" s="80" t="s">
        <v>2423</v>
      </c>
      <c r="F423" s="80" t="s">
        <v>1023</v>
      </c>
      <c r="G423" s="80" t="s">
        <v>2424</v>
      </c>
      <c r="H423" s="80" t="s">
        <v>115</v>
      </c>
      <c r="I423" s="80" t="s">
        <v>1383</v>
      </c>
      <c r="J423" s="80" t="s">
        <v>117</v>
      </c>
      <c r="K423" s="80">
        <v>7</v>
      </c>
      <c r="L423" s="80" t="s">
        <v>2425</v>
      </c>
      <c r="M423" s="80" t="s">
        <v>2426</v>
      </c>
      <c r="N423" s="80" t="s">
        <v>164</v>
      </c>
      <c r="O423" s="80" t="s">
        <v>202</v>
      </c>
      <c r="P423" s="80" t="s">
        <v>1943</v>
      </c>
      <c r="Q423" s="80" t="s">
        <v>123</v>
      </c>
      <c r="R423" s="80" t="s">
        <v>174</v>
      </c>
      <c r="S423" s="80">
        <v>14</v>
      </c>
      <c r="T423" s="80">
        <v>30</v>
      </c>
      <c r="U423" s="80" t="s">
        <v>364</v>
      </c>
      <c r="V423" s="80" t="s">
        <v>126</v>
      </c>
      <c r="W423" s="80" t="s">
        <v>127</v>
      </c>
      <c r="X423" s="80"/>
      <c r="Y423" s="80"/>
    </row>
    <row r="424" spans="1:25">
      <c r="A424" s="80">
        <f t="shared" si="6"/>
        <v>423</v>
      </c>
      <c r="B424" s="10">
        <v>45968.656006944402</v>
      </c>
      <c r="C424" s="80" t="s">
        <v>157</v>
      </c>
      <c r="D424" s="80" t="s">
        <v>2427</v>
      </c>
      <c r="E424" s="80" t="s">
        <v>2428</v>
      </c>
      <c r="F424" s="80" t="s">
        <v>2429</v>
      </c>
      <c r="G424" s="80" t="s">
        <v>2430</v>
      </c>
      <c r="H424" s="80" t="s">
        <v>115</v>
      </c>
      <c r="I424" s="80" t="s">
        <v>1410</v>
      </c>
      <c r="J424" s="80" t="s">
        <v>117</v>
      </c>
      <c r="K424" s="80">
        <v>5</v>
      </c>
      <c r="L424" s="80" t="s">
        <v>2431</v>
      </c>
      <c r="M424" s="80" t="s">
        <v>2432</v>
      </c>
      <c r="N424" s="80" t="s">
        <v>120</v>
      </c>
      <c r="O424" s="80" t="s">
        <v>572</v>
      </c>
      <c r="P424" s="80" t="s">
        <v>135</v>
      </c>
      <c r="Q424" s="80" t="s">
        <v>123</v>
      </c>
      <c r="R424" s="80" t="s">
        <v>136</v>
      </c>
      <c r="S424" s="80">
        <v>4</v>
      </c>
      <c r="T424" s="80">
        <v>18</v>
      </c>
      <c r="U424" s="80" t="s">
        <v>167</v>
      </c>
      <c r="V424" s="80" t="s">
        <v>126</v>
      </c>
      <c r="W424" s="80" t="s">
        <v>127</v>
      </c>
      <c r="X424" s="80"/>
      <c r="Y424" s="80"/>
    </row>
    <row r="425" spans="1:25">
      <c r="A425" s="80">
        <f t="shared" si="6"/>
        <v>424</v>
      </c>
      <c r="B425" s="10">
        <v>45968.658090277801</v>
      </c>
      <c r="C425" s="80" t="s">
        <v>329</v>
      </c>
      <c r="D425" s="80" t="s">
        <v>2433</v>
      </c>
      <c r="E425" s="80" t="s">
        <v>2285</v>
      </c>
      <c r="F425" s="80" t="s">
        <v>2286</v>
      </c>
      <c r="G425" s="80" t="s">
        <v>2287</v>
      </c>
      <c r="H425" s="80" t="s">
        <v>174</v>
      </c>
      <c r="I425" s="80" t="s">
        <v>173</v>
      </c>
      <c r="J425" s="80" t="s">
        <v>149</v>
      </c>
      <c r="K425" s="80">
        <v>14</v>
      </c>
      <c r="L425" s="80" t="s">
        <v>2288</v>
      </c>
      <c r="M425" s="80" t="s">
        <v>2289</v>
      </c>
      <c r="N425" s="80" t="s">
        <v>120</v>
      </c>
      <c r="O425" s="80" t="s">
        <v>121</v>
      </c>
      <c r="P425" s="80" t="s">
        <v>2290</v>
      </c>
      <c r="Q425" s="80" t="s">
        <v>123</v>
      </c>
      <c r="R425" s="80" t="s">
        <v>174</v>
      </c>
      <c r="S425" s="80">
        <v>6</v>
      </c>
      <c r="T425" s="80">
        <v>12</v>
      </c>
      <c r="U425" s="80" t="s">
        <v>336</v>
      </c>
      <c r="V425" s="80" t="s">
        <v>126</v>
      </c>
      <c r="W425" s="80" t="s">
        <v>127</v>
      </c>
      <c r="X425" s="80"/>
      <c r="Y425" s="80"/>
    </row>
    <row r="426" spans="1:25">
      <c r="A426" s="80">
        <f t="shared" si="6"/>
        <v>425</v>
      </c>
      <c r="B426" s="10">
        <v>45968.660451388903</v>
      </c>
      <c r="C426" s="80" t="s">
        <v>329</v>
      </c>
      <c r="D426" s="80" t="s">
        <v>2434</v>
      </c>
      <c r="E426" s="80" t="s">
        <v>2435</v>
      </c>
      <c r="F426" s="80" t="s">
        <v>2436</v>
      </c>
      <c r="G426" s="80" t="s">
        <v>2437</v>
      </c>
      <c r="H426" s="80" t="s">
        <v>115</v>
      </c>
      <c r="I426" s="80" t="s">
        <v>865</v>
      </c>
      <c r="J426" s="80" t="s">
        <v>117</v>
      </c>
      <c r="K426" s="80">
        <v>18</v>
      </c>
      <c r="L426" s="80" t="s">
        <v>2438</v>
      </c>
      <c r="M426" s="80" t="s">
        <v>2439</v>
      </c>
      <c r="N426" s="80" t="s">
        <v>164</v>
      </c>
      <c r="O426" s="80" t="s">
        <v>1501</v>
      </c>
      <c r="P426" s="80" t="s">
        <v>135</v>
      </c>
      <c r="Q426" s="80" t="s">
        <v>123</v>
      </c>
      <c r="R426" s="80" t="s">
        <v>174</v>
      </c>
      <c r="S426" s="80">
        <v>10</v>
      </c>
      <c r="T426" s="80">
        <v>24</v>
      </c>
      <c r="U426" s="80" t="s">
        <v>336</v>
      </c>
      <c r="V426" s="80" t="s">
        <v>126</v>
      </c>
      <c r="W426" s="80" t="s">
        <v>127</v>
      </c>
      <c r="X426" s="80"/>
      <c r="Y426" s="80"/>
    </row>
    <row r="427" spans="1:25">
      <c r="A427" s="80">
        <f t="shared" si="6"/>
        <v>426</v>
      </c>
      <c r="B427" s="10">
        <v>45968.660833333299</v>
      </c>
      <c r="C427" s="80" t="s">
        <v>110</v>
      </c>
      <c r="D427" s="80" t="s">
        <v>2440</v>
      </c>
      <c r="E427" s="80" t="s">
        <v>2441</v>
      </c>
      <c r="F427" s="80" t="s">
        <v>2442</v>
      </c>
      <c r="G427" s="80" t="s">
        <v>2443</v>
      </c>
      <c r="H427" s="80" t="s">
        <v>115</v>
      </c>
      <c r="I427" s="80" t="s">
        <v>849</v>
      </c>
      <c r="J427" s="80" t="s">
        <v>117</v>
      </c>
      <c r="K427" s="80">
        <v>5</v>
      </c>
      <c r="L427" s="80" t="s">
        <v>2444</v>
      </c>
      <c r="M427" s="80" t="s">
        <v>2445</v>
      </c>
      <c r="N427" s="80" t="s">
        <v>120</v>
      </c>
      <c r="O427" s="80" t="s">
        <v>240</v>
      </c>
      <c r="P427" s="80" t="s">
        <v>135</v>
      </c>
      <c r="Q427" s="80" t="s">
        <v>123</v>
      </c>
      <c r="R427" s="80" t="s">
        <v>136</v>
      </c>
      <c r="S427" s="80">
        <v>16</v>
      </c>
      <c r="T427" s="80">
        <v>24</v>
      </c>
      <c r="U427" s="80" t="s">
        <v>125</v>
      </c>
      <c r="V427" s="80" t="s">
        <v>126</v>
      </c>
      <c r="W427" s="80" t="s">
        <v>127</v>
      </c>
      <c r="X427" s="80"/>
      <c r="Y427" s="80"/>
    </row>
    <row r="428" spans="1:25">
      <c r="A428" s="80">
        <f t="shared" si="6"/>
        <v>427</v>
      </c>
      <c r="B428" s="10">
        <v>45968.662071759303</v>
      </c>
      <c r="C428" s="80" t="s">
        <v>818</v>
      </c>
      <c r="D428" s="80" t="s">
        <v>2446</v>
      </c>
      <c r="E428" s="80" t="s">
        <v>2416</v>
      </c>
      <c r="F428" s="80" t="s">
        <v>2417</v>
      </c>
      <c r="G428" s="80" t="s">
        <v>2418</v>
      </c>
      <c r="H428" s="80" t="s">
        <v>148</v>
      </c>
      <c r="I428" s="80" t="s">
        <v>44</v>
      </c>
      <c r="J428" s="80" t="s">
        <v>149</v>
      </c>
      <c r="K428" s="80">
        <v>16</v>
      </c>
      <c r="L428" s="80" t="s">
        <v>2419</v>
      </c>
      <c r="M428" s="80" t="s">
        <v>2420</v>
      </c>
      <c r="N428" s="80" t="s">
        <v>120</v>
      </c>
      <c r="O428" s="80" t="s">
        <v>213</v>
      </c>
      <c r="P428" s="80" t="s">
        <v>295</v>
      </c>
      <c r="Q428" s="80" t="s">
        <v>123</v>
      </c>
      <c r="R428" s="80" t="s">
        <v>136</v>
      </c>
      <c r="S428" s="80">
        <v>3</v>
      </c>
      <c r="T428" s="80">
        <v>30</v>
      </c>
      <c r="U428" s="80" t="s">
        <v>825</v>
      </c>
      <c r="V428" s="80" t="s">
        <v>126</v>
      </c>
      <c r="W428" s="80"/>
      <c r="X428" s="80" t="s">
        <v>205</v>
      </c>
      <c r="Y428" s="80"/>
    </row>
    <row r="429" spans="1:25">
      <c r="A429" s="80">
        <f t="shared" si="6"/>
        <v>428</v>
      </c>
      <c r="B429" s="10">
        <v>45968.664976851898</v>
      </c>
      <c r="C429" s="80" t="s">
        <v>840</v>
      </c>
      <c r="D429" s="80" t="s">
        <v>2447</v>
      </c>
      <c r="E429" s="80" t="s">
        <v>2448</v>
      </c>
      <c r="F429" s="80" t="s">
        <v>2449</v>
      </c>
      <c r="G429" s="80" t="s">
        <v>2450</v>
      </c>
      <c r="H429" s="80" t="s">
        <v>115</v>
      </c>
      <c r="I429" s="80" t="s">
        <v>1069</v>
      </c>
      <c r="J429" s="80" t="s">
        <v>117</v>
      </c>
      <c r="K429" s="80">
        <v>3</v>
      </c>
      <c r="L429" s="80" t="s">
        <v>2451</v>
      </c>
      <c r="M429" s="80" t="s">
        <v>2452</v>
      </c>
      <c r="N429" s="80" t="s">
        <v>120</v>
      </c>
      <c r="O429" s="80" t="s">
        <v>247</v>
      </c>
      <c r="P429" s="80" t="s">
        <v>122</v>
      </c>
      <c r="Q429" s="80" t="s">
        <v>123</v>
      </c>
      <c r="R429" s="80" t="s">
        <v>136</v>
      </c>
      <c r="S429" s="80">
        <v>4</v>
      </c>
      <c r="T429" s="80">
        <v>18</v>
      </c>
      <c r="U429" s="80" t="s">
        <v>843</v>
      </c>
      <c r="V429" s="80" t="s">
        <v>126</v>
      </c>
      <c r="W429" s="80" t="s">
        <v>127</v>
      </c>
      <c r="X429" s="80"/>
      <c r="Y429" s="80"/>
    </row>
    <row r="430" spans="1:25">
      <c r="A430" s="80">
        <f t="shared" si="6"/>
        <v>429</v>
      </c>
      <c r="B430" s="10">
        <v>45968.6651388889</v>
      </c>
      <c r="C430" s="80" t="s">
        <v>456</v>
      </c>
      <c r="D430" s="80" t="s">
        <v>2453</v>
      </c>
      <c r="E430" s="80" t="s">
        <v>2454</v>
      </c>
      <c r="F430" s="80" t="s">
        <v>2455</v>
      </c>
      <c r="G430" s="80" t="s">
        <v>2456</v>
      </c>
      <c r="H430" s="80" t="s">
        <v>477</v>
      </c>
      <c r="I430" s="80" t="s">
        <v>44</v>
      </c>
      <c r="J430" s="80" t="s">
        <v>149</v>
      </c>
      <c r="K430" s="80">
        <v>24</v>
      </c>
      <c r="L430" s="80" t="s">
        <v>2457</v>
      </c>
      <c r="M430" s="80" t="s">
        <v>2458</v>
      </c>
      <c r="N430" s="80" t="s">
        <v>164</v>
      </c>
      <c r="O430" s="80" t="s">
        <v>720</v>
      </c>
      <c r="P430" s="80" t="s">
        <v>465</v>
      </c>
      <c r="Q430" s="80" t="s">
        <v>123</v>
      </c>
      <c r="R430" s="80" t="s">
        <v>136</v>
      </c>
      <c r="S430" s="80">
        <v>6</v>
      </c>
      <c r="T430" s="80">
        <v>24</v>
      </c>
      <c r="U430" s="80" t="s">
        <v>466</v>
      </c>
      <c r="V430" s="80" t="s">
        <v>126</v>
      </c>
      <c r="W430" s="80" t="s">
        <v>2414</v>
      </c>
      <c r="X430" s="80"/>
      <c r="Y430" s="80"/>
    </row>
    <row r="431" spans="1:25">
      <c r="A431" s="80">
        <f t="shared" si="6"/>
        <v>430</v>
      </c>
      <c r="B431" s="10">
        <v>45968.678321759297</v>
      </c>
      <c r="C431" s="80" t="s">
        <v>320</v>
      </c>
      <c r="D431" s="80" t="s">
        <v>2459</v>
      </c>
      <c r="E431" s="80" t="s">
        <v>2460</v>
      </c>
      <c r="F431" s="80" t="s">
        <v>2461</v>
      </c>
      <c r="G431" s="80" t="s">
        <v>2462</v>
      </c>
      <c r="H431" s="80" t="s">
        <v>115</v>
      </c>
      <c r="I431" s="80" t="s">
        <v>865</v>
      </c>
      <c r="J431" s="80" t="s">
        <v>149</v>
      </c>
      <c r="K431" s="80">
        <v>6</v>
      </c>
      <c r="L431" s="80" t="s">
        <v>2463</v>
      </c>
      <c r="M431" s="80" t="s">
        <v>2464</v>
      </c>
      <c r="N431" s="80" t="s">
        <v>120</v>
      </c>
      <c r="O431" s="80" t="s">
        <v>240</v>
      </c>
      <c r="P431" s="80" t="s">
        <v>135</v>
      </c>
      <c r="Q431" s="80" t="s">
        <v>123</v>
      </c>
      <c r="R431" s="80" t="s">
        <v>124</v>
      </c>
      <c r="S431" s="80">
        <v>1</v>
      </c>
      <c r="T431" s="80">
        <v>12</v>
      </c>
      <c r="U431" s="80" t="s">
        <v>328</v>
      </c>
      <c r="V431" s="80" t="s">
        <v>126</v>
      </c>
      <c r="W431" s="80" t="s">
        <v>127</v>
      </c>
      <c r="X431" s="80"/>
      <c r="Y431" s="80"/>
    </row>
    <row r="432" spans="1:25">
      <c r="A432" s="80">
        <f t="shared" si="6"/>
        <v>431</v>
      </c>
      <c r="B432" s="10">
        <v>45968.679502314801</v>
      </c>
      <c r="C432" s="80" t="s">
        <v>320</v>
      </c>
      <c r="D432" s="80" t="s">
        <v>2465</v>
      </c>
      <c r="E432" s="80" t="s">
        <v>2428</v>
      </c>
      <c r="F432" s="80" t="s">
        <v>2429</v>
      </c>
      <c r="G432" s="80" t="s">
        <v>2430</v>
      </c>
      <c r="H432" s="80" t="s">
        <v>115</v>
      </c>
      <c r="I432" s="80" t="s">
        <v>1410</v>
      </c>
      <c r="J432" s="80" t="s">
        <v>117</v>
      </c>
      <c r="K432" s="80">
        <v>5</v>
      </c>
      <c r="L432" s="80" t="s">
        <v>2431</v>
      </c>
      <c r="M432" s="80" t="s">
        <v>2432</v>
      </c>
      <c r="N432" s="80" t="s">
        <v>120</v>
      </c>
      <c r="O432" s="80" t="s">
        <v>572</v>
      </c>
      <c r="P432" s="80" t="s">
        <v>135</v>
      </c>
      <c r="Q432" s="80" t="s">
        <v>123</v>
      </c>
      <c r="R432" s="80" t="s">
        <v>136</v>
      </c>
      <c r="S432" s="80">
        <v>4</v>
      </c>
      <c r="T432" s="80">
        <v>18</v>
      </c>
      <c r="U432" s="80" t="s">
        <v>328</v>
      </c>
      <c r="V432" s="80" t="s">
        <v>126</v>
      </c>
      <c r="W432" s="80" t="s">
        <v>127</v>
      </c>
      <c r="X432" s="80"/>
      <c r="Y432" s="80"/>
    </row>
    <row r="433" spans="1:25">
      <c r="A433" s="80">
        <f t="shared" si="6"/>
        <v>432</v>
      </c>
      <c r="B433" s="10">
        <v>45968.686921296299</v>
      </c>
      <c r="C433" s="80" t="s">
        <v>222</v>
      </c>
      <c r="D433" s="80" t="s">
        <v>2466</v>
      </c>
      <c r="E433" s="80" t="s">
        <v>2428</v>
      </c>
      <c r="F433" s="80" t="s">
        <v>2429</v>
      </c>
      <c r="G433" s="80" t="s">
        <v>2430</v>
      </c>
      <c r="H433" s="80" t="s">
        <v>115</v>
      </c>
      <c r="I433" s="80" t="s">
        <v>1410</v>
      </c>
      <c r="J433" s="80" t="s">
        <v>117</v>
      </c>
      <c r="K433" s="80">
        <v>5</v>
      </c>
      <c r="L433" s="80" t="s">
        <v>2431</v>
      </c>
      <c r="M433" s="80" t="s">
        <v>2432</v>
      </c>
      <c r="N433" s="80" t="s">
        <v>120</v>
      </c>
      <c r="O433" s="80" t="s">
        <v>572</v>
      </c>
      <c r="P433" s="80" t="s">
        <v>135</v>
      </c>
      <c r="Q433" s="80" t="s">
        <v>123</v>
      </c>
      <c r="R433" s="80" t="s">
        <v>136</v>
      </c>
      <c r="S433" s="80">
        <v>4</v>
      </c>
      <c r="T433" s="80">
        <v>18</v>
      </c>
      <c r="U433" s="80" t="s">
        <v>232</v>
      </c>
      <c r="V433" s="80" t="s">
        <v>126</v>
      </c>
      <c r="W433" s="80" t="s">
        <v>127</v>
      </c>
      <c r="X433" s="80"/>
      <c r="Y433" s="80"/>
    </row>
    <row r="434" spans="1:25">
      <c r="A434" s="80">
        <f t="shared" si="6"/>
        <v>433</v>
      </c>
      <c r="B434" s="10">
        <v>45968.687083333301</v>
      </c>
      <c r="C434" s="80" t="s">
        <v>1305</v>
      </c>
      <c r="D434" s="80" t="s">
        <v>2467</v>
      </c>
      <c r="E434" s="80" t="s">
        <v>2428</v>
      </c>
      <c r="F434" s="80" t="s">
        <v>2429</v>
      </c>
      <c r="G434" s="80" t="s">
        <v>2430</v>
      </c>
      <c r="H434" s="80" t="s">
        <v>115</v>
      </c>
      <c r="I434" s="80" t="s">
        <v>1410</v>
      </c>
      <c r="J434" s="80" t="s">
        <v>117</v>
      </c>
      <c r="K434" s="80">
        <v>5</v>
      </c>
      <c r="L434" s="80" t="s">
        <v>2431</v>
      </c>
      <c r="M434" s="80" t="s">
        <v>2432</v>
      </c>
      <c r="N434" s="80" t="s">
        <v>120</v>
      </c>
      <c r="O434" s="80" t="s">
        <v>572</v>
      </c>
      <c r="P434" s="80" t="s">
        <v>135</v>
      </c>
      <c r="Q434" s="80" t="s">
        <v>123</v>
      </c>
      <c r="R434" s="80" t="s">
        <v>136</v>
      </c>
      <c r="S434" s="80">
        <v>4</v>
      </c>
      <c r="T434" s="80">
        <v>18</v>
      </c>
      <c r="U434" s="80" t="s">
        <v>1312</v>
      </c>
      <c r="V434" s="80" t="s">
        <v>126</v>
      </c>
      <c r="W434" s="80" t="s">
        <v>127</v>
      </c>
      <c r="X434" s="80"/>
      <c r="Y434" s="80"/>
    </row>
    <row r="435" spans="1:25">
      <c r="A435" s="80">
        <f t="shared" si="6"/>
        <v>434</v>
      </c>
      <c r="B435" s="10">
        <v>45968.7035763889</v>
      </c>
      <c r="C435" s="80" t="s">
        <v>2188</v>
      </c>
      <c r="D435" s="80" t="s">
        <v>2468</v>
      </c>
      <c r="E435" s="80" t="s">
        <v>2469</v>
      </c>
      <c r="F435" s="80" t="s">
        <v>2470</v>
      </c>
      <c r="G435" s="80" t="s">
        <v>2471</v>
      </c>
      <c r="H435" s="80" t="s">
        <v>115</v>
      </c>
      <c r="I435" s="80" t="s">
        <v>865</v>
      </c>
      <c r="J435" s="80" t="s">
        <v>117</v>
      </c>
      <c r="K435" s="80">
        <v>13</v>
      </c>
      <c r="L435" s="80" t="s">
        <v>2472</v>
      </c>
      <c r="M435" s="80" t="s">
        <v>2473</v>
      </c>
      <c r="N435" s="80" t="s">
        <v>164</v>
      </c>
      <c r="O435" s="80" t="s">
        <v>406</v>
      </c>
      <c r="P435" s="80" t="s">
        <v>407</v>
      </c>
      <c r="Q435" s="80" t="s">
        <v>123</v>
      </c>
      <c r="R435" s="80" t="s">
        <v>174</v>
      </c>
      <c r="S435" s="80">
        <v>12</v>
      </c>
      <c r="T435" s="80">
        <v>18</v>
      </c>
      <c r="U435" s="80" t="s">
        <v>2195</v>
      </c>
      <c r="V435" s="80" t="s">
        <v>126</v>
      </c>
      <c r="W435" s="80" t="s">
        <v>127</v>
      </c>
      <c r="X435" s="80"/>
      <c r="Y435" s="80"/>
    </row>
    <row r="436" spans="1:25">
      <c r="A436" s="80">
        <f t="shared" si="6"/>
        <v>435</v>
      </c>
      <c r="B436" s="10">
        <v>45968.717731481498</v>
      </c>
      <c r="C436" s="80" t="s">
        <v>494</v>
      </c>
      <c r="D436" s="80" t="s">
        <v>2474</v>
      </c>
      <c r="E436" s="80" t="s">
        <v>2475</v>
      </c>
      <c r="F436" s="80" t="s">
        <v>2476</v>
      </c>
      <c r="G436" s="80" t="s">
        <v>2477</v>
      </c>
      <c r="H436" s="80" t="s">
        <v>115</v>
      </c>
      <c r="I436" s="80" t="s">
        <v>865</v>
      </c>
      <c r="J436" s="80" t="s">
        <v>117</v>
      </c>
      <c r="K436" s="80">
        <v>13</v>
      </c>
      <c r="L436" s="80" t="s">
        <v>2478</v>
      </c>
      <c r="M436" s="80" t="s">
        <v>2479</v>
      </c>
      <c r="N436" s="80" t="s">
        <v>164</v>
      </c>
      <c r="O436" s="80" t="s">
        <v>2480</v>
      </c>
      <c r="P436" s="80" t="s">
        <v>539</v>
      </c>
      <c r="Q436" s="80" t="s">
        <v>123</v>
      </c>
      <c r="R436" s="80" t="s">
        <v>174</v>
      </c>
      <c r="S436" s="80">
        <v>12</v>
      </c>
      <c r="T436" s="80">
        <v>24</v>
      </c>
      <c r="U436" s="80" t="s">
        <v>503</v>
      </c>
      <c r="V436" s="80" t="s">
        <v>126</v>
      </c>
      <c r="W436" s="80" t="s">
        <v>137</v>
      </c>
      <c r="X436" s="80"/>
      <c r="Y436" s="80"/>
    </row>
    <row r="437" spans="1:25">
      <c r="A437" s="80">
        <f t="shared" si="6"/>
        <v>436</v>
      </c>
      <c r="B437" s="10">
        <v>45968.7270138889</v>
      </c>
      <c r="C437" s="80" t="s">
        <v>1224</v>
      </c>
      <c r="D437" s="80" t="s">
        <v>2481</v>
      </c>
      <c r="E437" s="80" t="s">
        <v>2482</v>
      </c>
      <c r="F437" s="80" t="s">
        <v>2483</v>
      </c>
      <c r="G437" s="80" t="s">
        <v>2484</v>
      </c>
      <c r="H437" s="80" t="s">
        <v>477</v>
      </c>
      <c r="I437" s="80" t="s">
        <v>1165</v>
      </c>
      <c r="J437" s="80" t="s">
        <v>149</v>
      </c>
      <c r="K437" s="80">
        <v>20</v>
      </c>
      <c r="L437" s="80" t="s">
        <v>2485</v>
      </c>
      <c r="M437" s="80" t="s">
        <v>2486</v>
      </c>
      <c r="N437" s="80" t="s">
        <v>120</v>
      </c>
      <c r="O437" s="80" t="s">
        <v>1231</v>
      </c>
      <c r="P437" s="80" t="s">
        <v>269</v>
      </c>
      <c r="Q437" s="80" t="s">
        <v>123</v>
      </c>
      <c r="R437" s="80" t="s">
        <v>136</v>
      </c>
      <c r="S437" s="80">
        <v>5</v>
      </c>
      <c r="T437" s="80">
        <v>12</v>
      </c>
      <c r="U437" s="80" t="s">
        <v>1232</v>
      </c>
      <c r="V437" s="80" t="s">
        <v>126</v>
      </c>
      <c r="W437" s="80" t="s">
        <v>1770</v>
      </c>
      <c r="X437" s="80"/>
      <c r="Y437" s="80"/>
    </row>
    <row r="438" spans="1:25">
      <c r="A438" s="80">
        <f t="shared" si="6"/>
        <v>437</v>
      </c>
      <c r="B438" s="10">
        <v>45968.729131944398</v>
      </c>
      <c r="C438" s="80" t="s">
        <v>157</v>
      </c>
      <c r="D438" s="80" t="s">
        <v>2487</v>
      </c>
      <c r="E438" s="80" t="s">
        <v>2212</v>
      </c>
      <c r="F438" s="80" t="s">
        <v>2213</v>
      </c>
      <c r="G438" s="80" t="s">
        <v>2214</v>
      </c>
      <c r="H438" s="80" t="s">
        <v>115</v>
      </c>
      <c r="I438" s="80" t="s">
        <v>865</v>
      </c>
      <c r="J438" s="80" t="s">
        <v>117</v>
      </c>
      <c r="K438" s="80">
        <v>6</v>
      </c>
      <c r="L438" s="80" t="s">
        <v>2215</v>
      </c>
      <c r="M438" s="80" t="s">
        <v>2216</v>
      </c>
      <c r="N438" s="80" t="s">
        <v>120</v>
      </c>
      <c r="O438" s="80" t="s">
        <v>2217</v>
      </c>
      <c r="P438" s="80" t="s">
        <v>135</v>
      </c>
      <c r="Q438" s="80" t="s">
        <v>123</v>
      </c>
      <c r="R438" s="80" t="s">
        <v>124</v>
      </c>
      <c r="S438" s="80">
        <v>3</v>
      </c>
      <c r="T438" s="80">
        <v>18</v>
      </c>
      <c r="U438" s="80" t="s">
        <v>167</v>
      </c>
      <c r="V438" s="80" t="s">
        <v>126</v>
      </c>
      <c r="W438" s="80" t="s">
        <v>127</v>
      </c>
      <c r="X438" s="80"/>
      <c r="Y438" s="80"/>
    </row>
    <row r="439" spans="1:25">
      <c r="A439" s="80">
        <f t="shared" si="6"/>
        <v>438</v>
      </c>
      <c r="B439" s="10">
        <v>45968.744733796302</v>
      </c>
      <c r="C439" s="80" t="s">
        <v>2012</v>
      </c>
      <c r="D439" s="80" t="s">
        <v>2488</v>
      </c>
      <c r="E439" s="80" t="s">
        <v>2489</v>
      </c>
      <c r="F439" s="80" t="s">
        <v>2490</v>
      </c>
      <c r="G439" s="80" t="s">
        <v>2491</v>
      </c>
      <c r="H439" s="80" t="s">
        <v>115</v>
      </c>
      <c r="I439" s="80" t="s">
        <v>865</v>
      </c>
      <c r="J439" s="80" t="s">
        <v>117</v>
      </c>
      <c r="K439" s="80">
        <v>13</v>
      </c>
      <c r="L439" s="80" t="s">
        <v>2492</v>
      </c>
      <c r="M439" s="80" t="s">
        <v>2493</v>
      </c>
      <c r="N439" s="80" t="s">
        <v>164</v>
      </c>
      <c r="O439" s="80" t="s">
        <v>2262</v>
      </c>
      <c r="P439" s="80" t="s">
        <v>214</v>
      </c>
      <c r="Q439" s="80" t="s">
        <v>123</v>
      </c>
      <c r="R439" s="80" t="s">
        <v>174</v>
      </c>
      <c r="S439" s="80">
        <v>9</v>
      </c>
      <c r="T439" s="80">
        <v>12</v>
      </c>
      <c r="U439" s="80" t="s">
        <v>2019</v>
      </c>
      <c r="V439" s="80" t="s">
        <v>126</v>
      </c>
      <c r="W439" s="80" t="s">
        <v>127</v>
      </c>
      <c r="X439" s="80"/>
      <c r="Y439" s="80"/>
    </row>
    <row r="440" spans="1:25">
      <c r="A440" s="80">
        <f t="shared" si="6"/>
        <v>439</v>
      </c>
      <c r="B440" s="10">
        <v>45968.781365740702</v>
      </c>
      <c r="C440" s="80" t="s">
        <v>154</v>
      </c>
      <c r="D440" s="80" t="s">
        <v>2494</v>
      </c>
      <c r="E440" s="80" t="s">
        <v>2495</v>
      </c>
      <c r="F440" s="80" t="s">
        <v>2496</v>
      </c>
      <c r="G440" s="80" t="s">
        <v>2497</v>
      </c>
      <c r="H440" s="80" t="s">
        <v>174</v>
      </c>
      <c r="I440" s="80" t="s">
        <v>173</v>
      </c>
      <c r="J440" s="80" t="s">
        <v>149</v>
      </c>
      <c r="K440" s="80">
        <v>1</v>
      </c>
      <c r="L440" s="80" t="s">
        <v>2498</v>
      </c>
      <c r="M440" s="80" t="s">
        <v>2499</v>
      </c>
      <c r="N440" s="80" t="s">
        <v>164</v>
      </c>
      <c r="O440" s="80" t="s">
        <v>345</v>
      </c>
      <c r="P440" s="80" t="s">
        <v>214</v>
      </c>
      <c r="Q440" s="80" t="s">
        <v>123</v>
      </c>
      <c r="R440" s="80" t="s">
        <v>174</v>
      </c>
      <c r="S440" s="80">
        <v>1</v>
      </c>
      <c r="T440" s="80">
        <v>24</v>
      </c>
      <c r="U440" s="80" t="s">
        <v>156</v>
      </c>
      <c r="V440" s="80" t="s">
        <v>141</v>
      </c>
      <c r="W440" s="80" t="s">
        <v>127</v>
      </c>
      <c r="X440" s="80"/>
      <c r="Y440" s="80"/>
    </row>
    <row r="441" spans="1:25">
      <c r="A441" s="80">
        <f t="shared" si="6"/>
        <v>440</v>
      </c>
      <c r="B441" s="10">
        <v>45968.785960648202</v>
      </c>
      <c r="C441" s="80" t="s">
        <v>261</v>
      </c>
      <c r="D441" s="80" t="s">
        <v>2500</v>
      </c>
      <c r="E441" s="80" t="s">
        <v>2501</v>
      </c>
      <c r="F441" s="80" t="s">
        <v>2502</v>
      </c>
      <c r="G441" s="80" t="s">
        <v>2503</v>
      </c>
      <c r="H441" s="80" t="s">
        <v>115</v>
      </c>
      <c r="I441" s="80" t="s">
        <v>237</v>
      </c>
      <c r="J441" s="80" t="s">
        <v>149</v>
      </c>
      <c r="K441" s="80">
        <v>2</v>
      </c>
      <c r="L441" s="80" t="s">
        <v>2504</v>
      </c>
      <c r="M441" s="80" t="s">
        <v>2505</v>
      </c>
      <c r="N441" s="80" t="s">
        <v>120</v>
      </c>
      <c r="O441" s="80" t="s">
        <v>121</v>
      </c>
      <c r="P441" s="80" t="s">
        <v>214</v>
      </c>
      <c r="Q441" s="80" t="s">
        <v>123</v>
      </c>
      <c r="R441" s="80" t="s">
        <v>136</v>
      </c>
      <c r="S441" s="80">
        <v>2</v>
      </c>
      <c r="T441" s="80">
        <v>24</v>
      </c>
      <c r="U441" s="80" t="s">
        <v>270</v>
      </c>
      <c r="V441" s="80" t="s">
        <v>126</v>
      </c>
      <c r="W441" s="80" t="s">
        <v>127</v>
      </c>
      <c r="X441" s="80"/>
      <c r="Y441" s="80"/>
    </row>
    <row r="442" spans="1:25">
      <c r="A442" s="80">
        <f t="shared" si="6"/>
        <v>441</v>
      </c>
      <c r="B442" s="10">
        <v>45969.033622685201</v>
      </c>
      <c r="C442" s="80" t="s">
        <v>2506</v>
      </c>
      <c r="D442" s="80" t="s">
        <v>2507</v>
      </c>
      <c r="E442" s="80" t="s">
        <v>2508</v>
      </c>
      <c r="F442" s="80" t="s">
        <v>2509</v>
      </c>
      <c r="G442" s="80" t="s">
        <v>2510</v>
      </c>
      <c r="H442" s="80" t="s">
        <v>115</v>
      </c>
      <c r="I442" s="80" t="s">
        <v>865</v>
      </c>
      <c r="J442" s="80" t="s">
        <v>117</v>
      </c>
      <c r="K442" s="80">
        <v>10</v>
      </c>
      <c r="L442" s="80" t="s">
        <v>2511</v>
      </c>
      <c r="M442" s="80" t="s">
        <v>2512</v>
      </c>
      <c r="N442" s="80" t="s">
        <v>120</v>
      </c>
      <c r="O442" s="80" t="s">
        <v>247</v>
      </c>
      <c r="P442" s="80" t="s">
        <v>832</v>
      </c>
      <c r="Q442" s="80" t="s">
        <v>123</v>
      </c>
      <c r="R442" s="80" t="s">
        <v>174</v>
      </c>
      <c r="S442" s="80">
        <v>4</v>
      </c>
      <c r="T442" s="80">
        <v>18</v>
      </c>
      <c r="U442" s="80" t="s">
        <v>2513</v>
      </c>
      <c r="V442" s="80" t="s">
        <v>141</v>
      </c>
      <c r="W442" s="80" t="s">
        <v>127</v>
      </c>
      <c r="X442" s="80"/>
      <c r="Y442" s="80"/>
    </row>
    <row r="443" spans="1:25">
      <c r="A443" s="80">
        <f t="shared" si="6"/>
        <v>442</v>
      </c>
      <c r="B443" s="10">
        <v>45969.296412037002</v>
      </c>
      <c r="C443" s="80" t="s">
        <v>157</v>
      </c>
      <c r="D443" s="80" t="s">
        <v>2514</v>
      </c>
      <c r="E443" s="80" t="s">
        <v>752</v>
      </c>
      <c r="F443" s="80" t="s">
        <v>753</v>
      </c>
      <c r="G443" s="80" t="s">
        <v>754</v>
      </c>
      <c r="H443" s="80" t="s">
        <v>115</v>
      </c>
      <c r="I443" s="80" t="s">
        <v>865</v>
      </c>
      <c r="J443" s="80" t="s">
        <v>149</v>
      </c>
      <c r="K443" s="80">
        <v>9</v>
      </c>
      <c r="L443" s="80" t="s">
        <v>755</v>
      </c>
      <c r="M443" s="80" t="s">
        <v>756</v>
      </c>
      <c r="N443" s="80" t="s">
        <v>164</v>
      </c>
      <c r="O443" s="80" t="s">
        <v>757</v>
      </c>
      <c r="P443" s="80" t="s">
        <v>269</v>
      </c>
      <c r="Q443" s="80" t="s">
        <v>123</v>
      </c>
      <c r="R443" s="80" t="s">
        <v>124</v>
      </c>
      <c r="S443" s="80">
        <v>2</v>
      </c>
      <c r="T443" s="80">
        <v>12</v>
      </c>
      <c r="U443" s="80" t="s">
        <v>167</v>
      </c>
      <c r="V443" s="80" t="s">
        <v>126</v>
      </c>
      <c r="W443" s="80" t="s">
        <v>127</v>
      </c>
      <c r="X443" s="80"/>
      <c r="Y443" s="80"/>
    </row>
    <row r="444" spans="1:25">
      <c r="A444" s="80">
        <f t="shared" si="6"/>
        <v>443</v>
      </c>
      <c r="B444" s="10">
        <v>45969.297303240703</v>
      </c>
      <c r="C444" s="80" t="s">
        <v>157</v>
      </c>
      <c r="D444" s="80" t="s">
        <v>2515</v>
      </c>
      <c r="E444" s="80" t="s">
        <v>2516</v>
      </c>
      <c r="F444" s="80" t="s">
        <v>2517</v>
      </c>
      <c r="G444" s="80" t="s">
        <v>2518</v>
      </c>
      <c r="H444" s="80" t="s">
        <v>115</v>
      </c>
      <c r="I444" s="80" t="s">
        <v>252</v>
      </c>
      <c r="J444" s="80" t="s">
        <v>117</v>
      </c>
      <c r="K444" s="80">
        <v>4</v>
      </c>
      <c r="L444" s="80" t="s">
        <v>2519</v>
      </c>
      <c r="M444" s="80" t="s">
        <v>2520</v>
      </c>
      <c r="N444" s="80" t="s">
        <v>120</v>
      </c>
      <c r="O444" s="80" t="s">
        <v>990</v>
      </c>
      <c r="P444" s="80" t="s">
        <v>135</v>
      </c>
      <c r="Q444" s="80" t="s">
        <v>123</v>
      </c>
      <c r="R444" s="80" t="s">
        <v>136</v>
      </c>
      <c r="S444" s="80">
        <v>4</v>
      </c>
      <c r="T444" s="80">
        <v>18</v>
      </c>
      <c r="U444" s="80" t="s">
        <v>167</v>
      </c>
      <c r="V444" s="80" t="s">
        <v>126</v>
      </c>
      <c r="W444" s="80" t="s">
        <v>127</v>
      </c>
      <c r="X444" s="80"/>
      <c r="Y444" s="80"/>
    </row>
    <row r="445" spans="1:25">
      <c r="A445" s="80">
        <f t="shared" si="6"/>
        <v>444</v>
      </c>
      <c r="B445" s="10">
        <v>45969.300347222197</v>
      </c>
      <c r="C445" s="80" t="s">
        <v>157</v>
      </c>
      <c r="D445" s="80" t="s">
        <v>2521</v>
      </c>
      <c r="E445" s="80" t="s">
        <v>2522</v>
      </c>
      <c r="F445" s="80" t="s">
        <v>2523</v>
      </c>
      <c r="G445" s="80" t="s">
        <v>2524</v>
      </c>
      <c r="H445" s="80" t="s">
        <v>115</v>
      </c>
      <c r="I445" s="80" t="s">
        <v>842</v>
      </c>
      <c r="J445" s="80" t="s">
        <v>117</v>
      </c>
      <c r="K445" s="80">
        <v>24</v>
      </c>
      <c r="L445" s="80" t="s">
        <v>2525</v>
      </c>
      <c r="M445" s="80" t="s">
        <v>2526</v>
      </c>
      <c r="N445" s="80" t="s">
        <v>120</v>
      </c>
      <c r="O445" s="80" t="s">
        <v>152</v>
      </c>
      <c r="P445" s="80" t="s">
        <v>1522</v>
      </c>
      <c r="Q445" s="80" t="s">
        <v>123</v>
      </c>
      <c r="R445" s="80" t="s">
        <v>174</v>
      </c>
      <c r="S445" s="80">
        <v>19</v>
      </c>
      <c r="T445" s="80">
        <v>24</v>
      </c>
      <c r="U445" s="80" t="s">
        <v>167</v>
      </c>
      <c r="V445" s="80" t="s">
        <v>126</v>
      </c>
      <c r="W445" s="80" t="s">
        <v>127</v>
      </c>
      <c r="X445" s="80"/>
      <c r="Y445" s="80"/>
    </row>
    <row r="446" spans="1:25">
      <c r="A446" s="80">
        <f t="shared" si="6"/>
        <v>445</v>
      </c>
      <c r="B446" s="10">
        <v>45969.394317129598</v>
      </c>
      <c r="C446" s="80" t="s">
        <v>168</v>
      </c>
      <c r="D446" s="80" t="s">
        <v>2527</v>
      </c>
      <c r="E446" s="80" t="s">
        <v>2528</v>
      </c>
      <c r="F446" s="80" t="s">
        <v>2529</v>
      </c>
      <c r="G446" s="80" t="s">
        <v>2530</v>
      </c>
      <c r="H446" s="80" t="s">
        <v>115</v>
      </c>
      <c r="I446" s="80" t="s">
        <v>244</v>
      </c>
      <c r="J446" s="80" t="s">
        <v>117</v>
      </c>
      <c r="K446" s="80">
        <v>10</v>
      </c>
      <c r="L446" s="80" t="s">
        <v>2531</v>
      </c>
      <c r="M446" s="80" t="s">
        <v>2532</v>
      </c>
      <c r="N446" s="80" t="s">
        <v>120</v>
      </c>
      <c r="O446" s="80" t="s">
        <v>611</v>
      </c>
      <c r="P446" s="80" t="s">
        <v>832</v>
      </c>
      <c r="Q446" s="80" t="s">
        <v>123</v>
      </c>
      <c r="R446" s="80" t="s">
        <v>174</v>
      </c>
      <c r="S446" s="80">
        <v>9</v>
      </c>
      <c r="T446" s="80">
        <v>18</v>
      </c>
      <c r="U446" s="80" t="s">
        <v>179</v>
      </c>
      <c r="V446" s="80" t="s">
        <v>126</v>
      </c>
      <c r="W446" s="80" t="s">
        <v>127</v>
      </c>
      <c r="X446" s="80"/>
      <c r="Y446" s="80"/>
    </row>
    <row r="447" spans="1:25">
      <c r="A447" s="80">
        <f t="shared" si="6"/>
        <v>446</v>
      </c>
      <c r="B447" s="10">
        <v>45969.417430555601</v>
      </c>
      <c r="C447" s="80" t="s">
        <v>2533</v>
      </c>
      <c r="D447" s="80" t="s">
        <v>2534</v>
      </c>
      <c r="E447" s="80" t="s">
        <v>2014</v>
      </c>
      <c r="F447" s="80" t="s">
        <v>2015</v>
      </c>
      <c r="G447" s="80" t="s">
        <v>2016</v>
      </c>
      <c r="H447" s="80" t="s">
        <v>115</v>
      </c>
      <c r="I447" s="80" t="s">
        <v>1069</v>
      </c>
      <c r="J447" s="80" t="s">
        <v>149</v>
      </c>
      <c r="K447" s="80">
        <v>8</v>
      </c>
      <c r="L447" s="80" t="s">
        <v>2017</v>
      </c>
      <c r="M447" s="80" t="s">
        <v>2018</v>
      </c>
      <c r="N447" s="80" t="s">
        <v>120</v>
      </c>
      <c r="O447" s="80" t="s">
        <v>449</v>
      </c>
      <c r="P447" s="80" t="s">
        <v>352</v>
      </c>
      <c r="Q447" s="80" t="s">
        <v>123</v>
      </c>
      <c r="R447" s="80" t="s">
        <v>174</v>
      </c>
      <c r="S447" s="80">
        <v>2</v>
      </c>
      <c r="T447" s="80">
        <v>12</v>
      </c>
      <c r="U447" s="80" t="s">
        <v>2535</v>
      </c>
      <c r="V447" s="80" t="s">
        <v>126</v>
      </c>
      <c r="W447" s="80" t="s">
        <v>127</v>
      </c>
      <c r="X447" s="80"/>
      <c r="Y447" s="80"/>
    </row>
    <row r="448" spans="1:25">
      <c r="A448" s="80">
        <f t="shared" si="6"/>
        <v>447</v>
      </c>
      <c r="B448" s="10">
        <v>45969.487766203703</v>
      </c>
      <c r="C448" s="80" t="s">
        <v>563</v>
      </c>
      <c r="D448" s="80" t="s">
        <v>2536</v>
      </c>
      <c r="E448" s="80" t="s">
        <v>2537</v>
      </c>
      <c r="F448" s="80" t="s">
        <v>2538</v>
      </c>
      <c r="G448" s="80" t="s">
        <v>2539</v>
      </c>
      <c r="H448" s="80" t="s">
        <v>115</v>
      </c>
      <c r="I448" s="80" t="s">
        <v>227</v>
      </c>
      <c r="J448" s="80" t="s">
        <v>117</v>
      </c>
      <c r="K448" s="80">
        <v>1</v>
      </c>
      <c r="L448" s="80" t="s">
        <v>2540</v>
      </c>
      <c r="M448" s="80" t="s">
        <v>2541</v>
      </c>
      <c r="N448" s="80" t="s">
        <v>120</v>
      </c>
      <c r="O448" s="80" t="s">
        <v>428</v>
      </c>
      <c r="P448" s="80" t="s">
        <v>287</v>
      </c>
      <c r="Q448" s="80" t="s">
        <v>123</v>
      </c>
      <c r="R448" s="80" t="s">
        <v>124</v>
      </c>
      <c r="S448" s="80">
        <v>10</v>
      </c>
      <c r="T448" s="80">
        <v>12</v>
      </c>
      <c r="U448" s="80" t="s">
        <v>565</v>
      </c>
      <c r="V448" s="80" t="s">
        <v>126</v>
      </c>
      <c r="W448" s="80" t="s">
        <v>127</v>
      </c>
      <c r="X448" s="80"/>
      <c r="Y448" s="80"/>
    </row>
    <row r="449" spans="1:25">
      <c r="A449" s="80">
        <f t="shared" si="6"/>
        <v>448</v>
      </c>
      <c r="B449" s="10">
        <v>45969.492349537002</v>
      </c>
      <c r="C449" s="80" t="s">
        <v>329</v>
      </c>
      <c r="D449" s="80" t="s">
        <v>2542</v>
      </c>
      <c r="E449" s="80" t="s">
        <v>2543</v>
      </c>
      <c r="F449" s="80" t="s">
        <v>2544</v>
      </c>
      <c r="G449" s="80" t="s">
        <v>2545</v>
      </c>
      <c r="H449" s="80" t="s">
        <v>115</v>
      </c>
      <c r="I449" s="80" t="s">
        <v>865</v>
      </c>
      <c r="J449" s="80" t="s">
        <v>117</v>
      </c>
      <c r="K449" s="80">
        <v>22</v>
      </c>
      <c r="L449" s="80" t="s">
        <v>2546</v>
      </c>
      <c r="M449" s="80" t="s">
        <v>2547</v>
      </c>
      <c r="N449" s="80" t="s">
        <v>164</v>
      </c>
      <c r="O449" s="80" t="s">
        <v>1877</v>
      </c>
      <c r="P449" s="80" t="s">
        <v>178</v>
      </c>
      <c r="Q449" s="80" t="s">
        <v>123</v>
      </c>
      <c r="R449" s="80" t="s">
        <v>174</v>
      </c>
      <c r="S449" s="80">
        <v>4</v>
      </c>
      <c r="T449" s="80">
        <v>12</v>
      </c>
      <c r="U449" s="80" t="s">
        <v>336</v>
      </c>
      <c r="V449" s="80" t="s">
        <v>126</v>
      </c>
      <c r="W449" s="80" t="s">
        <v>127</v>
      </c>
      <c r="X449" s="80"/>
      <c r="Y449" s="80"/>
    </row>
    <row r="450" spans="1:25">
      <c r="A450" s="80">
        <f t="shared" si="6"/>
        <v>449</v>
      </c>
      <c r="B450" s="10">
        <v>45969.494814814803</v>
      </c>
      <c r="C450" s="80" t="s">
        <v>362</v>
      </c>
      <c r="D450" s="80" t="s">
        <v>2548</v>
      </c>
      <c r="E450" s="80" t="s">
        <v>2549</v>
      </c>
      <c r="F450" s="80" t="s">
        <v>2550</v>
      </c>
      <c r="G450" s="80" t="s">
        <v>2551</v>
      </c>
      <c r="H450" s="80" t="s">
        <v>115</v>
      </c>
      <c r="I450" s="80" t="s">
        <v>865</v>
      </c>
      <c r="J450" s="80" t="s">
        <v>117</v>
      </c>
      <c r="K450" s="80">
        <v>5</v>
      </c>
      <c r="L450" s="80" t="s">
        <v>2552</v>
      </c>
      <c r="M450" s="80" t="s">
        <v>2553</v>
      </c>
      <c r="N450" s="80" t="s">
        <v>120</v>
      </c>
      <c r="O450" s="80" t="s">
        <v>2554</v>
      </c>
      <c r="P450" s="80" t="s">
        <v>135</v>
      </c>
      <c r="Q450" s="80" t="s">
        <v>123</v>
      </c>
      <c r="R450" s="80" t="s">
        <v>124</v>
      </c>
      <c r="S450" s="80">
        <v>7</v>
      </c>
      <c r="T450" s="80">
        <v>18</v>
      </c>
      <c r="U450" s="80" t="s">
        <v>364</v>
      </c>
      <c r="V450" s="80" t="s">
        <v>126</v>
      </c>
      <c r="W450" s="80" t="s">
        <v>127</v>
      </c>
      <c r="X450" s="80"/>
      <c r="Y450" s="80"/>
    </row>
    <row r="451" spans="1:25">
      <c r="A451" s="80">
        <f t="shared" si="6"/>
        <v>450</v>
      </c>
      <c r="B451" s="10">
        <v>45969.496516203697</v>
      </c>
      <c r="C451" s="80" t="s">
        <v>110</v>
      </c>
      <c r="D451" s="80" t="s">
        <v>2555</v>
      </c>
      <c r="E451" s="80" t="s">
        <v>1540</v>
      </c>
      <c r="F451" s="80" t="s">
        <v>1541</v>
      </c>
      <c r="G451" s="80" t="s">
        <v>1542</v>
      </c>
      <c r="H451" s="80" t="s">
        <v>115</v>
      </c>
      <c r="I451" s="80" t="s">
        <v>865</v>
      </c>
      <c r="J451" s="80" t="s">
        <v>117</v>
      </c>
      <c r="K451" s="80">
        <v>1</v>
      </c>
      <c r="L451" s="80" t="s">
        <v>1543</v>
      </c>
      <c r="M451" s="80" t="s">
        <v>1544</v>
      </c>
      <c r="N451" s="80" t="s">
        <v>120</v>
      </c>
      <c r="O451" s="80" t="s">
        <v>240</v>
      </c>
      <c r="P451" s="80" t="s">
        <v>135</v>
      </c>
      <c r="Q451" s="80" t="s">
        <v>123</v>
      </c>
      <c r="R451" s="80" t="s">
        <v>124</v>
      </c>
      <c r="S451" s="80">
        <v>11</v>
      </c>
      <c r="T451" s="80">
        <v>24</v>
      </c>
      <c r="U451" s="80" t="s">
        <v>125</v>
      </c>
      <c r="V451" s="80" t="s">
        <v>126</v>
      </c>
      <c r="W451" s="80" t="s">
        <v>127</v>
      </c>
      <c r="X451" s="80"/>
      <c r="Y451" s="80"/>
    </row>
    <row r="452" spans="1:25">
      <c r="A452" s="80">
        <f t="shared" ref="A452:A515" si="7">A451+1</f>
        <v>451</v>
      </c>
      <c r="B452" s="10">
        <v>45969.501817129603</v>
      </c>
      <c r="C452" s="80" t="s">
        <v>604</v>
      </c>
      <c r="D452" s="80" t="s">
        <v>2556</v>
      </c>
      <c r="E452" s="80" t="s">
        <v>2557</v>
      </c>
      <c r="F452" s="80" t="s">
        <v>2558</v>
      </c>
      <c r="G452" s="80" t="s">
        <v>2559</v>
      </c>
      <c r="H452" s="80" t="s">
        <v>115</v>
      </c>
      <c r="I452" s="80" t="s">
        <v>1069</v>
      </c>
      <c r="J452" s="80" t="s">
        <v>117</v>
      </c>
      <c r="K452" s="80">
        <v>1</v>
      </c>
      <c r="L452" s="80" t="s">
        <v>2560</v>
      </c>
      <c r="M452" s="80" t="s">
        <v>2561</v>
      </c>
      <c r="N452" s="80" t="s">
        <v>120</v>
      </c>
      <c r="O452" s="80" t="s">
        <v>152</v>
      </c>
      <c r="P452" s="80" t="s">
        <v>178</v>
      </c>
      <c r="Q452" s="80" t="s">
        <v>123</v>
      </c>
      <c r="R452" s="80" t="s">
        <v>136</v>
      </c>
      <c r="S452" s="80">
        <v>17</v>
      </c>
      <c r="T452" s="80">
        <v>24</v>
      </c>
      <c r="U452" s="80" t="s">
        <v>613</v>
      </c>
      <c r="V452" s="80" t="s">
        <v>126</v>
      </c>
      <c r="W452" s="80" t="s">
        <v>127</v>
      </c>
      <c r="X452" s="80"/>
      <c r="Y452" s="80"/>
    </row>
    <row r="453" spans="1:25">
      <c r="A453" s="80">
        <f t="shared" si="7"/>
        <v>452</v>
      </c>
      <c r="B453" s="10">
        <v>45969.502800925897</v>
      </c>
      <c r="C453" s="80" t="s">
        <v>589</v>
      </c>
      <c r="D453" s="80" t="s">
        <v>2562</v>
      </c>
      <c r="E453" s="80" t="s">
        <v>2563</v>
      </c>
      <c r="F453" s="80" t="s">
        <v>2564</v>
      </c>
      <c r="G453" s="80" t="s">
        <v>2565</v>
      </c>
      <c r="H453" s="80" t="s">
        <v>174</v>
      </c>
      <c r="I453" s="80" t="s">
        <v>173</v>
      </c>
      <c r="J453" s="80" t="s">
        <v>149</v>
      </c>
      <c r="K453" s="80">
        <v>2</v>
      </c>
      <c r="L453" s="80" t="s">
        <v>2566</v>
      </c>
      <c r="M453" s="80" t="s">
        <v>2567</v>
      </c>
      <c r="N453" s="80" t="s">
        <v>120</v>
      </c>
      <c r="O453" s="80" t="s">
        <v>121</v>
      </c>
      <c r="P453" s="80" t="s">
        <v>546</v>
      </c>
      <c r="Q453" s="80" t="s">
        <v>123</v>
      </c>
      <c r="R453" s="80" t="s">
        <v>174</v>
      </c>
      <c r="S453" s="80">
        <v>28</v>
      </c>
      <c r="T453" s="80">
        <v>36</v>
      </c>
      <c r="U453" s="80" t="s">
        <v>596</v>
      </c>
      <c r="V453" s="80" t="s">
        <v>126</v>
      </c>
      <c r="W453" s="80" t="s">
        <v>127</v>
      </c>
      <c r="X453" s="80"/>
      <c r="Y453" s="80"/>
    </row>
    <row r="454" spans="1:25">
      <c r="A454" s="80">
        <f t="shared" si="7"/>
        <v>453</v>
      </c>
      <c r="B454" s="10">
        <v>45969.505914351903</v>
      </c>
      <c r="C454" s="80" t="s">
        <v>320</v>
      </c>
      <c r="D454" s="80" t="s">
        <v>2568</v>
      </c>
      <c r="E454" s="80" t="s">
        <v>2569</v>
      </c>
      <c r="F454" s="80" t="s">
        <v>2570</v>
      </c>
      <c r="G454" s="80" t="s">
        <v>2571</v>
      </c>
      <c r="H454" s="80" t="s">
        <v>115</v>
      </c>
      <c r="I454" s="80" t="s">
        <v>237</v>
      </c>
      <c r="J454" s="80" t="s">
        <v>117</v>
      </c>
      <c r="K454" s="80">
        <v>1</v>
      </c>
      <c r="L454" s="80" t="s">
        <v>2572</v>
      </c>
      <c r="M454" s="80" t="s">
        <v>2573</v>
      </c>
      <c r="N454" s="80" t="s">
        <v>120</v>
      </c>
      <c r="O454" s="80" t="s">
        <v>213</v>
      </c>
      <c r="P454" s="80" t="s">
        <v>178</v>
      </c>
      <c r="Q454" s="80" t="s">
        <v>123</v>
      </c>
      <c r="R454" s="80" t="s">
        <v>136</v>
      </c>
      <c r="S454" s="80">
        <v>19</v>
      </c>
      <c r="T454" s="80">
        <v>24</v>
      </c>
      <c r="U454" s="80" t="s">
        <v>328</v>
      </c>
      <c r="V454" s="80" t="s">
        <v>126</v>
      </c>
      <c r="W454" s="80" t="s">
        <v>127</v>
      </c>
      <c r="X454" s="80"/>
      <c r="Y454" s="80"/>
    </row>
    <row r="455" spans="1:25">
      <c r="A455" s="80">
        <f t="shared" si="7"/>
        <v>454</v>
      </c>
      <c r="B455" s="10">
        <v>45969.5073611111</v>
      </c>
      <c r="C455" s="80" t="s">
        <v>143</v>
      </c>
      <c r="D455" s="80" t="s">
        <v>2574</v>
      </c>
      <c r="E455" s="80" t="s">
        <v>2575</v>
      </c>
      <c r="F455" s="80" t="s">
        <v>2576</v>
      </c>
      <c r="G455" s="80" t="s">
        <v>2577</v>
      </c>
      <c r="H455" s="80" t="s">
        <v>115</v>
      </c>
      <c r="I455" s="80" t="s">
        <v>1069</v>
      </c>
      <c r="J455" s="80" t="s">
        <v>117</v>
      </c>
      <c r="K455" s="80">
        <v>1</v>
      </c>
      <c r="L455" s="80" t="s">
        <v>2578</v>
      </c>
      <c r="M455" s="80" t="s">
        <v>2579</v>
      </c>
      <c r="N455" s="80" t="s">
        <v>120</v>
      </c>
      <c r="O455" s="80" t="s">
        <v>121</v>
      </c>
      <c r="P455" s="80" t="s">
        <v>231</v>
      </c>
      <c r="Q455" s="80" t="s">
        <v>123</v>
      </c>
      <c r="R455" s="80" t="s">
        <v>136</v>
      </c>
      <c r="S455" s="80">
        <v>14</v>
      </c>
      <c r="T455" s="80">
        <v>18</v>
      </c>
      <c r="U455" s="80" t="s">
        <v>153</v>
      </c>
      <c r="V455" s="80" t="s">
        <v>126</v>
      </c>
      <c r="W455" s="80" t="s">
        <v>137</v>
      </c>
      <c r="X455" s="80"/>
      <c r="Y455" s="80"/>
    </row>
    <row r="456" spans="1:25">
      <c r="A456" s="80">
        <f t="shared" si="7"/>
        <v>455</v>
      </c>
      <c r="B456" s="10">
        <v>45969.516921296301</v>
      </c>
      <c r="C456" s="80" t="s">
        <v>320</v>
      </c>
      <c r="D456" s="80" t="s">
        <v>2580</v>
      </c>
      <c r="E456" s="80" t="s">
        <v>2581</v>
      </c>
      <c r="F456" s="80" t="s">
        <v>2582</v>
      </c>
      <c r="G456" s="80" t="s">
        <v>2583</v>
      </c>
      <c r="H456" s="80" t="s">
        <v>115</v>
      </c>
      <c r="I456" s="80" t="s">
        <v>227</v>
      </c>
      <c r="J456" s="80" t="s">
        <v>117</v>
      </c>
      <c r="K456" s="80">
        <v>13</v>
      </c>
      <c r="L456" s="80" t="s">
        <v>2584</v>
      </c>
      <c r="M456" s="80" t="s">
        <v>2585</v>
      </c>
      <c r="N456" s="80" t="s">
        <v>164</v>
      </c>
      <c r="O456" s="80" t="s">
        <v>2586</v>
      </c>
      <c r="P456" s="80" t="s">
        <v>269</v>
      </c>
      <c r="Q456" s="80" t="s">
        <v>123</v>
      </c>
      <c r="R456" s="80" t="s">
        <v>174</v>
      </c>
      <c r="S456" s="80">
        <v>9</v>
      </c>
      <c r="T456" s="80">
        <v>18</v>
      </c>
      <c r="U456" s="80" t="s">
        <v>328</v>
      </c>
      <c r="V456" s="80" t="s">
        <v>126</v>
      </c>
      <c r="W456" s="80" t="s">
        <v>127</v>
      </c>
      <c r="X456" s="80"/>
      <c r="Y456" s="80"/>
    </row>
    <row r="457" spans="1:25">
      <c r="A457" s="80">
        <f t="shared" si="7"/>
        <v>456</v>
      </c>
      <c r="B457" s="10">
        <v>45969.521562499998</v>
      </c>
      <c r="C457" s="80" t="s">
        <v>359</v>
      </c>
      <c r="D457" s="80" t="s">
        <v>2587</v>
      </c>
      <c r="E457" s="80" t="s">
        <v>2588</v>
      </c>
      <c r="F457" s="80" t="s">
        <v>2589</v>
      </c>
      <c r="G457" s="80" t="s">
        <v>2590</v>
      </c>
      <c r="H457" s="80" t="s">
        <v>115</v>
      </c>
      <c r="I457" s="80" t="s">
        <v>252</v>
      </c>
      <c r="J457" s="80" t="s">
        <v>117</v>
      </c>
      <c r="K457" s="80">
        <v>1</v>
      </c>
      <c r="L457" s="80" t="s">
        <v>2591</v>
      </c>
      <c r="M457" s="80" t="s">
        <v>2592</v>
      </c>
      <c r="N457" s="80" t="s">
        <v>120</v>
      </c>
      <c r="O457" s="80" t="s">
        <v>572</v>
      </c>
      <c r="P457" s="80" t="s">
        <v>135</v>
      </c>
      <c r="Q457" s="80" t="s">
        <v>123</v>
      </c>
      <c r="R457" s="80" t="s">
        <v>124</v>
      </c>
      <c r="S457" s="80">
        <v>6</v>
      </c>
      <c r="T457" s="80">
        <v>12</v>
      </c>
      <c r="U457" s="80" t="s">
        <v>361</v>
      </c>
      <c r="V457" s="80" t="s">
        <v>126</v>
      </c>
      <c r="W457" s="80" t="s">
        <v>127</v>
      </c>
      <c r="X457" s="80"/>
      <c r="Y457" s="80"/>
    </row>
    <row r="458" spans="1:25">
      <c r="A458" s="80">
        <f t="shared" si="7"/>
        <v>457</v>
      </c>
      <c r="B458" s="10">
        <v>45969.5242939815</v>
      </c>
      <c r="C458" s="80" t="s">
        <v>222</v>
      </c>
      <c r="D458" s="80" t="s">
        <v>2593</v>
      </c>
      <c r="E458" s="80" t="s">
        <v>2563</v>
      </c>
      <c r="F458" s="80" t="s">
        <v>2564</v>
      </c>
      <c r="G458" s="80" t="s">
        <v>2565</v>
      </c>
      <c r="H458" s="80" t="s">
        <v>174</v>
      </c>
      <c r="I458" s="80" t="s">
        <v>173</v>
      </c>
      <c r="J458" s="80" t="s">
        <v>149</v>
      </c>
      <c r="K458" s="80">
        <v>2</v>
      </c>
      <c r="L458" s="80" t="s">
        <v>2566</v>
      </c>
      <c r="M458" s="80" t="s">
        <v>2567</v>
      </c>
      <c r="N458" s="80" t="s">
        <v>120</v>
      </c>
      <c r="O458" s="80" t="s">
        <v>121</v>
      </c>
      <c r="P458" s="80" t="s">
        <v>546</v>
      </c>
      <c r="Q458" s="80" t="s">
        <v>123</v>
      </c>
      <c r="R458" s="80" t="s">
        <v>174</v>
      </c>
      <c r="S458" s="80">
        <v>28</v>
      </c>
      <c r="T458" s="80">
        <v>36</v>
      </c>
      <c r="U458" s="80" t="s">
        <v>232</v>
      </c>
      <c r="V458" s="80" t="s">
        <v>126</v>
      </c>
      <c r="W458" s="80" t="s">
        <v>127</v>
      </c>
      <c r="X458" s="80"/>
      <c r="Y458" s="80"/>
    </row>
    <row r="459" spans="1:25">
      <c r="A459" s="80">
        <f t="shared" si="7"/>
        <v>458</v>
      </c>
      <c r="B459" s="10">
        <v>45969.527777777803</v>
      </c>
      <c r="C459" s="80" t="s">
        <v>320</v>
      </c>
      <c r="D459" s="80" t="s">
        <v>2594</v>
      </c>
      <c r="E459" s="80" t="s">
        <v>2595</v>
      </c>
      <c r="F459" s="80" t="s">
        <v>2596</v>
      </c>
      <c r="G459" s="80" t="s">
        <v>2597</v>
      </c>
      <c r="H459" s="80" t="s">
        <v>174</v>
      </c>
      <c r="I459" s="80" t="s">
        <v>173</v>
      </c>
      <c r="J459" s="80" t="s">
        <v>149</v>
      </c>
      <c r="K459" s="80">
        <v>1</v>
      </c>
      <c r="L459" s="80" t="s">
        <v>2598</v>
      </c>
      <c r="M459" s="80" t="s">
        <v>2599</v>
      </c>
      <c r="N459" s="80" t="s">
        <v>120</v>
      </c>
      <c r="O459" s="80" t="s">
        <v>187</v>
      </c>
      <c r="P459" s="80" t="s">
        <v>135</v>
      </c>
      <c r="Q459" s="80" t="s">
        <v>123</v>
      </c>
      <c r="R459" s="80" t="s">
        <v>174</v>
      </c>
      <c r="S459" s="80">
        <v>1</v>
      </c>
      <c r="T459" s="80">
        <v>12</v>
      </c>
      <c r="U459" s="80" t="s">
        <v>328</v>
      </c>
      <c r="V459" s="80" t="s">
        <v>126</v>
      </c>
      <c r="W459" s="80" t="s">
        <v>127</v>
      </c>
      <c r="X459" s="80"/>
      <c r="Y459" s="80"/>
    </row>
    <row r="460" spans="1:25">
      <c r="A460" s="80">
        <f t="shared" si="7"/>
        <v>459</v>
      </c>
      <c r="B460" s="10">
        <v>45969.528009259302</v>
      </c>
      <c r="C460" s="80" t="s">
        <v>280</v>
      </c>
      <c r="D460" s="80" t="s">
        <v>2600</v>
      </c>
      <c r="E460" s="80" t="s">
        <v>2601</v>
      </c>
      <c r="F460" s="80" t="s">
        <v>2602</v>
      </c>
      <c r="G460" s="80" t="s">
        <v>2603</v>
      </c>
      <c r="H460" s="80" t="s">
        <v>115</v>
      </c>
      <c r="I460" s="80" t="s">
        <v>252</v>
      </c>
      <c r="J460" s="80" t="s">
        <v>149</v>
      </c>
      <c r="K460" s="80">
        <v>13</v>
      </c>
      <c r="L460" s="80" t="s">
        <v>2604</v>
      </c>
      <c r="M460" s="80" t="s">
        <v>2605</v>
      </c>
      <c r="N460" s="80" t="s">
        <v>164</v>
      </c>
      <c r="O460" s="80" t="s">
        <v>2606</v>
      </c>
      <c r="P460" s="80" t="s">
        <v>178</v>
      </c>
      <c r="Q460" s="80" t="s">
        <v>123</v>
      </c>
      <c r="R460" s="80" t="s">
        <v>174</v>
      </c>
      <c r="S460" s="80">
        <v>10</v>
      </c>
      <c r="T460" s="80">
        <v>36</v>
      </c>
      <c r="U460" s="80" t="s">
        <v>288</v>
      </c>
      <c r="V460" s="80" t="s">
        <v>126</v>
      </c>
      <c r="W460" s="80" t="s">
        <v>127</v>
      </c>
      <c r="X460" s="80"/>
      <c r="Y460" s="80"/>
    </row>
    <row r="461" spans="1:25">
      <c r="A461" s="80">
        <f t="shared" si="7"/>
        <v>460</v>
      </c>
      <c r="B461" s="10">
        <v>45969.546006944402</v>
      </c>
      <c r="C461" s="80" t="s">
        <v>2012</v>
      </c>
      <c r="D461" s="80" t="s">
        <v>2607</v>
      </c>
      <c r="E461" s="80" t="s">
        <v>2608</v>
      </c>
      <c r="F461" s="80" t="s">
        <v>2609</v>
      </c>
      <c r="G461" s="80" t="s">
        <v>2610</v>
      </c>
      <c r="H461" s="80" t="s">
        <v>115</v>
      </c>
      <c r="I461" s="80" t="s">
        <v>865</v>
      </c>
      <c r="J461" s="80" t="s">
        <v>117</v>
      </c>
      <c r="K461" s="80">
        <v>14</v>
      </c>
      <c r="L461" s="80" t="s">
        <v>2611</v>
      </c>
      <c r="M461" s="80" t="s">
        <v>2612</v>
      </c>
      <c r="N461" s="80" t="s">
        <v>164</v>
      </c>
      <c r="O461" s="80" t="s">
        <v>406</v>
      </c>
      <c r="P461" s="80" t="s">
        <v>178</v>
      </c>
      <c r="Q461" s="80" t="s">
        <v>123</v>
      </c>
      <c r="R461" s="80" t="s">
        <v>174</v>
      </c>
      <c r="S461" s="80">
        <v>15</v>
      </c>
      <c r="T461" s="80">
        <v>18</v>
      </c>
      <c r="U461" s="80" t="s">
        <v>2019</v>
      </c>
      <c r="V461" s="80" t="s">
        <v>126</v>
      </c>
      <c r="W461" s="80" t="s">
        <v>127</v>
      </c>
      <c r="X461" s="80"/>
      <c r="Y461" s="80"/>
    </row>
    <row r="462" spans="1:25">
      <c r="A462" s="80">
        <f t="shared" si="7"/>
        <v>461</v>
      </c>
      <c r="B462" s="10">
        <v>45969.572210648097</v>
      </c>
      <c r="C462" s="80" t="s">
        <v>840</v>
      </c>
      <c r="D462" s="80" t="s">
        <v>2613</v>
      </c>
      <c r="E462" s="80" t="s">
        <v>2614</v>
      </c>
      <c r="F462" s="80" t="s">
        <v>2615</v>
      </c>
      <c r="G462" s="80" t="s">
        <v>2616</v>
      </c>
      <c r="H462" s="80" t="s">
        <v>115</v>
      </c>
      <c r="I462" s="80" t="s">
        <v>252</v>
      </c>
      <c r="J462" s="80" t="s">
        <v>117</v>
      </c>
      <c r="K462" s="80">
        <v>2</v>
      </c>
      <c r="L462" s="80" t="s">
        <v>2617</v>
      </c>
      <c r="M462" s="80" t="s">
        <v>2618</v>
      </c>
      <c r="N462" s="80" t="s">
        <v>120</v>
      </c>
      <c r="O462" s="80" t="s">
        <v>572</v>
      </c>
      <c r="P462" s="80" t="s">
        <v>135</v>
      </c>
      <c r="Q462" s="80" t="s">
        <v>123</v>
      </c>
      <c r="R462" s="80" t="s">
        <v>136</v>
      </c>
      <c r="S462" s="80">
        <v>5</v>
      </c>
      <c r="T462" s="80">
        <v>18</v>
      </c>
      <c r="U462" s="80" t="s">
        <v>843</v>
      </c>
      <c r="V462" s="80" t="s">
        <v>126</v>
      </c>
      <c r="W462" s="80" t="s">
        <v>127</v>
      </c>
      <c r="X462" s="80"/>
      <c r="Y462" s="80"/>
    </row>
    <row r="463" spans="1:25">
      <c r="A463" s="80">
        <f t="shared" si="7"/>
        <v>462</v>
      </c>
      <c r="B463" s="10">
        <v>45969.584548611099</v>
      </c>
      <c r="C463" s="80" t="s">
        <v>157</v>
      </c>
      <c r="D463" s="80" t="s">
        <v>2619</v>
      </c>
      <c r="E463" s="80" t="s">
        <v>2620</v>
      </c>
      <c r="F463" s="80" t="s">
        <v>2621</v>
      </c>
      <c r="G463" s="80" t="s">
        <v>2622</v>
      </c>
      <c r="H463" s="80" t="s">
        <v>115</v>
      </c>
      <c r="I463" s="80" t="s">
        <v>252</v>
      </c>
      <c r="J463" s="80" t="s">
        <v>117</v>
      </c>
      <c r="K463" s="80">
        <v>4</v>
      </c>
      <c r="L463" s="80" t="s">
        <v>2623</v>
      </c>
      <c r="M463" s="80" t="s">
        <v>2624</v>
      </c>
      <c r="N463" s="80" t="s">
        <v>164</v>
      </c>
      <c r="O463" s="80" t="s">
        <v>202</v>
      </c>
      <c r="P463" s="80" t="s">
        <v>178</v>
      </c>
      <c r="Q463" s="80" t="s">
        <v>123</v>
      </c>
      <c r="R463" s="80" t="s">
        <v>124</v>
      </c>
      <c r="S463" s="80">
        <v>3</v>
      </c>
      <c r="T463" s="80">
        <v>12</v>
      </c>
      <c r="U463" s="80" t="s">
        <v>167</v>
      </c>
      <c r="V463" s="80" t="s">
        <v>126</v>
      </c>
      <c r="W463" s="80" t="s">
        <v>127</v>
      </c>
      <c r="X463" s="80"/>
      <c r="Y463" s="80"/>
    </row>
    <row r="464" spans="1:25">
      <c r="A464" s="80">
        <f t="shared" si="7"/>
        <v>463</v>
      </c>
      <c r="B464" s="10">
        <v>45969.584571759297</v>
      </c>
      <c r="C464" s="80" t="s">
        <v>1465</v>
      </c>
      <c r="D464" s="80" t="s">
        <v>2625</v>
      </c>
      <c r="E464" s="80" t="s">
        <v>2626</v>
      </c>
      <c r="F464" s="80" t="s">
        <v>2627</v>
      </c>
      <c r="G464" s="80" t="s">
        <v>2628</v>
      </c>
      <c r="H464" s="80" t="s">
        <v>115</v>
      </c>
      <c r="I464" s="80" t="s">
        <v>252</v>
      </c>
      <c r="J464" s="80" t="s">
        <v>117</v>
      </c>
      <c r="K464" s="80">
        <v>7</v>
      </c>
      <c r="L464" s="80" t="s">
        <v>2629</v>
      </c>
      <c r="M464" s="80" t="s">
        <v>2630</v>
      </c>
      <c r="N464" s="80" t="s">
        <v>120</v>
      </c>
      <c r="O464" s="80" t="s">
        <v>152</v>
      </c>
      <c r="P464" s="80" t="s">
        <v>178</v>
      </c>
      <c r="Q464" s="80" t="s">
        <v>123</v>
      </c>
      <c r="R464" s="80" t="s">
        <v>174</v>
      </c>
      <c r="S464" s="80">
        <v>15</v>
      </c>
      <c r="T464" s="80">
        <v>24</v>
      </c>
      <c r="U464" s="80" t="s">
        <v>1473</v>
      </c>
      <c r="V464" s="80" t="s">
        <v>126</v>
      </c>
      <c r="W464" s="80" t="s">
        <v>127</v>
      </c>
      <c r="X464" s="80"/>
      <c r="Y464" s="80"/>
    </row>
    <row r="465" spans="1:25">
      <c r="A465" s="80">
        <f t="shared" si="7"/>
        <v>464</v>
      </c>
      <c r="B465" s="10">
        <v>45969.594525462999</v>
      </c>
      <c r="C465" s="80" t="s">
        <v>818</v>
      </c>
      <c r="D465" s="80" t="s">
        <v>2631</v>
      </c>
      <c r="E465" s="80" t="s">
        <v>2632</v>
      </c>
      <c r="F465" s="80" t="s">
        <v>2633</v>
      </c>
      <c r="G465" s="80" t="s">
        <v>2634</v>
      </c>
      <c r="H465" s="80" t="s">
        <v>115</v>
      </c>
      <c r="I465" s="80" t="s">
        <v>865</v>
      </c>
      <c r="J465" s="80" t="s">
        <v>117</v>
      </c>
      <c r="K465" s="80">
        <v>9</v>
      </c>
      <c r="L465" s="80" t="s">
        <v>2635</v>
      </c>
      <c r="M465" s="80" t="s">
        <v>2636</v>
      </c>
      <c r="N465" s="80" t="s">
        <v>120</v>
      </c>
      <c r="O465" s="80" t="s">
        <v>121</v>
      </c>
      <c r="P465" s="80" t="s">
        <v>287</v>
      </c>
      <c r="Q465" s="80" t="s">
        <v>123</v>
      </c>
      <c r="R465" s="80" t="s">
        <v>174</v>
      </c>
      <c r="S465" s="80">
        <v>12</v>
      </c>
      <c r="T465" s="80">
        <v>12</v>
      </c>
      <c r="U465" s="80" t="s">
        <v>825</v>
      </c>
      <c r="V465" s="80" t="s">
        <v>126</v>
      </c>
      <c r="W465" s="80" t="s">
        <v>127</v>
      </c>
      <c r="X465" s="80"/>
      <c r="Y465" s="80"/>
    </row>
    <row r="466" spans="1:25">
      <c r="A466" s="80">
        <f t="shared" si="7"/>
        <v>465</v>
      </c>
      <c r="B466" s="10">
        <v>45969.595763888901</v>
      </c>
      <c r="C466" s="80" t="s">
        <v>261</v>
      </c>
      <c r="D466" s="80" t="s">
        <v>2637</v>
      </c>
      <c r="E466" s="80" t="s">
        <v>2638</v>
      </c>
      <c r="F466" s="80" t="s">
        <v>2639</v>
      </c>
      <c r="G466" s="80" t="s">
        <v>2640</v>
      </c>
      <c r="H466" s="80" t="s">
        <v>174</v>
      </c>
      <c r="I466" s="80" t="s">
        <v>173</v>
      </c>
      <c r="J466" s="80" t="s">
        <v>149</v>
      </c>
      <c r="K466" s="80">
        <v>1</v>
      </c>
      <c r="L466" s="80" t="s">
        <v>2641</v>
      </c>
      <c r="M466" s="80" t="s">
        <v>2642</v>
      </c>
      <c r="N466" s="80" t="s">
        <v>164</v>
      </c>
      <c r="O466" s="80" t="s">
        <v>165</v>
      </c>
      <c r="P466" s="80" t="s">
        <v>214</v>
      </c>
      <c r="Q466" s="80" t="s">
        <v>123</v>
      </c>
      <c r="R466" s="80" t="s">
        <v>174</v>
      </c>
      <c r="S466" s="80">
        <v>1</v>
      </c>
      <c r="T466" s="80">
        <v>24</v>
      </c>
      <c r="U466" s="80" t="s">
        <v>270</v>
      </c>
      <c r="V466" s="80" t="s">
        <v>126</v>
      </c>
      <c r="W466" s="80" t="s">
        <v>127</v>
      </c>
      <c r="X466" s="80"/>
      <c r="Y466" s="80"/>
    </row>
    <row r="467" spans="1:25">
      <c r="A467" s="80">
        <f t="shared" si="7"/>
        <v>466</v>
      </c>
      <c r="B467" s="10">
        <v>45969.5991319444</v>
      </c>
      <c r="C467" s="80" t="s">
        <v>553</v>
      </c>
      <c r="D467" s="80" t="s">
        <v>2643</v>
      </c>
      <c r="E467" s="80" t="s">
        <v>2644</v>
      </c>
      <c r="F467" s="80" t="s">
        <v>2645</v>
      </c>
      <c r="G467" s="80" t="s">
        <v>2646</v>
      </c>
      <c r="H467" s="80" t="s">
        <v>115</v>
      </c>
      <c r="I467" s="80" t="s">
        <v>252</v>
      </c>
      <c r="J467" s="80" t="s">
        <v>461</v>
      </c>
      <c r="K467" s="80">
        <v>18</v>
      </c>
      <c r="L467" s="80" t="s">
        <v>2647</v>
      </c>
      <c r="M467" s="80" t="s">
        <v>2648</v>
      </c>
      <c r="N467" s="80" t="s">
        <v>120</v>
      </c>
      <c r="O467" s="80" t="s">
        <v>152</v>
      </c>
      <c r="P467" s="80" t="s">
        <v>135</v>
      </c>
      <c r="Q467" s="80" t="s">
        <v>123</v>
      </c>
      <c r="R467" s="80" t="s">
        <v>174</v>
      </c>
      <c r="S467" s="80">
        <v>8</v>
      </c>
      <c r="T467" s="80">
        <v>12</v>
      </c>
      <c r="U467" s="80" t="s">
        <v>562</v>
      </c>
      <c r="V467" s="80" t="s">
        <v>126</v>
      </c>
      <c r="W467" s="80" t="s">
        <v>127</v>
      </c>
      <c r="X467" s="80"/>
      <c r="Y467" s="80"/>
    </row>
    <row r="468" spans="1:25">
      <c r="A468" s="80">
        <f t="shared" si="7"/>
        <v>467</v>
      </c>
      <c r="B468" s="10">
        <v>45969.600196759297</v>
      </c>
      <c r="C468" s="80" t="s">
        <v>589</v>
      </c>
      <c r="D468" s="80" t="s">
        <v>2649</v>
      </c>
      <c r="E468" s="80" t="s">
        <v>2650</v>
      </c>
      <c r="F468" s="80" t="s">
        <v>2651</v>
      </c>
      <c r="G468" s="80" t="s">
        <v>2652</v>
      </c>
      <c r="H468" s="80" t="s">
        <v>115</v>
      </c>
      <c r="I468" s="80" t="s">
        <v>1383</v>
      </c>
      <c r="J468" s="80" t="s">
        <v>117</v>
      </c>
      <c r="K468" s="80">
        <v>6</v>
      </c>
      <c r="L468" s="80" t="s">
        <v>2653</v>
      </c>
      <c r="M468" s="80" t="s">
        <v>2654</v>
      </c>
      <c r="N468" s="80" t="s">
        <v>120</v>
      </c>
      <c r="O468" s="80" t="s">
        <v>152</v>
      </c>
      <c r="P468" s="80" t="s">
        <v>588</v>
      </c>
      <c r="Q468" s="80" t="s">
        <v>123</v>
      </c>
      <c r="R468" s="80" t="s">
        <v>174</v>
      </c>
      <c r="S468" s="80">
        <v>16</v>
      </c>
      <c r="T468" s="80">
        <v>18</v>
      </c>
      <c r="U468" s="80" t="s">
        <v>596</v>
      </c>
      <c r="V468" s="80" t="s">
        <v>126</v>
      </c>
      <c r="W468" s="80" t="s">
        <v>127</v>
      </c>
      <c r="X468" s="80"/>
      <c r="Y468" s="80"/>
    </row>
    <row r="469" spans="1:25">
      <c r="A469" s="80">
        <f t="shared" si="7"/>
        <v>468</v>
      </c>
      <c r="B469" s="10">
        <v>45969.603692129604</v>
      </c>
      <c r="C469" s="80" t="s">
        <v>362</v>
      </c>
      <c r="D469" s="80" t="s">
        <v>2655</v>
      </c>
      <c r="E469" s="80" t="s">
        <v>2656</v>
      </c>
      <c r="F469" s="80" t="s">
        <v>2657</v>
      </c>
      <c r="G469" s="80" t="s">
        <v>2658</v>
      </c>
      <c r="H469" s="80" t="s">
        <v>115</v>
      </c>
      <c r="I469" s="80" t="s">
        <v>865</v>
      </c>
      <c r="J469" s="80" t="s">
        <v>149</v>
      </c>
      <c r="K469" s="80">
        <v>11</v>
      </c>
      <c r="L469" s="80" t="s">
        <v>2659</v>
      </c>
      <c r="M469" s="80" t="s">
        <v>2660</v>
      </c>
      <c r="N469" s="80" t="s">
        <v>120</v>
      </c>
      <c r="O469" s="80" t="s">
        <v>240</v>
      </c>
      <c r="P469" s="80" t="s">
        <v>135</v>
      </c>
      <c r="Q469" s="80" t="s">
        <v>123</v>
      </c>
      <c r="R469" s="80" t="s">
        <v>174</v>
      </c>
      <c r="S469" s="80">
        <v>1</v>
      </c>
      <c r="T469" s="80">
        <v>18</v>
      </c>
      <c r="U469" s="80" t="s">
        <v>364</v>
      </c>
      <c r="V469" s="80" t="s">
        <v>126</v>
      </c>
      <c r="W469" s="80" t="s">
        <v>127</v>
      </c>
      <c r="X469" s="80"/>
      <c r="Y469" s="80"/>
    </row>
    <row r="470" spans="1:25">
      <c r="A470" s="80">
        <f t="shared" si="7"/>
        <v>469</v>
      </c>
      <c r="B470" s="10">
        <v>45969.6308796296</v>
      </c>
      <c r="C470" s="80" t="s">
        <v>840</v>
      </c>
      <c r="D470" s="80" t="s">
        <v>2661</v>
      </c>
      <c r="E470" s="80" t="s">
        <v>2662</v>
      </c>
      <c r="F470" s="80" t="s">
        <v>2663</v>
      </c>
      <c r="G470" s="80" t="s">
        <v>2664</v>
      </c>
      <c r="H470" s="80" t="s">
        <v>115</v>
      </c>
      <c r="I470" s="80" t="s">
        <v>865</v>
      </c>
      <c r="J470" s="80" t="s">
        <v>149</v>
      </c>
      <c r="K470" s="80">
        <v>10</v>
      </c>
      <c r="L470" s="80" t="s">
        <v>2665</v>
      </c>
      <c r="M470" s="80" t="s">
        <v>2666</v>
      </c>
      <c r="N470" s="80" t="s">
        <v>120</v>
      </c>
      <c r="O470" s="80" t="s">
        <v>990</v>
      </c>
      <c r="P470" s="80" t="s">
        <v>135</v>
      </c>
      <c r="Q470" s="80" t="s">
        <v>123</v>
      </c>
      <c r="R470" s="80" t="s">
        <v>174</v>
      </c>
      <c r="S470" s="80">
        <v>2</v>
      </c>
      <c r="T470" s="80">
        <v>18</v>
      </c>
      <c r="U470" s="80" t="s">
        <v>843</v>
      </c>
      <c r="V470" s="80" t="s">
        <v>126</v>
      </c>
      <c r="W470" s="80" t="s">
        <v>127</v>
      </c>
      <c r="X470" s="80"/>
      <c r="Y470" s="80"/>
    </row>
    <row r="471" spans="1:25">
      <c r="A471" s="80">
        <f t="shared" si="7"/>
        <v>470</v>
      </c>
      <c r="B471" s="10">
        <v>45969.6328587963</v>
      </c>
      <c r="C471" s="80" t="s">
        <v>880</v>
      </c>
      <c r="D471" s="80" t="s">
        <v>2667</v>
      </c>
      <c r="E471" s="80" t="s">
        <v>2668</v>
      </c>
      <c r="F471" s="80" t="s">
        <v>2669</v>
      </c>
      <c r="G471" s="80" t="s">
        <v>2670</v>
      </c>
      <c r="H471" s="80" t="s">
        <v>115</v>
      </c>
      <c r="I471" s="80" t="s">
        <v>252</v>
      </c>
      <c r="J471" s="80" t="s">
        <v>117</v>
      </c>
      <c r="K471" s="80">
        <v>1</v>
      </c>
      <c r="L471" s="80" t="s">
        <v>2671</v>
      </c>
      <c r="M471" s="80" t="s">
        <v>2672</v>
      </c>
      <c r="N471" s="80" t="s">
        <v>120</v>
      </c>
      <c r="O471" s="80" t="s">
        <v>152</v>
      </c>
      <c r="P471" s="80" t="s">
        <v>279</v>
      </c>
      <c r="Q471" s="80" t="s">
        <v>123</v>
      </c>
      <c r="R471" s="80" t="s">
        <v>136</v>
      </c>
      <c r="S471" s="80">
        <v>16</v>
      </c>
      <c r="T471" s="80">
        <v>24</v>
      </c>
      <c r="U471" s="80" t="s">
        <v>882</v>
      </c>
      <c r="V471" s="80" t="s">
        <v>126</v>
      </c>
      <c r="W471" s="80" t="s">
        <v>127</v>
      </c>
      <c r="X471" s="80"/>
      <c r="Y471" s="80"/>
    </row>
    <row r="472" spans="1:25">
      <c r="A472" s="80">
        <f t="shared" si="7"/>
        <v>471</v>
      </c>
      <c r="B472" s="10">
        <v>45969.633472222202</v>
      </c>
      <c r="C472" s="80" t="s">
        <v>840</v>
      </c>
      <c r="D472" s="80" t="s">
        <v>2673</v>
      </c>
      <c r="E472" s="80" t="s">
        <v>2668</v>
      </c>
      <c r="F472" s="80" t="s">
        <v>2669</v>
      </c>
      <c r="G472" s="80" t="s">
        <v>2670</v>
      </c>
      <c r="H472" s="80" t="s">
        <v>115</v>
      </c>
      <c r="I472" s="80" t="s">
        <v>252</v>
      </c>
      <c r="J472" s="80" t="s">
        <v>117</v>
      </c>
      <c r="K472" s="80">
        <v>1</v>
      </c>
      <c r="L472" s="80" t="s">
        <v>2671</v>
      </c>
      <c r="M472" s="80" t="s">
        <v>2672</v>
      </c>
      <c r="N472" s="80" t="s">
        <v>120</v>
      </c>
      <c r="O472" s="80" t="s">
        <v>152</v>
      </c>
      <c r="P472" s="80" t="s">
        <v>279</v>
      </c>
      <c r="Q472" s="80" t="s">
        <v>123</v>
      </c>
      <c r="R472" s="80" t="s">
        <v>136</v>
      </c>
      <c r="S472" s="80">
        <v>16</v>
      </c>
      <c r="T472" s="80">
        <v>24</v>
      </c>
      <c r="U472" s="80" t="s">
        <v>843</v>
      </c>
      <c r="V472" s="80" t="s">
        <v>126</v>
      </c>
      <c r="W472" s="80" t="s">
        <v>127</v>
      </c>
      <c r="X472" s="80"/>
      <c r="Y472" s="80"/>
    </row>
    <row r="473" spans="1:25">
      <c r="A473" s="80">
        <f t="shared" si="7"/>
        <v>472</v>
      </c>
      <c r="B473" s="10">
        <v>45969.633750000001</v>
      </c>
      <c r="C473" s="80" t="s">
        <v>589</v>
      </c>
      <c r="D473" s="80" t="s">
        <v>2674</v>
      </c>
      <c r="E473" s="80" t="s">
        <v>2675</v>
      </c>
      <c r="F473" s="80" t="s">
        <v>2676</v>
      </c>
      <c r="G473" s="80" t="s">
        <v>2677</v>
      </c>
      <c r="H473" s="80" t="s">
        <v>115</v>
      </c>
      <c r="I473" s="80" t="s">
        <v>918</v>
      </c>
      <c r="J473" s="80" t="s">
        <v>117</v>
      </c>
      <c r="K473" s="80">
        <v>1</v>
      </c>
      <c r="L473" s="80" t="s">
        <v>2678</v>
      </c>
      <c r="M473" s="80" t="s">
        <v>2679</v>
      </c>
      <c r="N473" s="80" t="s">
        <v>120</v>
      </c>
      <c r="O473" s="80" t="s">
        <v>152</v>
      </c>
      <c r="P473" s="80" t="s">
        <v>279</v>
      </c>
      <c r="Q473" s="80" t="s">
        <v>123</v>
      </c>
      <c r="R473" s="80" t="s">
        <v>136</v>
      </c>
      <c r="S473" s="80">
        <v>13</v>
      </c>
      <c r="T473" s="80">
        <v>18</v>
      </c>
      <c r="U473" s="80" t="s">
        <v>596</v>
      </c>
      <c r="V473" s="80" t="s">
        <v>126</v>
      </c>
      <c r="W473" s="80" t="s">
        <v>127</v>
      </c>
      <c r="X473" s="80"/>
      <c r="Y473" s="80"/>
    </row>
    <row r="474" spans="1:25">
      <c r="A474" s="80">
        <f t="shared" si="7"/>
        <v>473</v>
      </c>
      <c r="B474" s="10">
        <v>45969.6338888889</v>
      </c>
      <c r="C474" s="80" t="s">
        <v>359</v>
      </c>
      <c r="D474" s="80" t="s">
        <v>2680</v>
      </c>
      <c r="E474" s="80" t="s">
        <v>2681</v>
      </c>
      <c r="F474" s="80" t="s">
        <v>2682</v>
      </c>
      <c r="G474" s="80" t="s">
        <v>2683</v>
      </c>
      <c r="H474" s="80" t="s">
        <v>174</v>
      </c>
      <c r="I474" s="80" t="s">
        <v>173</v>
      </c>
      <c r="J474" s="80" t="s">
        <v>149</v>
      </c>
      <c r="K474" s="80">
        <v>1</v>
      </c>
      <c r="L474" s="80" t="s">
        <v>2684</v>
      </c>
      <c r="M474" s="80" t="s">
        <v>2685</v>
      </c>
      <c r="N474" s="80" t="s">
        <v>120</v>
      </c>
      <c r="O474" s="80" t="s">
        <v>152</v>
      </c>
      <c r="P474" s="80" t="s">
        <v>287</v>
      </c>
      <c r="Q474" s="80" t="s">
        <v>123</v>
      </c>
      <c r="R474" s="80" t="s">
        <v>124</v>
      </c>
      <c r="S474" s="80">
        <v>17</v>
      </c>
      <c r="T474" s="80">
        <v>18</v>
      </c>
      <c r="U474" s="80" t="s">
        <v>361</v>
      </c>
      <c r="V474" s="80" t="s">
        <v>126</v>
      </c>
      <c r="W474" s="80" t="s">
        <v>127</v>
      </c>
      <c r="X474" s="80"/>
      <c r="Y474" s="80"/>
    </row>
    <row r="475" spans="1:25">
      <c r="A475" s="80">
        <f t="shared" si="7"/>
        <v>474</v>
      </c>
      <c r="B475" s="10">
        <v>45969.640150462998</v>
      </c>
      <c r="C475" s="80" t="s">
        <v>222</v>
      </c>
      <c r="D475" s="80" t="s">
        <v>2686</v>
      </c>
      <c r="E475" s="80" t="s">
        <v>2053</v>
      </c>
      <c r="F475" s="80" t="s">
        <v>2054</v>
      </c>
      <c r="G475" s="80" t="s">
        <v>2055</v>
      </c>
      <c r="H475" s="80" t="s">
        <v>115</v>
      </c>
      <c r="I475" s="80" t="s">
        <v>842</v>
      </c>
      <c r="J475" s="80" t="s">
        <v>117</v>
      </c>
      <c r="K475" s="80">
        <v>14</v>
      </c>
      <c r="L475" s="80" t="s">
        <v>2056</v>
      </c>
      <c r="M475" s="80" t="s">
        <v>2057</v>
      </c>
      <c r="N475" s="80" t="s">
        <v>120</v>
      </c>
      <c r="O475" s="80" t="s">
        <v>152</v>
      </c>
      <c r="P475" s="80" t="s">
        <v>178</v>
      </c>
      <c r="Q475" s="80" t="s">
        <v>123</v>
      </c>
      <c r="R475" s="80" t="s">
        <v>174</v>
      </c>
      <c r="S475" s="80">
        <v>7</v>
      </c>
      <c r="T475" s="80">
        <v>24</v>
      </c>
      <c r="U475" s="80" t="s">
        <v>232</v>
      </c>
      <c r="V475" s="80" t="s">
        <v>126</v>
      </c>
      <c r="W475" s="80" t="s">
        <v>127</v>
      </c>
      <c r="X475" s="80"/>
      <c r="Y475" s="80"/>
    </row>
    <row r="476" spans="1:25">
      <c r="A476" s="80">
        <f t="shared" si="7"/>
        <v>475</v>
      </c>
      <c r="B476" s="10">
        <v>45969.648252314801</v>
      </c>
      <c r="C476" s="80" t="s">
        <v>840</v>
      </c>
      <c r="D476" s="80" t="s">
        <v>2687</v>
      </c>
      <c r="E476" s="80" t="s">
        <v>2688</v>
      </c>
      <c r="F476" s="80" t="s">
        <v>2689</v>
      </c>
      <c r="G476" s="80" t="s">
        <v>2690</v>
      </c>
      <c r="H476" s="80" t="s">
        <v>115</v>
      </c>
      <c r="I476" s="80" t="s">
        <v>865</v>
      </c>
      <c r="J476" s="80" t="s">
        <v>149</v>
      </c>
      <c r="K476" s="80">
        <v>12</v>
      </c>
      <c r="L476" s="80" t="s">
        <v>2691</v>
      </c>
      <c r="M476" s="80" t="s">
        <v>2692</v>
      </c>
      <c r="N476" s="80" t="s">
        <v>120</v>
      </c>
      <c r="O476" s="80" t="s">
        <v>449</v>
      </c>
      <c r="P476" s="80" t="s">
        <v>135</v>
      </c>
      <c r="Q476" s="80" t="s">
        <v>123</v>
      </c>
      <c r="R476" s="80" t="s">
        <v>174</v>
      </c>
      <c r="S476" s="80">
        <v>2</v>
      </c>
      <c r="T476" s="80">
        <v>18</v>
      </c>
      <c r="U476" s="80" t="s">
        <v>843</v>
      </c>
      <c r="V476" s="80" t="s">
        <v>126</v>
      </c>
      <c r="W476" s="80" t="s">
        <v>127</v>
      </c>
      <c r="X476" s="80"/>
      <c r="Y476" s="80"/>
    </row>
    <row r="477" spans="1:25">
      <c r="A477" s="80">
        <f t="shared" si="7"/>
        <v>476</v>
      </c>
      <c r="B477" s="10">
        <v>45969.652407407397</v>
      </c>
      <c r="C477" s="80" t="s">
        <v>222</v>
      </c>
      <c r="D477" s="80" t="s">
        <v>2693</v>
      </c>
      <c r="E477" s="80" t="s">
        <v>2694</v>
      </c>
      <c r="F477" s="80" t="s">
        <v>2695</v>
      </c>
      <c r="G477" s="80" t="s">
        <v>2696</v>
      </c>
      <c r="H477" s="80" t="s">
        <v>210</v>
      </c>
      <c r="I477" s="80" t="s">
        <v>35</v>
      </c>
      <c r="J477" s="80" t="s">
        <v>149</v>
      </c>
      <c r="K477" s="80">
        <v>23</v>
      </c>
      <c r="L477" s="80" t="s">
        <v>2697</v>
      </c>
      <c r="M477" s="80" t="s">
        <v>2698</v>
      </c>
      <c r="N477" s="80" t="s">
        <v>120</v>
      </c>
      <c r="O477" s="80" t="s">
        <v>152</v>
      </c>
      <c r="P477" s="80" t="s">
        <v>287</v>
      </c>
      <c r="Q477" s="80" t="s">
        <v>123</v>
      </c>
      <c r="R477" s="80" t="s">
        <v>136</v>
      </c>
      <c r="S477" s="80">
        <v>13</v>
      </c>
      <c r="T477" s="80">
        <v>18</v>
      </c>
      <c r="U477" s="80" t="s">
        <v>232</v>
      </c>
      <c r="V477" s="80" t="s">
        <v>126</v>
      </c>
      <c r="W477" s="80" t="s">
        <v>1770</v>
      </c>
      <c r="X477" s="80"/>
      <c r="Y477" s="80"/>
    </row>
    <row r="478" spans="1:25">
      <c r="A478" s="80">
        <f t="shared" si="7"/>
        <v>477</v>
      </c>
      <c r="B478" s="10">
        <v>45969.659687500003</v>
      </c>
      <c r="C478" s="80" t="s">
        <v>1465</v>
      </c>
      <c r="D478" s="80" t="s">
        <v>2699</v>
      </c>
      <c r="E478" s="80" t="s">
        <v>2700</v>
      </c>
      <c r="F478" s="80" t="s">
        <v>2701</v>
      </c>
      <c r="G478" s="80" t="s">
        <v>2702</v>
      </c>
      <c r="H478" s="80" t="s">
        <v>115</v>
      </c>
      <c r="I478" s="80" t="s">
        <v>865</v>
      </c>
      <c r="J478" s="80" t="s">
        <v>149</v>
      </c>
      <c r="K478" s="80">
        <v>6</v>
      </c>
      <c r="L478" s="80" t="s">
        <v>2703</v>
      </c>
      <c r="M478" s="80" t="s">
        <v>2704</v>
      </c>
      <c r="N478" s="80" t="s">
        <v>120</v>
      </c>
      <c r="O478" s="80" t="s">
        <v>2705</v>
      </c>
      <c r="P478" s="80" t="s">
        <v>178</v>
      </c>
      <c r="Q478" s="80" t="s">
        <v>123</v>
      </c>
      <c r="R478" s="80" t="s">
        <v>174</v>
      </c>
      <c r="S478" s="80">
        <v>1</v>
      </c>
      <c r="T478" s="80">
        <v>12</v>
      </c>
      <c r="U478" s="80" t="s">
        <v>1473</v>
      </c>
      <c r="V478" s="80" t="s">
        <v>126</v>
      </c>
      <c r="W478" s="80" t="s">
        <v>127</v>
      </c>
      <c r="X478" s="80"/>
      <c r="Y478" s="80"/>
    </row>
    <row r="479" spans="1:25">
      <c r="A479" s="80">
        <f t="shared" si="7"/>
        <v>478</v>
      </c>
      <c r="B479" s="10">
        <v>45969.667141203703</v>
      </c>
      <c r="C479" s="80" t="s">
        <v>2323</v>
      </c>
      <c r="D479" s="80" t="s">
        <v>2324</v>
      </c>
      <c r="E479" s="80" t="s">
        <v>2706</v>
      </c>
      <c r="F479" s="80" t="s">
        <v>2707</v>
      </c>
      <c r="G479" s="80" t="s">
        <v>2708</v>
      </c>
      <c r="H479" s="80" t="s">
        <v>115</v>
      </c>
      <c r="I479" s="80" t="s">
        <v>865</v>
      </c>
      <c r="J479" s="80" t="s">
        <v>149</v>
      </c>
      <c r="K479" s="80">
        <v>16</v>
      </c>
      <c r="L479" s="80" t="s">
        <v>2709</v>
      </c>
      <c r="M479" s="80" t="s">
        <v>2710</v>
      </c>
      <c r="N479" s="80" t="s">
        <v>120</v>
      </c>
      <c r="O479" s="80" t="s">
        <v>2711</v>
      </c>
      <c r="P479" s="80" t="s">
        <v>269</v>
      </c>
      <c r="Q479" s="80" t="s">
        <v>123</v>
      </c>
      <c r="R479" s="80" t="s">
        <v>174</v>
      </c>
      <c r="S479" s="80">
        <v>1</v>
      </c>
      <c r="T479" s="80">
        <v>18</v>
      </c>
      <c r="U479" s="80" t="s">
        <v>2330</v>
      </c>
      <c r="V479" s="80" t="s">
        <v>126</v>
      </c>
      <c r="W479" s="80" t="s">
        <v>127</v>
      </c>
      <c r="X479" s="80"/>
      <c r="Y479" s="80"/>
    </row>
    <row r="480" spans="1:25">
      <c r="A480" s="80">
        <f t="shared" si="7"/>
        <v>479</v>
      </c>
      <c r="B480" s="10">
        <v>45969.680972222202</v>
      </c>
      <c r="C480" s="80" t="s">
        <v>110</v>
      </c>
      <c r="D480" s="80" t="s">
        <v>2712</v>
      </c>
      <c r="E480" s="80" t="s">
        <v>2713</v>
      </c>
      <c r="F480" s="80" t="e">
        <v>#N/A</v>
      </c>
      <c r="G480" s="80" t="e">
        <v>#N/A</v>
      </c>
      <c r="H480" s="80" t="e">
        <v>#N/A</v>
      </c>
      <c r="I480" s="80" t="e">
        <v>#N/A</v>
      </c>
      <c r="J480" s="80" t="e">
        <v>#N/A</v>
      </c>
      <c r="K480" s="80" t="e">
        <v>#N/A</v>
      </c>
      <c r="L480" s="80" t="e">
        <v>#N/A</v>
      </c>
      <c r="M480" s="80" t="e">
        <v>#N/A</v>
      </c>
      <c r="N480" s="80" t="e">
        <v>#N/A</v>
      </c>
      <c r="O480" s="80" t="e">
        <v>#N/A</v>
      </c>
      <c r="P480" s="80" t="e">
        <v>#N/A</v>
      </c>
      <c r="Q480" s="80" t="e">
        <v>#N/A</v>
      </c>
      <c r="R480" s="80" t="e">
        <v>#N/A</v>
      </c>
      <c r="S480" s="80" t="e">
        <v>#N/A</v>
      </c>
      <c r="T480" s="80" t="e">
        <v>#N/A</v>
      </c>
      <c r="U480" s="80" t="s">
        <v>125</v>
      </c>
      <c r="V480" s="80" t="s">
        <v>126</v>
      </c>
      <c r="W480" s="80" t="s">
        <v>127</v>
      </c>
      <c r="X480" s="80"/>
      <c r="Y480" s="80"/>
    </row>
    <row r="481" spans="1:25">
      <c r="A481" s="80">
        <f t="shared" si="7"/>
        <v>480</v>
      </c>
      <c r="B481" s="10">
        <v>45969.681689814803</v>
      </c>
      <c r="C481" s="80" t="s">
        <v>110</v>
      </c>
      <c r="D481" s="80" t="s">
        <v>2714</v>
      </c>
      <c r="E481" s="80" t="s">
        <v>2715</v>
      </c>
      <c r="F481" s="80" t="e">
        <v>#N/A</v>
      </c>
      <c r="G481" s="80" t="e">
        <v>#N/A</v>
      </c>
      <c r="H481" s="80" t="e">
        <v>#N/A</v>
      </c>
      <c r="I481" s="80" t="e">
        <v>#N/A</v>
      </c>
      <c r="J481" s="80" t="e">
        <v>#N/A</v>
      </c>
      <c r="K481" s="80" t="e">
        <v>#N/A</v>
      </c>
      <c r="L481" s="80" t="e">
        <v>#N/A</v>
      </c>
      <c r="M481" s="80" t="e">
        <v>#N/A</v>
      </c>
      <c r="N481" s="80" t="e">
        <v>#N/A</v>
      </c>
      <c r="O481" s="80" t="e">
        <v>#N/A</v>
      </c>
      <c r="P481" s="80" t="e">
        <v>#N/A</v>
      </c>
      <c r="Q481" s="80" t="e">
        <v>#N/A</v>
      </c>
      <c r="R481" s="80" t="e">
        <v>#N/A</v>
      </c>
      <c r="S481" s="80" t="e">
        <v>#N/A</v>
      </c>
      <c r="T481" s="80" t="e">
        <v>#N/A</v>
      </c>
      <c r="U481" s="80" t="s">
        <v>125</v>
      </c>
      <c r="V481" s="80" t="s">
        <v>126</v>
      </c>
      <c r="W481" s="80" t="s">
        <v>127</v>
      </c>
      <c r="X481" s="80"/>
      <c r="Y481" s="80"/>
    </row>
    <row r="482" spans="1:25">
      <c r="A482" s="80">
        <f t="shared" si="7"/>
        <v>481</v>
      </c>
      <c r="B482" s="10">
        <v>45969.723923611098</v>
      </c>
      <c r="C482" s="80" t="s">
        <v>2323</v>
      </c>
      <c r="D482" s="80" t="s">
        <v>2716</v>
      </c>
      <c r="E482" s="80" t="s">
        <v>2717</v>
      </c>
      <c r="F482" s="80" t="s">
        <v>2718</v>
      </c>
      <c r="G482" s="80" t="s">
        <v>2719</v>
      </c>
      <c r="H482" s="80" t="s">
        <v>115</v>
      </c>
      <c r="I482" s="80" t="s">
        <v>865</v>
      </c>
      <c r="J482" s="80" t="s">
        <v>117</v>
      </c>
      <c r="K482" s="80">
        <v>22</v>
      </c>
      <c r="L482" s="80" t="s">
        <v>2720</v>
      </c>
      <c r="M482" s="80" t="s">
        <v>2721</v>
      </c>
      <c r="N482" s="80" t="s">
        <v>120</v>
      </c>
      <c r="O482" s="80" t="s">
        <v>121</v>
      </c>
      <c r="P482" s="80" t="s">
        <v>122</v>
      </c>
      <c r="Q482" s="80" t="s">
        <v>123</v>
      </c>
      <c r="R482" s="80" t="s">
        <v>174</v>
      </c>
      <c r="S482" s="80">
        <v>19</v>
      </c>
      <c r="T482" s="80">
        <v>24</v>
      </c>
      <c r="U482" s="80" t="s">
        <v>2330</v>
      </c>
      <c r="V482" s="80" t="s">
        <v>126</v>
      </c>
      <c r="W482" s="80" t="s">
        <v>127</v>
      </c>
      <c r="X482" s="80"/>
      <c r="Y482" s="80"/>
    </row>
    <row r="483" spans="1:25">
      <c r="A483" s="80">
        <f t="shared" si="7"/>
        <v>482</v>
      </c>
      <c r="B483" s="10">
        <v>45969.786712963003</v>
      </c>
      <c r="C483" s="13" t="s">
        <v>110</v>
      </c>
      <c r="D483" s="80" t="s">
        <v>2722</v>
      </c>
      <c r="E483" s="80" t="s">
        <v>2723</v>
      </c>
      <c r="F483" s="80" t="s">
        <v>2724</v>
      </c>
      <c r="G483" s="80" t="s">
        <v>2725</v>
      </c>
      <c r="H483" s="80" t="s">
        <v>210</v>
      </c>
      <c r="I483" s="80" t="s">
        <v>50</v>
      </c>
      <c r="J483" s="80" t="s">
        <v>149</v>
      </c>
      <c r="K483" s="80">
        <v>10</v>
      </c>
      <c r="L483" s="80" t="s">
        <v>2726</v>
      </c>
      <c r="M483" s="80" t="s">
        <v>2727</v>
      </c>
      <c r="N483" s="80" t="s">
        <v>120</v>
      </c>
      <c r="O483" s="80" t="s">
        <v>152</v>
      </c>
      <c r="P483" s="80" t="s">
        <v>135</v>
      </c>
      <c r="Q483" s="80" t="s">
        <v>123</v>
      </c>
      <c r="R483" s="80" t="s">
        <v>136</v>
      </c>
      <c r="S483" s="80">
        <v>12</v>
      </c>
      <c r="T483" s="80">
        <v>36</v>
      </c>
      <c r="U483" s="80" t="s">
        <v>125</v>
      </c>
      <c r="V483" s="80" t="s">
        <v>126</v>
      </c>
      <c r="W483" s="80" t="s">
        <v>5333</v>
      </c>
      <c r="X483" s="80"/>
      <c r="Y483" s="80"/>
    </row>
    <row r="484" spans="1:25">
      <c r="A484" s="80">
        <f t="shared" si="7"/>
        <v>483</v>
      </c>
      <c r="B484" s="10">
        <v>45969.798796296302</v>
      </c>
      <c r="C484" s="13" t="s">
        <v>494</v>
      </c>
      <c r="D484" s="80" t="s">
        <v>2728</v>
      </c>
      <c r="E484" s="80" t="s">
        <v>2729</v>
      </c>
      <c r="F484" s="80" t="e">
        <v>#N/A</v>
      </c>
      <c r="G484" s="80" t="e">
        <v>#N/A</v>
      </c>
      <c r="H484" s="80" t="e">
        <v>#N/A</v>
      </c>
      <c r="I484" s="80" t="e">
        <v>#N/A</v>
      </c>
      <c r="J484" s="80" t="e">
        <v>#N/A</v>
      </c>
      <c r="K484" s="80" t="e">
        <v>#N/A</v>
      </c>
      <c r="L484" s="80" t="e">
        <v>#N/A</v>
      </c>
      <c r="M484" s="80" t="e">
        <v>#N/A</v>
      </c>
      <c r="N484" s="80" t="e">
        <v>#N/A</v>
      </c>
      <c r="O484" s="80" t="e">
        <v>#N/A</v>
      </c>
      <c r="P484" s="80" t="e">
        <v>#N/A</v>
      </c>
      <c r="Q484" s="80" t="e">
        <v>#N/A</v>
      </c>
      <c r="R484" s="80" t="e">
        <v>#N/A</v>
      </c>
      <c r="S484" s="80" t="e">
        <v>#N/A</v>
      </c>
      <c r="T484" s="80" t="e">
        <v>#N/A</v>
      </c>
      <c r="U484" s="80" t="s">
        <v>503</v>
      </c>
      <c r="V484" s="80" t="s">
        <v>126</v>
      </c>
      <c r="W484" s="80" t="s">
        <v>137</v>
      </c>
      <c r="X484" s="80"/>
      <c r="Y484" s="80"/>
    </row>
    <row r="485" spans="1:25">
      <c r="A485" s="80">
        <f t="shared" si="7"/>
        <v>484</v>
      </c>
      <c r="B485" s="10">
        <v>45969.806678240697</v>
      </c>
      <c r="C485" s="13" t="s">
        <v>110</v>
      </c>
      <c r="D485" s="80" t="s">
        <v>2730</v>
      </c>
      <c r="E485" s="80" t="s">
        <v>2731</v>
      </c>
      <c r="F485" s="80" t="e">
        <v>#N/A</v>
      </c>
      <c r="G485" s="80" t="e">
        <v>#N/A</v>
      </c>
      <c r="H485" s="80" t="e">
        <v>#N/A</v>
      </c>
      <c r="I485" s="80" t="e">
        <v>#N/A</v>
      </c>
      <c r="J485" s="80" t="e">
        <v>#N/A</v>
      </c>
      <c r="K485" s="80" t="e">
        <v>#N/A</v>
      </c>
      <c r="L485" s="80" t="e">
        <v>#N/A</v>
      </c>
      <c r="M485" s="80" t="e">
        <v>#N/A</v>
      </c>
      <c r="N485" s="80" t="e">
        <v>#N/A</v>
      </c>
      <c r="O485" s="80" t="e">
        <v>#N/A</v>
      </c>
      <c r="P485" s="80" t="e">
        <v>#N/A</v>
      </c>
      <c r="Q485" s="80" t="e">
        <v>#N/A</v>
      </c>
      <c r="R485" s="80" t="e">
        <v>#N/A</v>
      </c>
      <c r="S485" s="80" t="e">
        <v>#N/A</v>
      </c>
      <c r="T485" s="80" t="e">
        <v>#N/A</v>
      </c>
      <c r="U485" s="80" t="s">
        <v>125</v>
      </c>
      <c r="V485" s="80" t="s">
        <v>126</v>
      </c>
      <c r="W485" s="80" t="s">
        <v>127</v>
      </c>
      <c r="X485" s="80"/>
      <c r="Y485" s="80"/>
    </row>
    <row r="486" spans="1:25">
      <c r="A486" s="80">
        <f t="shared" si="7"/>
        <v>485</v>
      </c>
      <c r="B486" s="10">
        <v>45969.837303240703</v>
      </c>
      <c r="C486" s="13" t="s">
        <v>110</v>
      </c>
      <c r="D486" s="80" t="s">
        <v>2732</v>
      </c>
      <c r="E486" s="80" t="s">
        <v>241</v>
      </c>
      <c r="F486" s="80" t="s">
        <v>242</v>
      </c>
      <c r="G486" s="80" t="s">
        <v>243</v>
      </c>
      <c r="H486" s="80" t="s">
        <v>115</v>
      </c>
      <c r="I486" s="80" t="s">
        <v>244</v>
      </c>
      <c r="J486" s="80" t="s">
        <v>117</v>
      </c>
      <c r="K486" s="80">
        <v>21</v>
      </c>
      <c r="L486" s="80" t="s">
        <v>245</v>
      </c>
      <c r="M486" s="80" t="s">
        <v>246</v>
      </c>
      <c r="N486" s="80" t="s">
        <v>120</v>
      </c>
      <c r="O486" s="80" t="s">
        <v>247</v>
      </c>
      <c r="P486" s="80" t="s">
        <v>135</v>
      </c>
      <c r="Q486" s="80" t="s">
        <v>123</v>
      </c>
      <c r="R486" s="80" t="s">
        <v>174</v>
      </c>
      <c r="S486" s="80">
        <v>11</v>
      </c>
      <c r="T486" s="80">
        <v>12</v>
      </c>
      <c r="U486" s="80" t="s">
        <v>125</v>
      </c>
      <c r="V486" s="80" t="s">
        <v>126</v>
      </c>
      <c r="W486" s="80" t="s">
        <v>127</v>
      </c>
      <c r="X486" s="80"/>
      <c r="Y486" s="80"/>
    </row>
    <row r="487" spans="1:25">
      <c r="A487" s="80">
        <f t="shared" si="7"/>
        <v>486</v>
      </c>
      <c r="B487" s="10">
        <v>45969.838125000002</v>
      </c>
      <c r="C487" s="13" t="s">
        <v>110</v>
      </c>
      <c r="D487" s="80" t="s">
        <v>2733</v>
      </c>
      <c r="E487" s="80" t="s">
        <v>2734</v>
      </c>
      <c r="F487" s="80" t="s">
        <v>2735</v>
      </c>
      <c r="G487" s="80" t="s">
        <v>2736</v>
      </c>
      <c r="H487" s="80" t="s">
        <v>115</v>
      </c>
      <c r="I487" s="80" t="s">
        <v>955</v>
      </c>
      <c r="J487" s="80" t="s">
        <v>117</v>
      </c>
      <c r="K487" s="80">
        <v>15</v>
      </c>
      <c r="L487" s="80" t="s">
        <v>2737</v>
      </c>
      <c r="M487" s="80" t="s">
        <v>2738</v>
      </c>
      <c r="N487" s="80" t="s">
        <v>120</v>
      </c>
      <c r="O487" s="80" t="s">
        <v>247</v>
      </c>
      <c r="P487" s="80" t="s">
        <v>1480</v>
      </c>
      <c r="Q487" s="80" t="s">
        <v>123</v>
      </c>
      <c r="R487" s="80" t="s">
        <v>174</v>
      </c>
      <c r="S487" s="80">
        <v>3</v>
      </c>
      <c r="T487" s="80">
        <v>12</v>
      </c>
      <c r="U487" s="80" t="s">
        <v>125</v>
      </c>
      <c r="V487" s="80" t="s">
        <v>126</v>
      </c>
      <c r="W487" s="80" t="s">
        <v>127</v>
      </c>
      <c r="X487" s="80"/>
      <c r="Y487" s="80"/>
    </row>
    <row r="488" spans="1:25">
      <c r="A488" s="80">
        <f t="shared" si="7"/>
        <v>487</v>
      </c>
      <c r="B488" s="10">
        <v>45969.844583333303</v>
      </c>
      <c r="C488" s="13" t="s">
        <v>110</v>
      </c>
      <c r="D488" s="80" t="s">
        <v>2739</v>
      </c>
      <c r="E488" s="80" t="s">
        <v>2740</v>
      </c>
      <c r="F488" s="80" t="s">
        <v>2741</v>
      </c>
      <c r="G488" s="80" t="s">
        <v>2742</v>
      </c>
      <c r="H488" s="80" t="s">
        <v>115</v>
      </c>
      <c r="I488" s="80" t="s">
        <v>865</v>
      </c>
      <c r="J488" s="80" t="s">
        <v>117</v>
      </c>
      <c r="K488" s="80">
        <v>10</v>
      </c>
      <c r="L488" s="80" t="s">
        <v>2743</v>
      </c>
      <c r="M488" s="80" t="s">
        <v>2744</v>
      </c>
      <c r="N488" s="80" t="s">
        <v>120</v>
      </c>
      <c r="O488" s="80" t="s">
        <v>240</v>
      </c>
      <c r="P488" s="80" t="s">
        <v>295</v>
      </c>
      <c r="Q488" s="80" t="s">
        <v>123</v>
      </c>
      <c r="R488" s="80" t="s">
        <v>174</v>
      </c>
      <c r="S488" s="80">
        <v>4</v>
      </c>
      <c r="T488" s="80">
        <v>24</v>
      </c>
      <c r="U488" s="80" t="s">
        <v>125</v>
      </c>
      <c r="V488" s="80" t="s">
        <v>126</v>
      </c>
      <c r="W488" s="80" t="s">
        <v>127</v>
      </c>
      <c r="X488" s="80"/>
      <c r="Y488" s="80"/>
    </row>
    <row r="489" spans="1:25">
      <c r="A489" s="80">
        <f t="shared" si="7"/>
        <v>488</v>
      </c>
      <c r="B489" s="10">
        <v>45969.844884259299</v>
      </c>
      <c r="C489" s="13" t="s">
        <v>110</v>
      </c>
      <c r="D489" s="80" t="s">
        <v>2745</v>
      </c>
      <c r="E489" s="80" t="s">
        <v>2740</v>
      </c>
      <c r="F489" s="80" t="s">
        <v>2741</v>
      </c>
      <c r="G489" s="80" t="s">
        <v>2742</v>
      </c>
      <c r="H489" s="80" t="s">
        <v>115</v>
      </c>
      <c r="I489" s="80" t="s">
        <v>865</v>
      </c>
      <c r="J489" s="80" t="s">
        <v>117</v>
      </c>
      <c r="K489" s="80">
        <v>10</v>
      </c>
      <c r="L489" s="80" t="s">
        <v>2743</v>
      </c>
      <c r="M489" s="80" t="s">
        <v>2744</v>
      </c>
      <c r="N489" s="80" t="s">
        <v>120</v>
      </c>
      <c r="O489" s="80" t="s">
        <v>240</v>
      </c>
      <c r="P489" s="80" t="s">
        <v>295</v>
      </c>
      <c r="Q489" s="80" t="s">
        <v>123</v>
      </c>
      <c r="R489" s="80" t="s">
        <v>174</v>
      </c>
      <c r="S489" s="80">
        <v>4</v>
      </c>
      <c r="T489" s="80">
        <v>24</v>
      </c>
      <c r="U489" s="80" t="s">
        <v>125</v>
      </c>
      <c r="V489" s="80" t="s">
        <v>126</v>
      </c>
      <c r="W489" s="80" t="s">
        <v>127</v>
      </c>
      <c r="X489" s="80"/>
      <c r="Y489" s="80"/>
    </row>
    <row r="490" spans="1:25">
      <c r="A490" s="80">
        <f t="shared" si="7"/>
        <v>489</v>
      </c>
      <c r="B490" s="10">
        <v>45969.8527777778</v>
      </c>
      <c r="C490" s="13" t="s">
        <v>110</v>
      </c>
      <c r="D490" s="80" t="s">
        <v>2746</v>
      </c>
      <c r="E490" s="80" t="s">
        <v>2747</v>
      </c>
      <c r="F490" s="80" t="s">
        <v>2748</v>
      </c>
      <c r="G490" s="80" t="s">
        <v>2749</v>
      </c>
      <c r="H490" s="80" t="s">
        <v>115</v>
      </c>
      <c r="I490" s="80" t="s">
        <v>237</v>
      </c>
      <c r="J490" s="80" t="s">
        <v>117</v>
      </c>
      <c r="K490" s="80">
        <v>26</v>
      </c>
      <c r="L490" s="80" t="s">
        <v>2750</v>
      </c>
      <c r="M490" s="80" t="s">
        <v>2751</v>
      </c>
      <c r="N490" s="80" t="s">
        <v>120</v>
      </c>
      <c r="O490" s="80" t="s">
        <v>572</v>
      </c>
      <c r="P490" s="80" t="s">
        <v>1180</v>
      </c>
      <c r="Q490" s="80" t="s">
        <v>123</v>
      </c>
      <c r="R490" s="80" t="s">
        <v>174</v>
      </c>
      <c r="S490" s="80">
        <v>9</v>
      </c>
      <c r="T490" s="80">
        <v>18</v>
      </c>
      <c r="U490" s="80" t="s">
        <v>125</v>
      </c>
      <c r="V490" s="80" t="s">
        <v>126</v>
      </c>
      <c r="W490" s="80" t="s">
        <v>127</v>
      </c>
      <c r="X490" s="80"/>
      <c r="Y490" s="80"/>
    </row>
    <row r="491" spans="1:25">
      <c r="A491" s="80">
        <f t="shared" si="7"/>
        <v>490</v>
      </c>
      <c r="B491" s="10">
        <v>45969.864861111098</v>
      </c>
      <c r="C491" s="13" t="s">
        <v>110</v>
      </c>
      <c r="D491" s="80" t="s">
        <v>2752</v>
      </c>
      <c r="E491" s="80" t="s">
        <v>2753</v>
      </c>
      <c r="F491" s="80" t="s">
        <v>2754</v>
      </c>
      <c r="G491" s="80" t="s">
        <v>2755</v>
      </c>
      <c r="H491" s="80" t="s">
        <v>115</v>
      </c>
      <c r="I491" s="80" t="s">
        <v>227</v>
      </c>
      <c r="J491" s="80" t="s">
        <v>117</v>
      </c>
      <c r="K491" s="80">
        <v>10</v>
      </c>
      <c r="L491" s="80" t="s">
        <v>2756</v>
      </c>
      <c r="M491" s="80" t="s">
        <v>2757</v>
      </c>
      <c r="N491" s="80" t="s">
        <v>120</v>
      </c>
      <c r="O491" s="80" t="s">
        <v>121</v>
      </c>
      <c r="P491" s="80" t="s">
        <v>269</v>
      </c>
      <c r="Q491" s="80" t="s">
        <v>123</v>
      </c>
      <c r="R491" s="80" t="s">
        <v>174</v>
      </c>
      <c r="S491" s="80">
        <v>15</v>
      </c>
      <c r="T491" s="80">
        <v>18</v>
      </c>
      <c r="U491" s="80" t="s">
        <v>125</v>
      </c>
      <c r="V491" s="80" t="s">
        <v>126</v>
      </c>
      <c r="W491" s="80" t="s">
        <v>127</v>
      </c>
      <c r="X491" s="80"/>
      <c r="Y491" s="80"/>
    </row>
    <row r="492" spans="1:25">
      <c r="A492" s="80">
        <f t="shared" si="7"/>
        <v>491</v>
      </c>
      <c r="B492" s="10">
        <v>45969.869548611103</v>
      </c>
      <c r="C492" s="13" t="s">
        <v>110</v>
      </c>
      <c r="D492" s="80" t="s">
        <v>2758</v>
      </c>
      <c r="E492" s="80" t="s">
        <v>1599</v>
      </c>
      <c r="F492" s="80" t="s">
        <v>1600</v>
      </c>
      <c r="G492" s="80" t="s">
        <v>1601</v>
      </c>
      <c r="H492" s="80" t="s">
        <v>115</v>
      </c>
      <c r="I492" s="80" t="s">
        <v>865</v>
      </c>
      <c r="J492" s="80" t="s">
        <v>117</v>
      </c>
      <c r="K492" s="80">
        <v>1</v>
      </c>
      <c r="L492" s="80" t="s">
        <v>1602</v>
      </c>
      <c r="M492" s="80" t="s">
        <v>1603</v>
      </c>
      <c r="N492" s="80" t="s">
        <v>120</v>
      </c>
      <c r="O492" s="80" t="s">
        <v>187</v>
      </c>
      <c r="P492" s="80" t="s">
        <v>279</v>
      </c>
      <c r="Q492" s="80" t="s">
        <v>123</v>
      </c>
      <c r="R492" s="80" t="s">
        <v>124</v>
      </c>
      <c r="S492" s="80">
        <v>2</v>
      </c>
      <c r="T492" s="80">
        <v>12</v>
      </c>
      <c r="U492" s="80" t="s">
        <v>125</v>
      </c>
      <c r="V492" s="80" t="s">
        <v>126</v>
      </c>
      <c r="W492" s="80" t="s">
        <v>127</v>
      </c>
      <c r="X492" s="80"/>
      <c r="Y492" s="80"/>
    </row>
    <row r="493" spans="1:25">
      <c r="A493" s="80">
        <f t="shared" si="7"/>
        <v>492</v>
      </c>
      <c r="B493" s="10">
        <v>45969.870312500003</v>
      </c>
      <c r="C493" s="13" t="s">
        <v>110</v>
      </c>
      <c r="D493" s="80" t="s">
        <v>2759</v>
      </c>
      <c r="E493" s="80" t="s">
        <v>2760</v>
      </c>
      <c r="F493" s="80" t="s">
        <v>2761</v>
      </c>
      <c r="G493" s="80" t="s">
        <v>2762</v>
      </c>
      <c r="H493" s="80" t="s">
        <v>115</v>
      </c>
      <c r="I493" s="80" t="s">
        <v>955</v>
      </c>
      <c r="J493" s="80" t="s">
        <v>117</v>
      </c>
      <c r="K493" s="80">
        <v>5</v>
      </c>
      <c r="L493" s="80" t="s">
        <v>2763</v>
      </c>
      <c r="M493" s="80" t="s">
        <v>2764</v>
      </c>
      <c r="N493" s="80" t="s">
        <v>120</v>
      </c>
      <c r="O493" s="80" t="s">
        <v>1340</v>
      </c>
      <c r="P493" s="80" t="s">
        <v>178</v>
      </c>
      <c r="Q493" s="80" t="s">
        <v>123</v>
      </c>
      <c r="R493" s="80" t="s">
        <v>124</v>
      </c>
      <c r="S493" s="80">
        <v>4</v>
      </c>
      <c r="T493" s="80">
        <v>24</v>
      </c>
      <c r="U493" s="80" t="s">
        <v>125</v>
      </c>
      <c r="V493" s="80" t="s">
        <v>126</v>
      </c>
      <c r="W493" s="80" t="s">
        <v>127</v>
      </c>
      <c r="X493" s="80"/>
      <c r="Y493" s="80"/>
    </row>
    <row r="494" spans="1:25">
      <c r="A494" s="80">
        <f t="shared" si="7"/>
        <v>493</v>
      </c>
      <c r="B494" s="10">
        <v>45969.8744560185</v>
      </c>
      <c r="C494" s="13" t="s">
        <v>110</v>
      </c>
      <c r="D494" s="80" t="s">
        <v>2765</v>
      </c>
      <c r="E494" s="80" t="s">
        <v>2766</v>
      </c>
      <c r="F494" s="80" t="s">
        <v>2767</v>
      </c>
      <c r="G494" s="80" t="s">
        <v>2768</v>
      </c>
      <c r="H494" s="80" t="s">
        <v>115</v>
      </c>
      <c r="I494" s="80" t="s">
        <v>865</v>
      </c>
      <c r="J494" s="80" t="s">
        <v>149</v>
      </c>
      <c r="K494" s="80">
        <v>13</v>
      </c>
      <c r="L494" s="80" t="s">
        <v>2769</v>
      </c>
      <c r="M494" s="80" t="s">
        <v>2770</v>
      </c>
      <c r="N494" s="80" t="s">
        <v>120</v>
      </c>
      <c r="O494" s="80" t="s">
        <v>240</v>
      </c>
      <c r="P494" s="80" t="s">
        <v>135</v>
      </c>
      <c r="Q494" s="80" t="s">
        <v>123</v>
      </c>
      <c r="R494" s="80" t="s">
        <v>174</v>
      </c>
      <c r="S494" s="80">
        <v>2</v>
      </c>
      <c r="T494" s="80">
        <v>18</v>
      </c>
      <c r="U494" s="80" t="s">
        <v>125</v>
      </c>
      <c r="V494" s="80" t="s">
        <v>126</v>
      </c>
      <c r="W494" s="80" t="s">
        <v>127</v>
      </c>
      <c r="X494" s="80"/>
      <c r="Y494" s="80"/>
    </row>
    <row r="495" spans="1:25">
      <c r="A495" s="80">
        <f t="shared" si="7"/>
        <v>494</v>
      </c>
      <c r="B495" s="10">
        <v>45969.874479166698</v>
      </c>
      <c r="C495" s="13" t="s">
        <v>110</v>
      </c>
      <c r="D495" s="80" t="s">
        <v>2771</v>
      </c>
      <c r="E495" s="80" t="s">
        <v>2662</v>
      </c>
      <c r="F495" s="80" t="s">
        <v>2663</v>
      </c>
      <c r="G495" s="80" t="s">
        <v>2664</v>
      </c>
      <c r="H495" s="80" t="s">
        <v>115</v>
      </c>
      <c r="I495" s="80" t="s">
        <v>865</v>
      </c>
      <c r="J495" s="80" t="s">
        <v>149</v>
      </c>
      <c r="K495" s="80">
        <v>10</v>
      </c>
      <c r="L495" s="80" t="s">
        <v>2665</v>
      </c>
      <c r="M495" s="80" t="s">
        <v>2666</v>
      </c>
      <c r="N495" s="80" t="s">
        <v>120</v>
      </c>
      <c r="O495" s="80" t="s">
        <v>990</v>
      </c>
      <c r="P495" s="80" t="s">
        <v>135</v>
      </c>
      <c r="Q495" s="80" t="s">
        <v>123</v>
      </c>
      <c r="R495" s="80" t="s">
        <v>174</v>
      </c>
      <c r="S495" s="80">
        <v>2</v>
      </c>
      <c r="T495" s="80">
        <v>18</v>
      </c>
      <c r="U495" s="80" t="s">
        <v>125</v>
      </c>
      <c r="V495" s="80" t="s">
        <v>126</v>
      </c>
      <c r="W495" s="80" t="s">
        <v>127</v>
      </c>
      <c r="X495" s="80"/>
      <c r="Y495" s="80"/>
    </row>
    <row r="496" spans="1:25">
      <c r="A496" s="80">
        <f t="shared" si="7"/>
        <v>495</v>
      </c>
      <c r="B496" s="10">
        <v>45969.874837962998</v>
      </c>
      <c r="C496" s="13" t="s">
        <v>110</v>
      </c>
      <c r="D496" s="80" t="s">
        <v>2772</v>
      </c>
      <c r="E496" s="80" t="s">
        <v>2773</v>
      </c>
      <c r="F496" s="80" t="s">
        <v>160</v>
      </c>
      <c r="G496" s="80" t="s">
        <v>161</v>
      </c>
      <c r="H496" s="80" t="s">
        <v>115</v>
      </c>
      <c r="I496" s="80" t="s">
        <v>865</v>
      </c>
      <c r="J496" s="80" t="s">
        <v>149</v>
      </c>
      <c r="K496" s="80">
        <v>17</v>
      </c>
      <c r="L496" s="80" t="s">
        <v>162</v>
      </c>
      <c r="M496" s="80" t="s">
        <v>163</v>
      </c>
      <c r="N496" s="80" t="s">
        <v>164</v>
      </c>
      <c r="O496" s="80" t="s">
        <v>2774</v>
      </c>
      <c r="P496" s="80" t="s">
        <v>135</v>
      </c>
      <c r="Q496" s="80" t="s">
        <v>123</v>
      </c>
      <c r="R496" s="80" t="s">
        <v>174</v>
      </c>
      <c r="S496" s="80">
        <v>1</v>
      </c>
      <c r="T496" s="80">
        <v>6</v>
      </c>
      <c r="U496" s="80" t="s">
        <v>125</v>
      </c>
      <c r="V496" s="80" t="s">
        <v>126</v>
      </c>
      <c r="W496" s="80" t="s">
        <v>127</v>
      </c>
      <c r="X496" s="80"/>
      <c r="Y496" s="80"/>
    </row>
    <row r="497" spans="1:25">
      <c r="A497" s="80">
        <f t="shared" si="7"/>
        <v>496</v>
      </c>
      <c r="B497" s="10">
        <v>45969.8758564815</v>
      </c>
      <c r="C497" s="13" t="s">
        <v>110</v>
      </c>
      <c r="D497" s="80" t="s">
        <v>2775</v>
      </c>
      <c r="E497" s="80" t="s">
        <v>2760</v>
      </c>
      <c r="F497" s="80" t="s">
        <v>2761</v>
      </c>
      <c r="G497" s="80" t="s">
        <v>2762</v>
      </c>
      <c r="H497" s="80" t="s">
        <v>115</v>
      </c>
      <c r="I497" s="80" t="s">
        <v>955</v>
      </c>
      <c r="J497" s="80" t="s">
        <v>117</v>
      </c>
      <c r="K497" s="80">
        <v>5</v>
      </c>
      <c r="L497" s="80" t="s">
        <v>2763</v>
      </c>
      <c r="M497" s="80" t="s">
        <v>2764</v>
      </c>
      <c r="N497" s="80" t="s">
        <v>120</v>
      </c>
      <c r="O497" s="80" t="s">
        <v>1340</v>
      </c>
      <c r="P497" s="80" t="s">
        <v>178</v>
      </c>
      <c r="Q497" s="80" t="s">
        <v>123</v>
      </c>
      <c r="R497" s="80" t="s">
        <v>124</v>
      </c>
      <c r="S497" s="80">
        <v>4</v>
      </c>
      <c r="T497" s="80">
        <v>24</v>
      </c>
      <c r="U497" s="80" t="s">
        <v>125</v>
      </c>
      <c r="V497" s="80" t="s">
        <v>126</v>
      </c>
      <c r="W497" s="80" t="s">
        <v>127</v>
      </c>
      <c r="X497" s="80"/>
      <c r="Y497" s="80"/>
    </row>
    <row r="498" spans="1:25">
      <c r="A498" s="80">
        <f t="shared" si="7"/>
        <v>497</v>
      </c>
      <c r="B498" s="10">
        <v>45969.876423611102</v>
      </c>
      <c r="C498" s="13" t="s">
        <v>110</v>
      </c>
      <c r="D498" s="80" t="s">
        <v>2776</v>
      </c>
      <c r="E498" s="80" t="s">
        <v>1143</v>
      </c>
      <c r="F498" s="80" t="s">
        <v>1144</v>
      </c>
      <c r="G498" s="80" t="s">
        <v>1145</v>
      </c>
      <c r="H498" s="80" t="s">
        <v>210</v>
      </c>
      <c r="I498" s="80" t="s">
        <v>35</v>
      </c>
      <c r="J498" s="80" t="s">
        <v>149</v>
      </c>
      <c r="K498" s="80">
        <v>13</v>
      </c>
      <c r="L498" s="80" t="s">
        <v>1146</v>
      </c>
      <c r="M498" s="80" t="s">
        <v>1147</v>
      </c>
      <c r="N498" s="80" t="s">
        <v>120</v>
      </c>
      <c r="O498" s="80" t="s">
        <v>152</v>
      </c>
      <c r="P498" s="80" t="s">
        <v>1148</v>
      </c>
      <c r="Q498" s="80" t="s">
        <v>123</v>
      </c>
      <c r="R498" s="80" t="s">
        <v>136</v>
      </c>
      <c r="S498" s="80">
        <v>15</v>
      </c>
      <c r="T498" s="80">
        <v>18</v>
      </c>
      <c r="U498" s="80" t="s">
        <v>125</v>
      </c>
      <c r="V498" s="80" t="s">
        <v>126</v>
      </c>
      <c r="W498" s="80" t="s">
        <v>5333</v>
      </c>
      <c r="X498" s="80"/>
      <c r="Y498" s="80"/>
    </row>
    <row r="499" spans="1:25">
      <c r="A499" s="80">
        <f t="shared" si="7"/>
        <v>498</v>
      </c>
      <c r="B499" s="10">
        <v>45969.878703703696</v>
      </c>
      <c r="C499" s="13" t="s">
        <v>110</v>
      </c>
      <c r="D499" s="80" t="s">
        <v>2777</v>
      </c>
      <c r="E499" s="80" t="s">
        <v>2778</v>
      </c>
      <c r="F499" s="80" t="s">
        <v>2779</v>
      </c>
      <c r="G499" s="80" t="s">
        <v>2780</v>
      </c>
      <c r="H499" s="80" t="s">
        <v>115</v>
      </c>
      <c r="I499" s="80" t="s">
        <v>275</v>
      </c>
      <c r="J499" s="80" t="s">
        <v>117</v>
      </c>
      <c r="K499" s="80">
        <v>18</v>
      </c>
      <c r="L499" s="80" t="s">
        <v>2781</v>
      </c>
      <c r="M499" s="80" t="s">
        <v>2782</v>
      </c>
      <c r="N499" s="80" t="s">
        <v>120</v>
      </c>
      <c r="O499" s="80" t="s">
        <v>572</v>
      </c>
      <c r="P499" s="80" t="s">
        <v>178</v>
      </c>
      <c r="Q499" s="80" t="s">
        <v>123</v>
      </c>
      <c r="R499" s="80" t="s">
        <v>174</v>
      </c>
      <c r="S499" s="80">
        <v>13</v>
      </c>
      <c r="T499" s="80">
        <v>18</v>
      </c>
      <c r="U499" s="80" t="s">
        <v>125</v>
      </c>
      <c r="V499" s="80" t="s">
        <v>126</v>
      </c>
      <c r="W499" s="80" t="s">
        <v>127</v>
      </c>
      <c r="X499" s="80"/>
      <c r="Y499" s="80"/>
    </row>
    <row r="500" spans="1:25">
      <c r="A500" s="80">
        <f t="shared" si="7"/>
        <v>499</v>
      </c>
      <c r="B500" s="10">
        <v>45969.887453703697</v>
      </c>
      <c r="C500" s="13" t="s">
        <v>110</v>
      </c>
      <c r="D500" s="80" t="s">
        <v>2783</v>
      </c>
      <c r="E500" s="80" t="s">
        <v>2784</v>
      </c>
      <c r="F500" s="80" t="s">
        <v>2785</v>
      </c>
      <c r="G500" s="80" t="s">
        <v>2786</v>
      </c>
      <c r="H500" s="80" t="s">
        <v>115</v>
      </c>
      <c r="I500" s="80" t="s">
        <v>227</v>
      </c>
      <c r="J500" s="80" t="s">
        <v>117</v>
      </c>
      <c r="K500" s="80">
        <v>16</v>
      </c>
      <c r="L500" s="80" t="s">
        <v>2787</v>
      </c>
      <c r="M500" s="80" t="s">
        <v>2788</v>
      </c>
      <c r="N500" s="80" t="s">
        <v>120</v>
      </c>
      <c r="O500" s="80" t="s">
        <v>572</v>
      </c>
      <c r="P500" s="80" t="s">
        <v>135</v>
      </c>
      <c r="Q500" s="80" t="s">
        <v>123</v>
      </c>
      <c r="R500" s="80" t="s">
        <v>174</v>
      </c>
      <c r="S500" s="80">
        <v>13</v>
      </c>
      <c r="T500" s="80">
        <v>18</v>
      </c>
      <c r="U500" s="80" t="s">
        <v>125</v>
      </c>
      <c r="V500" s="80" t="s">
        <v>126</v>
      </c>
      <c r="W500" s="80" t="s">
        <v>127</v>
      </c>
      <c r="X500" s="80"/>
      <c r="Y500" s="80"/>
    </row>
    <row r="501" spans="1:25">
      <c r="A501" s="80">
        <f t="shared" si="7"/>
        <v>500</v>
      </c>
      <c r="B501" s="10">
        <v>45969.889826388899</v>
      </c>
      <c r="C501" s="13" t="s">
        <v>110</v>
      </c>
      <c r="D501" s="80" t="s">
        <v>2789</v>
      </c>
      <c r="E501" s="80" t="s">
        <v>2790</v>
      </c>
      <c r="F501" s="80" t="s">
        <v>2791</v>
      </c>
      <c r="G501" s="80" t="s">
        <v>2792</v>
      </c>
      <c r="H501" s="80" t="s">
        <v>115</v>
      </c>
      <c r="I501" s="80" t="s">
        <v>275</v>
      </c>
      <c r="J501" s="80" t="s">
        <v>149</v>
      </c>
      <c r="K501" s="80">
        <v>18</v>
      </c>
      <c r="L501" s="80" t="s">
        <v>2793</v>
      </c>
      <c r="M501" s="80" t="s">
        <v>2794</v>
      </c>
      <c r="N501" s="80" t="s">
        <v>120</v>
      </c>
      <c r="O501" s="80" t="s">
        <v>213</v>
      </c>
      <c r="P501" s="80" t="s">
        <v>214</v>
      </c>
      <c r="Q501" s="80" t="s">
        <v>123</v>
      </c>
      <c r="R501" s="80" t="s">
        <v>174</v>
      </c>
      <c r="S501" s="80">
        <v>13</v>
      </c>
      <c r="T501" s="80">
        <v>24</v>
      </c>
      <c r="U501" s="80" t="s">
        <v>125</v>
      </c>
      <c r="V501" s="80" t="s">
        <v>126</v>
      </c>
      <c r="W501" s="80" t="s">
        <v>127</v>
      </c>
      <c r="X501" s="80"/>
      <c r="Y501" s="80"/>
    </row>
    <row r="502" spans="1:25">
      <c r="A502" s="80">
        <f t="shared" si="7"/>
        <v>501</v>
      </c>
      <c r="B502" s="10">
        <v>45969.8913425926</v>
      </c>
      <c r="C502" s="13" t="s">
        <v>110</v>
      </c>
      <c r="D502" s="80" t="s">
        <v>2795</v>
      </c>
      <c r="E502" s="80" t="s">
        <v>2796</v>
      </c>
      <c r="F502" s="80" t="s">
        <v>2797</v>
      </c>
      <c r="G502" s="80" t="s">
        <v>2798</v>
      </c>
      <c r="H502" s="80" t="s">
        <v>174</v>
      </c>
      <c r="I502" s="80" t="s">
        <v>173</v>
      </c>
      <c r="J502" s="80" t="s">
        <v>149</v>
      </c>
      <c r="K502" s="80">
        <v>1</v>
      </c>
      <c r="L502" s="80" t="s">
        <v>2799</v>
      </c>
      <c r="M502" s="80" t="s">
        <v>2800</v>
      </c>
      <c r="N502" s="80" t="s">
        <v>120</v>
      </c>
      <c r="O502" s="80" t="s">
        <v>121</v>
      </c>
      <c r="P502" s="80" t="s">
        <v>287</v>
      </c>
      <c r="Q502" s="80" t="s">
        <v>123</v>
      </c>
      <c r="R502" s="80" t="s">
        <v>174</v>
      </c>
      <c r="S502" s="80">
        <v>1</v>
      </c>
      <c r="T502" s="80">
        <v>18</v>
      </c>
      <c r="U502" s="80" t="s">
        <v>125</v>
      </c>
      <c r="V502" s="80" t="s">
        <v>126</v>
      </c>
      <c r="W502" s="80" t="s">
        <v>127</v>
      </c>
      <c r="X502" s="80"/>
      <c r="Y502" s="80"/>
    </row>
    <row r="503" spans="1:25">
      <c r="A503" s="80">
        <f t="shared" si="7"/>
        <v>502</v>
      </c>
      <c r="B503" s="10">
        <v>45969.891354166699</v>
      </c>
      <c r="C503" s="13" t="s">
        <v>110</v>
      </c>
      <c r="D503" s="80" t="s">
        <v>2801</v>
      </c>
      <c r="E503" s="80" t="s">
        <v>2802</v>
      </c>
      <c r="F503" s="80" t="s">
        <v>2803</v>
      </c>
      <c r="G503" s="80" t="s">
        <v>2804</v>
      </c>
      <c r="H503" s="80" t="s">
        <v>174</v>
      </c>
      <c r="I503" s="80" t="s">
        <v>173</v>
      </c>
      <c r="J503" s="80" t="s">
        <v>149</v>
      </c>
      <c r="K503" s="80">
        <v>1</v>
      </c>
      <c r="L503" s="80" t="s">
        <v>2805</v>
      </c>
      <c r="M503" s="80" t="s">
        <v>2806</v>
      </c>
      <c r="N503" s="80" t="s">
        <v>120</v>
      </c>
      <c r="O503" s="80" t="s">
        <v>152</v>
      </c>
      <c r="P503" s="80" t="s">
        <v>135</v>
      </c>
      <c r="Q503" s="80" t="s">
        <v>123</v>
      </c>
      <c r="R503" s="80" t="s">
        <v>174</v>
      </c>
      <c r="S503" s="80">
        <v>1</v>
      </c>
      <c r="T503" s="80">
        <v>18</v>
      </c>
      <c r="U503" s="80" t="s">
        <v>125</v>
      </c>
      <c r="V503" s="80" t="s">
        <v>126</v>
      </c>
      <c r="W503" s="80" t="s">
        <v>127</v>
      </c>
      <c r="X503" s="80"/>
      <c r="Y503" s="80"/>
    </row>
    <row r="504" spans="1:25">
      <c r="A504" s="80">
        <f t="shared" si="7"/>
        <v>503</v>
      </c>
      <c r="B504" s="10">
        <v>45969.891921296301</v>
      </c>
      <c r="C504" s="13" t="s">
        <v>110</v>
      </c>
      <c r="D504" s="80" t="s">
        <v>2807</v>
      </c>
      <c r="E504" s="80" t="s">
        <v>2808</v>
      </c>
      <c r="F504" s="80" t="s">
        <v>2809</v>
      </c>
      <c r="G504" s="80" t="s">
        <v>2810</v>
      </c>
      <c r="H504" s="80" t="s">
        <v>115</v>
      </c>
      <c r="I504" s="80" t="s">
        <v>865</v>
      </c>
      <c r="J504" s="80" t="s">
        <v>117</v>
      </c>
      <c r="K504" s="80">
        <v>12</v>
      </c>
      <c r="L504" s="80" t="s">
        <v>2811</v>
      </c>
      <c r="M504" s="80" t="s">
        <v>2812</v>
      </c>
      <c r="N504" s="80" t="s">
        <v>120</v>
      </c>
      <c r="O504" s="80" t="s">
        <v>152</v>
      </c>
      <c r="P504" s="80" t="s">
        <v>231</v>
      </c>
      <c r="Q504" s="80" t="s">
        <v>123</v>
      </c>
      <c r="R504" s="80" t="s">
        <v>174</v>
      </c>
      <c r="S504" s="80">
        <v>8</v>
      </c>
      <c r="T504" s="80">
        <v>12</v>
      </c>
      <c r="U504" s="80" t="s">
        <v>125</v>
      </c>
      <c r="V504" s="80" t="s">
        <v>126</v>
      </c>
      <c r="W504" s="80" t="s">
        <v>127</v>
      </c>
      <c r="X504" s="80"/>
      <c r="Y504" s="80"/>
    </row>
    <row r="505" spans="1:25">
      <c r="A505" s="80">
        <f t="shared" si="7"/>
        <v>504</v>
      </c>
      <c r="B505" s="10">
        <v>45969.893530092602</v>
      </c>
      <c r="C505" s="13" t="s">
        <v>110</v>
      </c>
      <c r="D505" s="80" t="s">
        <v>2813</v>
      </c>
      <c r="E505" s="80" t="s">
        <v>2814</v>
      </c>
      <c r="F505" s="80" t="s">
        <v>2815</v>
      </c>
      <c r="G505" s="80" t="s">
        <v>2816</v>
      </c>
      <c r="H505" s="80" t="s">
        <v>115</v>
      </c>
      <c r="I505" s="80" t="s">
        <v>1069</v>
      </c>
      <c r="J505" s="80" t="s">
        <v>117</v>
      </c>
      <c r="K505" s="80">
        <v>21</v>
      </c>
      <c r="L505" s="80" t="s">
        <v>2817</v>
      </c>
      <c r="M505" s="80" t="s">
        <v>2818</v>
      </c>
      <c r="N505" s="80" t="s">
        <v>120</v>
      </c>
      <c r="O505" s="80" t="s">
        <v>213</v>
      </c>
      <c r="P505" s="80" t="s">
        <v>269</v>
      </c>
      <c r="Q505" s="80" t="s">
        <v>123</v>
      </c>
      <c r="R505" s="80" t="s">
        <v>174</v>
      </c>
      <c r="S505" s="80">
        <v>12</v>
      </c>
      <c r="T505" s="80">
        <v>18</v>
      </c>
      <c r="U505" s="80" t="s">
        <v>125</v>
      </c>
      <c r="V505" s="80" t="s">
        <v>126</v>
      </c>
      <c r="W505" s="80" t="s">
        <v>127</v>
      </c>
      <c r="X505" s="80"/>
      <c r="Y505" s="80"/>
    </row>
    <row r="506" spans="1:25">
      <c r="A506" s="80">
        <f t="shared" si="7"/>
        <v>505</v>
      </c>
      <c r="B506" s="10">
        <v>45969.907384259299</v>
      </c>
      <c r="C506" s="13" t="s">
        <v>110</v>
      </c>
      <c r="D506" s="80" t="s">
        <v>2819</v>
      </c>
      <c r="E506" s="80" t="s">
        <v>527</v>
      </c>
      <c r="F506" s="80" t="s">
        <v>528</v>
      </c>
      <c r="G506" s="80" t="s">
        <v>529</v>
      </c>
      <c r="H506" s="80" t="s">
        <v>174</v>
      </c>
      <c r="I506" s="80" t="s">
        <v>173</v>
      </c>
      <c r="J506" s="80" t="s">
        <v>149</v>
      </c>
      <c r="K506" s="80">
        <v>1</v>
      </c>
      <c r="L506" s="80" t="s">
        <v>530</v>
      </c>
      <c r="M506" s="80" t="s">
        <v>531</v>
      </c>
      <c r="N506" s="80" t="s">
        <v>120</v>
      </c>
      <c r="O506" s="80" t="s">
        <v>398</v>
      </c>
      <c r="P506" s="80" t="s">
        <v>269</v>
      </c>
      <c r="Q506" s="80" t="s">
        <v>123</v>
      </c>
      <c r="R506" s="80" t="s">
        <v>174</v>
      </c>
      <c r="S506" s="80">
        <v>14</v>
      </c>
      <c r="T506" s="80">
        <v>18</v>
      </c>
      <c r="U506" s="80" t="s">
        <v>125</v>
      </c>
      <c r="V506" s="80" t="s">
        <v>126</v>
      </c>
      <c r="W506" s="80" t="s">
        <v>127</v>
      </c>
      <c r="X506" s="80"/>
      <c r="Y506" s="80"/>
    </row>
    <row r="507" spans="1:25">
      <c r="A507" s="80">
        <f t="shared" si="7"/>
        <v>506</v>
      </c>
      <c r="B507" s="10">
        <v>45969.908506944397</v>
      </c>
      <c r="C507" s="13" t="s">
        <v>110</v>
      </c>
      <c r="D507" s="80" t="s">
        <v>2820</v>
      </c>
      <c r="E507" s="80" t="s">
        <v>2656</v>
      </c>
      <c r="F507" s="80" t="s">
        <v>2657</v>
      </c>
      <c r="G507" s="80" t="s">
        <v>2658</v>
      </c>
      <c r="H507" s="80" t="s">
        <v>115</v>
      </c>
      <c r="I507" s="80" t="s">
        <v>865</v>
      </c>
      <c r="J507" s="80" t="s">
        <v>149</v>
      </c>
      <c r="K507" s="80">
        <v>11</v>
      </c>
      <c r="L507" s="80" t="s">
        <v>2659</v>
      </c>
      <c r="M507" s="80" t="s">
        <v>2660</v>
      </c>
      <c r="N507" s="80" t="s">
        <v>120</v>
      </c>
      <c r="O507" s="80" t="s">
        <v>240</v>
      </c>
      <c r="P507" s="80" t="s">
        <v>135</v>
      </c>
      <c r="Q507" s="80" t="s">
        <v>123</v>
      </c>
      <c r="R507" s="80" t="s">
        <v>174</v>
      </c>
      <c r="S507" s="80">
        <v>1</v>
      </c>
      <c r="T507" s="80">
        <v>18</v>
      </c>
      <c r="U507" s="80" t="s">
        <v>125</v>
      </c>
      <c r="V507" s="80" t="s">
        <v>126</v>
      </c>
      <c r="W507" s="80" t="s">
        <v>127</v>
      </c>
      <c r="X507" s="80"/>
      <c r="Y507" s="80"/>
    </row>
    <row r="508" spans="1:25">
      <c r="A508" s="80">
        <f t="shared" si="7"/>
        <v>507</v>
      </c>
      <c r="B508" s="10">
        <v>45969.909432870401</v>
      </c>
      <c r="C508" s="13" t="s">
        <v>110</v>
      </c>
      <c r="D508" s="80" t="s">
        <v>2821</v>
      </c>
      <c r="E508" s="80" t="s">
        <v>2822</v>
      </c>
      <c r="F508" s="80" t="s">
        <v>2823</v>
      </c>
      <c r="G508" s="80" t="s">
        <v>2824</v>
      </c>
      <c r="H508" s="80" t="s">
        <v>115</v>
      </c>
      <c r="I508" s="80" t="s">
        <v>244</v>
      </c>
      <c r="J508" s="80" t="s">
        <v>117</v>
      </c>
      <c r="K508" s="80">
        <v>13</v>
      </c>
      <c r="L508" s="80" t="s">
        <v>2825</v>
      </c>
      <c r="M508" s="80" t="s">
        <v>2826</v>
      </c>
      <c r="N508" s="80" t="s">
        <v>164</v>
      </c>
      <c r="O508" s="80" t="s">
        <v>202</v>
      </c>
      <c r="P508" s="80" t="s">
        <v>135</v>
      </c>
      <c r="Q508" s="80" t="s">
        <v>123</v>
      </c>
      <c r="R508" s="80" t="s">
        <v>174</v>
      </c>
      <c r="S508" s="80">
        <v>6</v>
      </c>
      <c r="T508" s="80">
        <v>18</v>
      </c>
      <c r="U508" s="80" t="s">
        <v>125</v>
      </c>
      <c r="V508" s="80" t="s">
        <v>126</v>
      </c>
      <c r="W508" s="80" t="s">
        <v>127</v>
      </c>
      <c r="X508" s="80"/>
      <c r="Y508" s="80"/>
    </row>
    <row r="509" spans="1:25">
      <c r="A509" s="80">
        <f t="shared" si="7"/>
        <v>508</v>
      </c>
      <c r="B509" s="10">
        <v>45969.910219907397</v>
      </c>
      <c r="C509" s="13" t="s">
        <v>110</v>
      </c>
      <c r="D509" s="80" t="s">
        <v>2827</v>
      </c>
      <c r="E509" s="80" t="s">
        <v>2828</v>
      </c>
      <c r="F509" s="80" t="s">
        <v>2829</v>
      </c>
      <c r="G509" s="80" t="s">
        <v>2830</v>
      </c>
      <c r="H509" s="80" t="s">
        <v>115</v>
      </c>
      <c r="I509" s="80" t="s">
        <v>865</v>
      </c>
      <c r="J509" s="80" t="s">
        <v>117</v>
      </c>
      <c r="K509" s="80">
        <v>18</v>
      </c>
      <c r="L509" s="80" t="s">
        <v>2831</v>
      </c>
      <c r="M509" s="80" t="s">
        <v>2832</v>
      </c>
      <c r="N509" s="80" t="s">
        <v>120</v>
      </c>
      <c r="O509" s="80" t="s">
        <v>611</v>
      </c>
      <c r="P509" s="80" t="s">
        <v>135</v>
      </c>
      <c r="Q509" s="80" t="s">
        <v>123</v>
      </c>
      <c r="R509" s="80" t="s">
        <v>174</v>
      </c>
      <c r="S509" s="80">
        <v>9</v>
      </c>
      <c r="T509" s="80">
        <v>24</v>
      </c>
      <c r="U509" s="80" t="s">
        <v>125</v>
      </c>
      <c r="V509" s="80" t="s">
        <v>126</v>
      </c>
      <c r="W509" s="80" t="s">
        <v>127</v>
      </c>
      <c r="X509" s="80"/>
      <c r="Y509" s="80"/>
    </row>
    <row r="510" spans="1:25">
      <c r="A510" s="80">
        <f t="shared" si="7"/>
        <v>509</v>
      </c>
      <c r="B510" s="10">
        <v>45970.002511574101</v>
      </c>
      <c r="C510" s="10" t="s">
        <v>110</v>
      </c>
      <c r="D510" s="80" t="s">
        <v>2833</v>
      </c>
      <c r="E510" s="80" t="s">
        <v>2834</v>
      </c>
      <c r="F510" s="80" t="e">
        <v>#N/A</v>
      </c>
      <c r="G510" s="80" t="e">
        <v>#N/A</v>
      </c>
      <c r="H510" s="80" t="e">
        <v>#N/A</v>
      </c>
      <c r="I510" s="80" t="e">
        <v>#N/A</v>
      </c>
      <c r="J510" s="80" t="e">
        <v>#N/A</v>
      </c>
      <c r="K510" s="80" t="e">
        <v>#N/A</v>
      </c>
      <c r="L510" s="80" t="e">
        <v>#N/A</v>
      </c>
      <c r="M510" s="80" t="e">
        <v>#N/A</v>
      </c>
      <c r="N510" s="80" t="e">
        <v>#N/A</v>
      </c>
      <c r="O510" s="80" t="e">
        <v>#N/A</v>
      </c>
      <c r="P510" s="80" t="e">
        <v>#N/A</v>
      </c>
      <c r="Q510" s="80" t="e">
        <v>#N/A</v>
      </c>
      <c r="R510" s="80" t="e">
        <v>#N/A</v>
      </c>
      <c r="S510" s="80" t="e">
        <v>#N/A</v>
      </c>
      <c r="T510" s="80" t="e">
        <v>#N/A</v>
      </c>
      <c r="U510" s="80" t="s">
        <v>125</v>
      </c>
      <c r="V510" s="80" t="s">
        <v>126</v>
      </c>
      <c r="W510" s="80" t="s">
        <v>127</v>
      </c>
      <c r="X510" s="80"/>
      <c r="Y510" s="80"/>
    </row>
    <row r="511" spans="1:25">
      <c r="A511" s="80">
        <f t="shared" si="7"/>
        <v>510</v>
      </c>
      <c r="B511" s="10">
        <v>45970.432280092602</v>
      </c>
      <c r="C511" s="10" t="s">
        <v>261</v>
      </c>
      <c r="D511" s="80" t="s">
        <v>2835</v>
      </c>
      <c r="E511" s="80" t="s">
        <v>2836</v>
      </c>
      <c r="F511" s="80" t="s">
        <v>2837</v>
      </c>
      <c r="G511" s="80" t="s">
        <v>2838</v>
      </c>
      <c r="H511" s="80" t="s">
        <v>115</v>
      </c>
      <c r="I511" s="80" t="s">
        <v>955</v>
      </c>
      <c r="J511" s="80" t="s">
        <v>117</v>
      </c>
      <c r="K511" s="80">
        <v>9</v>
      </c>
      <c r="L511" s="80" t="s">
        <v>2839</v>
      </c>
      <c r="M511" s="80" t="s">
        <v>2840</v>
      </c>
      <c r="N511" s="80" t="s">
        <v>120</v>
      </c>
      <c r="O511" s="80" t="s">
        <v>572</v>
      </c>
      <c r="P511" s="80" t="s">
        <v>352</v>
      </c>
      <c r="Q511" s="80" t="s">
        <v>123</v>
      </c>
      <c r="R511" s="80" t="s">
        <v>174</v>
      </c>
      <c r="S511" s="80">
        <v>4</v>
      </c>
      <c r="T511" s="80">
        <v>12</v>
      </c>
      <c r="U511" s="80" t="s">
        <v>270</v>
      </c>
      <c r="V511" s="80" t="s">
        <v>126</v>
      </c>
      <c r="W511" s="80" t="s">
        <v>127</v>
      </c>
      <c r="X511" s="80"/>
      <c r="Y511" s="80"/>
    </row>
    <row r="512" spans="1:25">
      <c r="A512" s="80">
        <f t="shared" si="7"/>
        <v>511</v>
      </c>
      <c r="B512" s="10">
        <v>45970.603310185201</v>
      </c>
      <c r="C512" s="10" t="s">
        <v>297</v>
      </c>
      <c r="D512" s="80" t="s">
        <v>2841</v>
      </c>
      <c r="E512" s="80" t="s">
        <v>2842</v>
      </c>
      <c r="F512" s="80" t="s">
        <v>2843</v>
      </c>
      <c r="G512" s="80" t="s">
        <v>2844</v>
      </c>
      <c r="H512" s="80" t="s">
        <v>115</v>
      </c>
      <c r="I512" s="80" t="s">
        <v>865</v>
      </c>
      <c r="J512" s="80" t="s">
        <v>117</v>
      </c>
      <c r="K512" s="80">
        <v>19</v>
      </c>
      <c r="L512" s="80" t="s">
        <v>2845</v>
      </c>
      <c r="M512" s="80" t="s">
        <v>2846</v>
      </c>
      <c r="N512" s="80" t="s">
        <v>120</v>
      </c>
      <c r="O512" s="80" t="s">
        <v>121</v>
      </c>
      <c r="P512" s="80" t="s">
        <v>832</v>
      </c>
      <c r="Q512" s="80" t="s">
        <v>123</v>
      </c>
      <c r="R512" s="80" t="s">
        <v>174</v>
      </c>
      <c r="S512" s="80">
        <v>4</v>
      </c>
      <c r="T512" s="80">
        <v>18</v>
      </c>
      <c r="U512" s="80" t="s">
        <v>305</v>
      </c>
      <c r="V512" s="80" t="s">
        <v>126</v>
      </c>
      <c r="W512" s="80" t="s">
        <v>137</v>
      </c>
      <c r="X512" s="80"/>
      <c r="Y512" s="80"/>
    </row>
    <row r="513" spans="1:25">
      <c r="A513" s="80">
        <f t="shared" si="7"/>
        <v>512</v>
      </c>
      <c r="B513" s="10">
        <v>45970.789641203701</v>
      </c>
      <c r="C513" s="10" t="s">
        <v>320</v>
      </c>
      <c r="D513" s="80" t="s">
        <v>2847</v>
      </c>
      <c r="E513" s="80" t="s">
        <v>2848</v>
      </c>
      <c r="F513" s="80" t="s">
        <v>2849</v>
      </c>
      <c r="G513" s="80" t="s">
        <v>2850</v>
      </c>
      <c r="H513" s="80" t="s">
        <v>174</v>
      </c>
      <c r="I513" s="80" t="s">
        <v>173</v>
      </c>
      <c r="J513" s="80" t="s">
        <v>149</v>
      </c>
      <c r="K513" s="80">
        <v>1</v>
      </c>
      <c r="L513" s="80" t="s">
        <v>2851</v>
      </c>
      <c r="M513" s="80" t="s">
        <v>2852</v>
      </c>
      <c r="N513" s="80" t="s">
        <v>120</v>
      </c>
      <c r="O513" s="80" t="s">
        <v>449</v>
      </c>
      <c r="P513" s="80" t="s">
        <v>135</v>
      </c>
      <c r="Q513" s="80" t="s">
        <v>123</v>
      </c>
      <c r="R513" s="80" t="s">
        <v>174</v>
      </c>
      <c r="S513" s="80">
        <v>1</v>
      </c>
      <c r="T513" s="80">
        <v>12</v>
      </c>
      <c r="U513" s="80" t="s">
        <v>328</v>
      </c>
      <c r="V513" s="80" t="s">
        <v>126</v>
      </c>
      <c r="W513" s="80" t="s">
        <v>127</v>
      </c>
      <c r="X513" s="80"/>
      <c r="Y513" s="80"/>
    </row>
    <row r="514" spans="1:25">
      <c r="A514" s="80">
        <f t="shared" si="7"/>
        <v>513</v>
      </c>
      <c r="B514" s="10">
        <v>45970.792523148099</v>
      </c>
      <c r="C514" s="10" t="s">
        <v>157</v>
      </c>
      <c r="D514" s="80" t="s">
        <v>2853</v>
      </c>
      <c r="E514" s="80" t="s">
        <v>2854</v>
      </c>
      <c r="F514" s="80" t="s">
        <v>2855</v>
      </c>
      <c r="G514" s="80" t="s">
        <v>2856</v>
      </c>
      <c r="H514" s="80" t="s">
        <v>684</v>
      </c>
      <c r="I514" s="80" t="s">
        <v>1186</v>
      </c>
      <c r="J514" s="80" t="s">
        <v>149</v>
      </c>
      <c r="K514" s="80">
        <v>8</v>
      </c>
      <c r="L514" s="80" t="s">
        <v>2857</v>
      </c>
      <c r="M514" s="80" t="s">
        <v>2858</v>
      </c>
      <c r="N514" s="80" t="s">
        <v>120</v>
      </c>
      <c r="O514" s="80" t="s">
        <v>2859</v>
      </c>
      <c r="P514" s="80" t="s">
        <v>135</v>
      </c>
      <c r="Q514" s="80" t="s">
        <v>123</v>
      </c>
      <c r="R514" s="80" t="s">
        <v>136</v>
      </c>
      <c r="S514" s="80">
        <v>2</v>
      </c>
      <c r="T514" s="80">
        <v>12</v>
      </c>
      <c r="U514" s="80" t="s">
        <v>167</v>
      </c>
      <c r="V514" s="80" t="s">
        <v>126</v>
      </c>
      <c r="W514" s="80" t="s">
        <v>1770</v>
      </c>
      <c r="X514" s="80"/>
      <c r="Y514" s="80"/>
    </row>
    <row r="515" spans="1:25">
      <c r="A515" s="80">
        <f t="shared" si="7"/>
        <v>514</v>
      </c>
      <c r="B515" s="10">
        <v>45970.806828703702</v>
      </c>
      <c r="C515" s="10" t="s">
        <v>157</v>
      </c>
      <c r="D515" s="80" t="s">
        <v>2860</v>
      </c>
      <c r="E515" s="80" t="s">
        <v>2065</v>
      </c>
      <c r="F515" s="80" t="s">
        <v>2066</v>
      </c>
      <c r="G515" s="80" t="s">
        <v>2067</v>
      </c>
      <c r="H515" s="80" t="s">
        <v>174</v>
      </c>
      <c r="I515" s="80" t="s">
        <v>173</v>
      </c>
      <c r="J515" s="80" t="s">
        <v>149</v>
      </c>
      <c r="K515" s="80">
        <v>1</v>
      </c>
      <c r="L515" s="80" t="s">
        <v>2068</v>
      </c>
      <c r="M515" s="80" t="s">
        <v>2069</v>
      </c>
      <c r="N515" s="80" t="s">
        <v>120</v>
      </c>
      <c r="O515" s="80" t="s">
        <v>611</v>
      </c>
      <c r="P515" s="80" t="s">
        <v>2070</v>
      </c>
      <c r="Q515" s="80" t="s">
        <v>123</v>
      </c>
      <c r="R515" s="80" t="s">
        <v>174</v>
      </c>
      <c r="S515" s="80">
        <v>5</v>
      </c>
      <c r="T515" s="80">
        <v>12</v>
      </c>
      <c r="U515" s="80" t="s">
        <v>167</v>
      </c>
      <c r="V515" s="80" t="s">
        <v>126</v>
      </c>
      <c r="W515" s="80" t="s">
        <v>127</v>
      </c>
      <c r="X515" s="80"/>
      <c r="Y515" s="80"/>
    </row>
    <row r="516" spans="1:25">
      <c r="A516" s="80">
        <f t="shared" ref="A516:A579" si="8">A515+1</f>
        <v>515</v>
      </c>
      <c r="B516" s="10">
        <v>45970.846701388902</v>
      </c>
      <c r="C516" s="10" t="s">
        <v>157</v>
      </c>
      <c r="D516" s="80" t="s">
        <v>2861</v>
      </c>
      <c r="E516" s="80" t="s">
        <v>2862</v>
      </c>
      <c r="F516" s="80" t="s">
        <v>2863</v>
      </c>
      <c r="G516" s="80" t="s">
        <v>2864</v>
      </c>
      <c r="H516" s="80" t="s">
        <v>115</v>
      </c>
      <c r="I516" s="80" t="s">
        <v>244</v>
      </c>
      <c r="J516" s="80" t="s">
        <v>117</v>
      </c>
      <c r="K516" s="80">
        <v>10</v>
      </c>
      <c r="L516" s="80" t="s">
        <v>2865</v>
      </c>
      <c r="M516" s="80" t="s">
        <v>2866</v>
      </c>
      <c r="N516" s="80" t="s">
        <v>120</v>
      </c>
      <c r="O516" s="80" t="s">
        <v>152</v>
      </c>
      <c r="P516" s="80" t="s">
        <v>135</v>
      </c>
      <c r="Q516" s="80" t="s">
        <v>123</v>
      </c>
      <c r="R516" s="80" t="s">
        <v>174</v>
      </c>
      <c r="S516" s="80">
        <v>6</v>
      </c>
      <c r="T516" s="80">
        <v>18</v>
      </c>
      <c r="U516" s="80" t="s">
        <v>167</v>
      </c>
      <c r="V516" s="80" t="s">
        <v>126</v>
      </c>
      <c r="W516" s="80" t="s">
        <v>127</v>
      </c>
      <c r="X516" s="80"/>
      <c r="Y516" s="80"/>
    </row>
    <row r="517" spans="1:25">
      <c r="A517" s="80">
        <f t="shared" si="8"/>
        <v>516</v>
      </c>
      <c r="B517" s="10">
        <v>45970.895069444399</v>
      </c>
      <c r="C517" s="10" t="s">
        <v>157</v>
      </c>
      <c r="D517" s="80" t="s">
        <v>2861</v>
      </c>
      <c r="E517" s="80" t="s">
        <v>2171</v>
      </c>
      <c r="F517" s="80" t="s">
        <v>2172</v>
      </c>
      <c r="G517" s="80" t="s">
        <v>2173</v>
      </c>
      <c r="H517" s="80" t="s">
        <v>115</v>
      </c>
      <c r="I517" s="80" t="s">
        <v>842</v>
      </c>
      <c r="J517" s="80" t="s">
        <v>117</v>
      </c>
      <c r="K517" s="80">
        <v>1</v>
      </c>
      <c r="L517" s="80" t="s">
        <v>2174</v>
      </c>
      <c r="M517" s="80" t="s">
        <v>2175</v>
      </c>
      <c r="N517" s="80" t="s">
        <v>120</v>
      </c>
      <c r="O517" s="80" t="s">
        <v>2176</v>
      </c>
      <c r="P517" s="80" t="s">
        <v>546</v>
      </c>
      <c r="Q517" s="80" t="s">
        <v>123</v>
      </c>
      <c r="R517" s="80" t="s">
        <v>124</v>
      </c>
      <c r="S517" s="80">
        <v>15</v>
      </c>
      <c r="T517" s="80">
        <v>24</v>
      </c>
      <c r="U517" s="80" t="s">
        <v>167</v>
      </c>
      <c r="V517" s="80" t="s">
        <v>126</v>
      </c>
      <c r="W517" s="80" t="s">
        <v>127</v>
      </c>
      <c r="X517" s="80"/>
      <c r="Y517" s="80"/>
    </row>
    <row r="518" spans="1:25">
      <c r="A518" s="80">
        <f t="shared" si="8"/>
        <v>517</v>
      </c>
      <c r="B518" s="10">
        <v>45971.335763888899</v>
      </c>
      <c r="C518" s="13" t="s">
        <v>1465</v>
      </c>
      <c r="D518" s="80" t="s">
        <v>2867</v>
      </c>
      <c r="E518" s="80" t="s">
        <v>2868</v>
      </c>
      <c r="F518" s="80" t="s">
        <v>2869</v>
      </c>
      <c r="G518" s="80" t="s">
        <v>2870</v>
      </c>
      <c r="H518" s="80" t="s">
        <v>115</v>
      </c>
      <c r="I518" s="80" t="s">
        <v>244</v>
      </c>
      <c r="J518" s="80" t="s">
        <v>117</v>
      </c>
      <c r="K518" s="80">
        <v>8</v>
      </c>
      <c r="L518" s="80" t="s">
        <v>2871</v>
      </c>
      <c r="M518" s="80" t="s">
        <v>2872</v>
      </c>
      <c r="N518" s="80" t="s">
        <v>120</v>
      </c>
      <c r="O518" s="80" t="s">
        <v>121</v>
      </c>
      <c r="P518" s="80" t="s">
        <v>1372</v>
      </c>
      <c r="Q518" s="80" t="s">
        <v>123</v>
      </c>
      <c r="R518" s="80" t="s">
        <v>174</v>
      </c>
      <c r="S518" s="80">
        <v>8</v>
      </c>
      <c r="T518" s="80">
        <v>24</v>
      </c>
      <c r="U518" s="80" t="s">
        <v>1473</v>
      </c>
      <c r="V518" s="80" t="s">
        <v>126</v>
      </c>
      <c r="W518" s="80" t="s">
        <v>127</v>
      </c>
      <c r="X518" s="80"/>
      <c r="Y518" s="80"/>
    </row>
    <row r="519" spans="1:25">
      <c r="A519" s="80">
        <f t="shared" si="8"/>
        <v>518</v>
      </c>
      <c r="B519" s="10">
        <v>45971.356238425898</v>
      </c>
      <c r="C519" s="13" t="s">
        <v>359</v>
      </c>
      <c r="D519" s="80" t="s">
        <v>2873</v>
      </c>
      <c r="E519" s="80" t="s">
        <v>2650</v>
      </c>
      <c r="F519" s="80" t="s">
        <v>2651</v>
      </c>
      <c r="G519" s="80" t="s">
        <v>2652</v>
      </c>
      <c r="H519" s="80" t="s">
        <v>115</v>
      </c>
      <c r="I519" s="80" t="s">
        <v>1383</v>
      </c>
      <c r="J519" s="80" t="s">
        <v>117</v>
      </c>
      <c r="K519" s="80">
        <v>6</v>
      </c>
      <c r="L519" s="80" t="s">
        <v>2653</v>
      </c>
      <c r="M519" s="80" t="s">
        <v>2654</v>
      </c>
      <c r="N519" s="80" t="s">
        <v>120</v>
      </c>
      <c r="O519" s="80" t="s">
        <v>152</v>
      </c>
      <c r="P519" s="80" t="s">
        <v>588</v>
      </c>
      <c r="Q519" s="80" t="s">
        <v>123</v>
      </c>
      <c r="R519" s="80" t="s">
        <v>174</v>
      </c>
      <c r="S519" s="80">
        <v>16</v>
      </c>
      <c r="T519" s="80">
        <v>18</v>
      </c>
      <c r="U519" s="80" t="s">
        <v>361</v>
      </c>
      <c r="V519" s="80" t="s">
        <v>126</v>
      </c>
      <c r="W519" s="80" t="s">
        <v>127</v>
      </c>
      <c r="X519" s="80"/>
      <c r="Y519" s="80"/>
    </row>
    <row r="520" spans="1:25">
      <c r="A520" s="80">
        <f t="shared" si="8"/>
        <v>519</v>
      </c>
      <c r="B520" s="10">
        <v>45971.370787036998</v>
      </c>
      <c r="C520" s="13" t="s">
        <v>589</v>
      </c>
      <c r="D520" s="80" t="s">
        <v>2874</v>
      </c>
      <c r="E520" s="80" t="s">
        <v>2875</v>
      </c>
      <c r="F520" s="80" t="s">
        <v>2876</v>
      </c>
      <c r="G520" s="80" t="s">
        <v>2877</v>
      </c>
      <c r="H520" s="80" t="s">
        <v>115</v>
      </c>
      <c r="I520" s="80" t="s">
        <v>955</v>
      </c>
      <c r="J520" s="80" t="s">
        <v>117</v>
      </c>
      <c r="K520" s="80">
        <v>8</v>
      </c>
      <c r="L520" s="80" t="s">
        <v>2878</v>
      </c>
      <c r="M520" s="80" t="s">
        <v>2879</v>
      </c>
      <c r="N520" s="80" t="s">
        <v>120</v>
      </c>
      <c r="O520" s="80" t="s">
        <v>398</v>
      </c>
      <c r="P520" s="80" t="s">
        <v>135</v>
      </c>
      <c r="Q520" s="80" t="s">
        <v>123</v>
      </c>
      <c r="R520" s="80" t="s">
        <v>174</v>
      </c>
      <c r="S520" s="80">
        <v>4</v>
      </c>
      <c r="T520" s="80">
        <v>12</v>
      </c>
      <c r="U520" s="80" t="s">
        <v>596</v>
      </c>
      <c r="V520" s="80" t="s">
        <v>126</v>
      </c>
      <c r="W520" s="80" t="s">
        <v>127</v>
      </c>
      <c r="X520" s="80"/>
      <c r="Y520" s="80"/>
    </row>
    <row r="521" spans="1:25">
      <c r="A521" s="80">
        <f t="shared" si="8"/>
        <v>520</v>
      </c>
      <c r="B521" s="10">
        <v>45971.404733796298</v>
      </c>
      <c r="C521" s="13" t="s">
        <v>1785</v>
      </c>
      <c r="D521" s="80" t="s">
        <v>2880</v>
      </c>
      <c r="E521" s="80" t="s">
        <v>2881</v>
      </c>
      <c r="F521" s="80" t="s">
        <v>2882</v>
      </c>
      <c r="G521" s="80" t="s">
        <v>2883</v>
      </c>
      <c r="H521" s="80" t="s">
        <v>115</v>
      </c>
      <c r="I521" s="80" t="s">
        <v>865</v>
      </c>
      <c r="J521" s="80" t="s">
        <v>117</v>
      </c>
      <c r="K521" s="80">
        <v>15</v>
      </c>
      <c r="L521" s="80" t="s">
        <v>2884</v>
      </c>
      <c r="M521" s="80" t="s">
        <v>2885</v>
      </c>
      <c r="N521" s="80" t="s">
        <v>120</v>
      </c>
      <c r="O521" s="80" t="s">
        <v>345</v>
      </c>
      <c r="P521" s="80" t="s">
        <v>214</v>
      </c>
      <c r="Q521" s="80" t="s">
        <v>123</v>
      </c>
      <c r="R521" s="80" t="s">
        <v>174</v>
      </c>
      <c r="S521" s="80">
        <v>4</v>
      </c>
      <c r="T521" s="80">
        <v>12</v>
      </c>
      <c r="U521" s="80" t="s">
        <v>1792</v>
      </c>
      <c r="V521" s="80" t="s">
        <v>126</v>
      </c>
      <c r="W521" s="80" t="s">
        <v>127</v>
      </c>
      <c r="X521" s="80"/>
      <c r="Y521" s="80"/>
    </row>
    <row r="522" spans="1:25">
      <c r="A522" s="80">
        <f t="shared" si="8"/>
        <v>521</v>
      </c>
      <c r="B522" s="10">
        <v>45971.426319444399</v>
      </c>
      <c r="C522" s="13" t="s">
        <v>329</v>
      </c>
      <c r="D522" s="80" t="s">
        <v>2886</v>
      </c>
      <c r="E522" s="80" t="s">
        <v>2887</v>
      </c>
      <c r="F522" s="80" t="s">
        <v>2888</v>
      </c>
      <c r="G522" s="80" t="s">
        <v>2889</v>
      </c>
      <c r="H522" s="80" t="s">
        <v>684</v>
      </c>
      <c r="I522" s="80" t="s">
        <v>1186</v>
      </c>
      <c r="J522" s="80" t="s">
        <v>149</v>
      </c>
      <c r="K522" s="80">
        <v>10</v>
      </c>
      <c r="L522" s="80" t="s">
        <v>2890</v>
      </c>
      <c r="M522" s="80" t="s">
        <v>2891</v>
      </c>
      <c r="N522" s="80" t="s">
        <v>164</v>
      </c>
      <c r="O522" s="80" t="s">
        <v>2892</v>
      </c>
      <c r="P522" s="80" t="s">
        <v>269</v>
      </c>
      <c r="Q522" s="80" t="s">
        <v>123</v>
      </c>
      <c r="R522" s="80" t="s">
        <v>136</v>
      </c>
      <c r="S522" s="80">
        <v>17</v>
      </c>
      <c r="T522" s="80">
        <v>18</v>
      </c>
      <c r="U522" s="80" t="s">
        <v>336</v>
      </c>
      <c r="V522" s="80" t="s">
        <v>126</v>
      </c>
      <c r="W522" s="80" t="s">
        <v>1770</v>
      </c>
      <c r="X522" s="80"/>
      <c r="Y522" s="80"/>
    </row>
    <row r="523" spans="1:25">
      <c r="A523" s="80">
        <f t="shared" si="8"/>
        <v>522</v>
      </c>
      <c r="B523" s="10">
        <v>45971.448645833298</v>
      </c>
      <c r="C523" s="13" t="s">
        <v>1224</v>
      </c>
      <c r="D523" s="80" t="s">
        <v>2893</v>
      </c>
      <c r="E523" s="80" t="s">
        <v>2894</v>
      </c>
      <c r="F523" s="80" t="s">
        <v>2895</v>
      </c>
      <c r="G523" s="80" t="s">
        <v>2896</v>
      </c>
      <c r="H523" s="80" t="s">
        <v>115</v>
      </c>
      <c r="I523" s="80" t="s">
        <v>227</v>
      </c>
      <c r="J523" s="80" t="s">
        <v>117</v>
      </c>
      <c r="K523" s="80">
        <v>1</v>
      </c>
      <c r="L523" s="80" t="s">
        <v>2897</v>
      </c>
      <c r="M523" s="80" t="s">
        <v>2898</v>
      </c>
      <c r="N523" s="80" t="s">
        <v>120</v>
      </c>
      <c r="O523" s="80" t="s">
        <v>652</v>
      </c>
      <c r="P523" s="80" t="s">
        <v>1522</v>
      </c>
      <c r="Q523" s="80" t="s">
        <v>123</v>
      </c>
      <c r="R523" s="80" t="s">
        <v>136</v>
      </c>
      <c r="S523" s="80">
        <v>6</v>
      </c>
      <c r="T523" s="80">
        <v>12</v>
      </c>
      <c r="U523" s="80" t="s">
        <v>1232</v>
      </c>
      <c r="V523" s="80" t="s">
        <v>126</v>
      </c>
      <c r="W523" s="80" t="s">
        <v>127</v>
      </c>
      <c r="X523" s="80"/>
      <c r="Y523" s="80"/>
    </row>
    <row r="524" spans="1:25">
      <c r="A524" s="80">
        <f t="shared" si="8"/>
        <v>523</v>
      </c>
      <c r="B524" s="10">
        <v>45971.449502314797</v>
      </c>
      <c r="C524" s="13" t="s">
        <v>1224</v>
      </c>
      <c r="D524" s="80" t="s">
        <v>2899</v>
      </c>
      <c r="E524" s="80" t="s">
        <v>2900</v>
      </c>
      <c r="F524" s="80" t="s">
        <v>2901</v>
      </c>
      <c r="G524" s="80" t="s">
        <v>2902</v>
      </c>
      <c r="H524" s="80" t="s">
        <v>115</v>
      </c>
      <c r="I524" s="80" t="s">
        <v>227</v>
      </c>
      <c r="J524" s="80" t="s">
        <v>2903</v>
      </c>
      <c r="K524" s="80">
        <v>1</v>
      </c>
      <c r="L524" s="80" t="s">
        <v>2904</v>
      </c>
      <c r="M524" s="80" t="s">
        <v>2905</v>
      </c>
      <c r="N524" s="80" t="s">
        <v>120</v>
      </c>
      <c r="O524" s="80" t="s">
        <v>327</v>
      </c>
      <c r="P524" s="80" t="s">
        <v>135</v>
      </c>
      <c r="Q524" s="80" t="s">
        <v>123</v>
      </c>
      <c r="R524" s="80" t="s">
        <v>136</v>
      </c>
      <c r="S524" s="80">
        <v>5</v>
      </c>
      <c r="T524" s="80">
        <v>24</v>
      </c>
      <c r="U524" s="80" t="s">
        <v>1232</v>
      </c>
      <c r="V524" s="80" t="s">
        <v>126</v>
      </c>
      <c r="W524" s="80" t="s">
        <v>127</v>
      </c>
      <c r="X524" s="80"/>
      <c r="Y524" s="80"/>
    </row>
    <row r="525" spans="1:25">
      <c r="A525" s="80">
        <f t="shared" si="8"/>
        <v>524</v>
      </c>
      <c r="B525" s="10">
        <v>45971.457291666702</v>
      </c>
      <c r="C525" s="13" t="s">
        <v>110</v>
      </c>
      <c r="D525" s="80" t="s">
        <v>2906</v>
      </c>
      <c r="E525" s="80" t="s">
        <v>2907</v>
      </c>
      <c r="F525" s="80" t="s">
        <v>2908</v>
      </c>
      <c r="G525" s="80" t="s">
        <v>2909</v>
      </c>
      <c r="H525" s="80" t="s">
        <v>210</v>
      </c>
      <c r="I525" s="80" t="s">
        <v>50</v>
      </c>
      <c r="J525" s="80" t="s">
        <v>149</v>
      </c>
      <c r="K525" s="80">
        <v>3</v>
      </c>
      <c r="L525" s="80" t="s">
        <v>2910</v>
      </c>
      <c r="M525" s="80" t="s">
        <v>2911</v>
      </c>
      <c r="N525" s="80" t="s">
        <v>164</v>
      </c>
      <c r="O525" s="80" t="s">
        <v>1298</v>
      </c>
      <c r="P525" s="80" t="s">
        <v>135</v>
      </c>
      <c r="Q525" s="80" t="s">
        <v>123</v>
      </c>
      <c r="R525" s="80" t="s">
        <v>136</v>
      </c>
      <c r="S525" s="80">
        <v>12</v>
      </c>
      <c r="T525" s="80">
        <v>18</v>
      </c>
      <c r="U525" s="80" t="s">
        <v>125</v>
      </c>
      <c r="V525" s="80" t="s">
        <v>126</v>
      </c>
      <c r="W525" s="80" t="s">
        <v>5333</v>
      </c>
      <c r="X525" s="80"/>
      <c r="Y525" s="80"/>
    </row>
    <row r="526" spans="1:25">
      <c r="A526" s="80">
        <f t="shared" si="8"/>
        <v>525</v>
      </c>
      <c r="B526" s="10">
        <v>45971.514374999999</v>
      </c>
      <c r="C526" s="13" t="s">
        <v>157</v>
      </c>
      <c r="D526" s="80" t="s">
        <v>2912</v>
      </c>
      <c r="E526" s="80" t="s">
        <v>2913</v>
      </c>
      <c r="F526" s="80" t="s">
        <v>2914</v>
      </c>
      <c r="G526" s="80" t="s">
        <v>2915</v>
      </c>
      <c r="H526" s="80" t="s">
        <v>115</v>
      </c>
      <c r="I526" s="80" t="s">
        <v>865</v>
      </c>
      <c r="J526" s="80" t="s">
        <v>149</v>
      </c>
      <c r="K526" s="80">
        <v>6</v>
      </c>
      <c r="L526" s="80" t="s">
        <v>2916</v>
      </c>
      <c r="M526" s="80" t="s">
        <v>2917</v>
      </c>
      <c r="N526" s="80" t="s">
        <v>120</v>
      </c>
      <c r="O526" s="80" t="s">
        <v>449</v>
      </c>
      <c r="P526" s="80" t="s">
        <v>1180</v>
      </c>
      <c r="Q526" s="80" t="s">
        <v>123</v>
      </c>
      <c r="R526" s="80" t="s">
        <v>174</v>
      </c>
      <c r="S526" s="80">
        <v>1</v>
      </c>
      <c r="T526" s="80">
        <v>18</v>
      </c>
      <c r="U526" s="80" t="s">
        <v>167</v>
      </c>
      <c r="V526" s="80" t="s">
        <v>126</v>
      </c>
      <c r="W526" s="80" t="s">
        <v>127</v>
      </c>
      <c r="X526" s="80"/>
      <c r="Y526" s="80"/>
    </row>
    <row r="527" spans="1:25">
      <c r="A527" s="80">
        <f t="shared" si="8"/>
        <v>526</v>
      </c>
      <c r="B527" s="10">
        <v>45971.532708333303</v>
      </c>
      <c r="C527" s="13" t="s">
        <v>320</v>
      </c>
      <c r="D527" s="80" t="s">
        <v>2918</v>
      </c>
      <c r="E527" s="80" t="s">
        <v>2919</v>
      </c>
      <c r="F527" s="80" t="s">
        <v>2920</v>
      </c>
      <c r="G527" s="80" t="s">
        <v>2921</v>
      </c>
      <c r="H527" s="80" t="s">
        <v>115</v>
      </c>
      <c r="I527" s="80" t="s">
        <v>237</v>
      </c>
      <c r="J527" s="80" t="s">
        <v>117</v>
      </c>
      <c r="K527" s="80">
        <v>1</v>
      </c>
      <c r="L527" s="80" t="s">
        <v>2922</v>
      </c>
      <c r="M527" s="80" t="s">
        <v>2923</v>
      </c>
      <c r="N527" s="80" t="s">
        <v>164</v>
      </c>
      <c r="O527" s="80" t="s">
        <v>2924</v>
      </c>
      <c r="P527" s="80" t="s">
        <v>231</v>
      </c>
      <c r="Q527" s="80" t="s">
        <v>123</v>
      </c>
      <c r="R527" s="80" t="s">
        <v>136</v>
      </c>
      <c r="S527" s="80">
        <v>2</v>
      </c>
      <c r="T527" s="80">
        <v>12</v>
      </c>
      <c r="U527" s="80" t="s">
        <v>328</v>
      </c>
      <c r="V527" s="80" t="s">
        <v>126</v>
      </c>
      <c r="W527" s="80" t="s">
        <v>127</v>
      </c>
      <c r="X527" s="80"/>
      <c r="Y527" s="80"/>
    </row>
    <row r="528" spans="1:25">
      <c r="A528" s="80">
        <f t="shared" si="8"/>
        <v>527</v>
      </c>
      <c r="B528" s="10">
        <v>45971.532939814802</v>
      </c>
      <c r="C528" s="13" t="s">
        <v>1465</v>
      </c>
      <c r="D528" s="80" t="s">
        <v>2925</v>
      </c>
      <c r="E528" s="80" t="s">
        <v>2926</v>
      </c>
      <c r="F528" s="80" t="s">
        <v>2927</v>
      </c>
      <c r="G528" s="80" t="s">
        <v>2928</v>
      </c>
      <c r="H528" s="80" t="s">
        <v>115</v>
      </c>
      <c r="I528" s="80" t="s">
        <v>252</v>
      </c>
      <c r="J528" s="80" t="s">
        <v>117</v>
      </c>
      <c r="K528" s="80">
        <v>9</v>
      </c>
      <c r="L528" s="80" t="s">
        <v>2929</v>
      </c>
      <c r="M528" s="80" t="s">
        <v>2930</v>
      </c>
      <c r="N528" s="80" t="s">
        <v>120</v>
      </c>
      <c r="O528" s="80" t="s">
        <v>2931</v>
      </c>
      <c r="P528" s="80" t="s">
        <v>269</v>
      </c>
      <c r="Q528" s="80" t="s">
        <v>123</v>
      </c>
      <c r="R528" s="80" t="s">
        <v>174</v>
      </c>
      <c r="S528" s="80">
        <v>3</v>
      </c>
      <c r="T528" s="80">
        <v>24</v>
      </c>
      <c r="U528" s="80" t="s">
        <v>1473</v>
      </c>
      <c r="V528" s="80" t="s">
        <v>126</v>
      </c>
      <c r="W528" s="80" t="s">
        <v>127</v>
      </c>
      <c r="X528" s="80"/>
      <c r="Y528" s="80"/>
    </row>
    <row r="529" spans="1:25">
      <c r="A529" s="80">
        <f t="shared" si="8"/>
        <v>528</v>
      </c>
      <c r="B529" s="10">
        <v>45971.535717592596</v>
      </c>
      <c r="C529" s="13" t="s">
        <v>329</v>
      </c>
      <c r="D529" s="80" t="s">
        <v>2932</v>
      </c>
      <c r="E529" s="80" t="s">
        <v>2933</v>
      </c>
      <c r="F529" s="80" t="s">
        <v>2934</v>
      </c>
      <c r="G529" s="80" t="s">
        <v>2935</v>
      </c>
      <c r="H529" s="80" t="s">
        <v>115</v>
      </c>
      <c r="I529" s="80" t="s">
        <v>865</v>
      </c>
      <c r="J529" s="80" t="s">
        <v>149</v>
      </c>
      <c r="K529" s="80">
        <v>20</v>
      </c>
      <c r="L529" s="80" t="s">
        <v>2936</v>
      </c>
      <c r="M529" s="80" t="s">
        <v>2937</v>
      </c>
      <c r="N529" s="80" t="s">
        <v>120</v>
      </c>
      <c r="O529" s="80" t="s">
        <v>247</v>
      </c>
      <c r="P529" s="80" t="s">
        <v>214</v>
      </c>
      <c r="Q529" s="80" t="s">
        <v>123</v>
      </c>
      <c r="R529" s="80" t="s">
        <v>174</v>
      </c>
      <c r="S529" s="80">
        <v>2</v>
      </c>
      <c r="T529" s="80">
        <v>24</v>
      </c>
      <c r="U529" s="80" t="s">
        <v>336</v>
      </c>
      <c r="V529" s="80" t="s">
        <v>126</v>
      </c>
      <c r="W529" s="80" t="s">
        <v>127</v>
      </c>
      <c r="X529" s="80"/>
      <c r="Y529" s="80"/>
    </row>
    <row r="530" spans="1:25">
      <c r="A530" s="80">
        <f t="shared" si="8"/>
        <v>529</v>
      </c>
      <c r="B530" s="10">
        <v>45971.536585648202</v>
      </c>
      <c r="C530" s="13" t="s">
        <v>157</v>
      </c>
      <c r="D530" s="80" t="s">
        <v>2938</v>
      </c>
      <c r="E530" s="80" t="s">
        <v>2933</v>
      </c>
      <c r="F530" s="80" t="s">
        <v>2934</v>
      </c>
      <c r="G530" s="80" t="s">
        <v>2935</v>
      </c>
      <c r="H530" s="80" t="s">
        <v>115</v>
      </c>
      <c r="I530" s="80" t="s">
        <v>865</v>
      </c>
      <c r="J530" s="80" t="s">
        <v>149</v>
      </c>
      <c r="K530" s="80">
        <v>20</v>
      </c>
      <c r="L530" s="80" t="s">
        <v>2936</v>
      </c>
      <c r="M530" s="80" t="s">
        <v>2937</v>
      </c>
      <c r="N530" s="80" t="s">
        <v>120</v>
      </c>
      <c r="O530" s="80" t="s">
        <v>247</v>
      </c>
      <c r="P530" s="80" t="s">
        <v>214</v>
      </c>
      <c r="Q530" s="80" t="s">
        <v>123</v>
      </c>
      <c r="R530" s="80" t="s">
        <v>174</v>
      </c>
      <c r="S530" s="80">
        <v>2</v>
      </c>
      <c r="T530" s="80">
        <v>24</v>
      </c>
      <c r="U530" s="80" t="s">
        <v>167</v>
      </c>
      <c r="V530" s="80" t="s">
        <v>126</v>
      </c>
      <c r="W530" s="80" t="s">
        <v>127</v>
      </c>
      <c r="X530" s="80"/>
      <c r="Y530" s="80"/>
    </row>
    <row r="531" spans="1:25">
      <c r="A531" s="80">
        <f t="shared" si="8"/>
        <v>530</v>
      </c>
      <c r="B531" s="10">
        <v>45971.537314814799</v>
      </c>
      <c r="C531" s="13" t="s">
        <v>1588</v>
      </c>
      <c r="D531" s="80" t="s">
        <v>2939</v>
      </c>
      <c r="E531" s="80" t="s">
        <v>2940</v>
      </c>
      <c r="F531" s="80" t="s">
        <v>2941</v>
      </c>
      <c r="G531" s="80" t="s">
        <v>2942</v>
      </c>
      <c r="H531" s="80" t="s">
        <v>115</v>
      </c>
      <c r="I531" s="80" t="s">
        <v>227</v>
      </c>
      <c r="J531" s="80" t="s">
        <v>117</v>
      </c>
      <c r="K531" s="80">
        <v>3</v>
      </c>
      <c r="L531" s="80" t="s">
        <v>2943</v>
      </c>
      <c r="M531" s="80" t="s">
        <v>2944</v>
      </c>
      <c r="N531" s="80" t="s">
        <v>120</v>
      </c>
      <c r="O531" s="80" t="s">
        <v>152</v>
      </c>
      <c r="P531" s="80" t="s">
        <v>135</v>
      </c>
      <c r="Q531" s="80" t="s">
        <v>123</v>
      </c>
      <c r="R531" s="80" t="s">
        <v>136</v>
      </c>
      <c r="S531" s="80">
        <v>5</v>
      </c>
      <c r="T531" s="80">
        <v>12</v>
      </c>
      <c r="U531" s="80" t="s">
        <v>1590</v>
      </c>
      <c r="V531" s="80" t="s">
        <v>126</v>
      </c>
      <c r="W531" s="80" t="s">
        <v>127</v>
      </c>
      <c r="X531" s="80"/>
      <c r="Y531" s="80"/>
    </row>
    <row r="532" spans="1:25">
      <c r="A532" s="80">
        <f t="shared" si="8"/>
        <v>531</v>
      </c>
      <c r="B532" s="10">
        <v>45971.537337962996</v>
      </c>
      <c r="C532" s="13" t="s">
        <v>320</v>
      </c>
      <c r="D532" s="80" t="s">
        <v>2945</v>
      </c>
      <c r="E532" s="80" t="s">
        <v>2946</v>
      </c>
      <c r="F532" s="80" t="s">
        <v>2947</v>
      </c>
      <c r="G532" s="80" t="s">
        <v>2948</v>
      </c>
      <c r="H532" s="80" t="s">
        <v>684</v>
      </c>
      <c r="I532" s="80" t="s">
        <v>1186</v>
      </c>
      <c r="J532" s="80" t="s">
        <v>149</v>
      </c>
      <c r="K532" s="80">
        <v>5</v>
      </c>
      <c r="L532" s="80" t="s">
        <v>2949</v>
      </c>
      <c r="M532" s="80" t="s">
        <v>2950</v>
      </c>
      <c r="N532" s="80" t="s">
        <v>120</v>
      </c>
      <c r="O532" s="80" t="s">
        <v>2951</v>
      </c>
      <c r="P532" s="80" t="s">
        <v>135</v>
      </c>
      <c r="Q532" s="80" t="s">
        <v>123</v>
      </c>
      <c r="R532" s="80" t="s">
        <v>136</v>
      </c>
      <c r="S532" s="80">
        <v>4</v>
      </c>
      <c r="T532" s="80">
        <v>12</v>
      </c>
      <c r="U532" s="80" t="s">
        <v>328</v>
      </c>
      <c r="V532" s="80" t="s">
        <v>126</v>
      </c>
      <c r="W532" s="80" t="s">
        <v>1770</v>
      </c>
      <c r="X532" s="80"/>
      <c r="Y532" s="80"/>
    </row>
    <row r="533" spans="1:25">
      <c r="A533" s="80">
        <f t="shared" si="8"/>
        <v>532</v>
      </c>
      <c r="B533" s="10">
        <v>45971.541099536997</v>
      </c>
      <c r="C533" s="13" t="s">
        <v>1305</v>
      </c>
      <c r="D533" s="80" t="s">
        <v>2952</v>
      </c>
      <c r="E533" s="80" t="s">
        <v>2953</v>
      </c>
      <c r="F533" s="80" t="s">
        <v>2954</v>
      </c>
      <c r="G533" s="80" t="s">
        <v>2955</v>
      </c>
      <c r="H533" s="80" t="s">
        <v>115</v>
      </c>
      <c r="I533" s="80" t="s">
        <v>849</v>
      </c>
      <c r="J533" s="80" t="s">
        <v>117</v>
      </c>
      <c r="K533" s="80">
        <v>5</v>
      </c>
      <c r="L533" s="80" t="s">
        <v>2956</v>
      </c>
      <c r="M533" s="80" t="s">
        <v>2957</v>
      </c>
      <c r="N533" s="80" t="s">
        <v>120</v>
      </c>
      <c r="O533" s="80" t="s">
        <v>611</v>
      </c>
      <c r="P533" s="80" t="s">
        <v>135</v>
      </c>
      <c r="Q533" s="80" t="s">
        <v>123</v>
      </c>
      <c r="R533" s="80" t="s">
        <v>136</v>
      </c>
      <c r="S533" s="80">
        <v>15</v>
      </c>
      <c r="T533" s="80">
        <v>24</v>
      </c>
      <c r="U533" s="80" t="s">
        <v>1312</v>
      </c>
      <c r="V533" s="80" t="s">
        <v>126</v>
      </c>
      <c r="W533" s="80" t="s">
        <v>127</v>
      </c>
      <c r="X533" s="80"/>
      <c r="Y533" s="80"/>
    </row>
    <row r="534" spans="1:25">
      <c r="A534" s="80">
        <f t="shared" si="8"/>
        <v>533</v>
      </c>
      <c r="B534" s="10">
        <v>45971.551643518498</v>
      </c>
      <c r="C534" s="13" t="s">
        <v>320</v>
      </c>
      <c r="D534" s="80" t="s">
        <v>2958</v>
      </c>
      <c r="E534" s="80" t="s">
        <v>2959</v>
      </c>
      <c r="F534" s="80" t="s">
        <v>2960</v>
      </c>
      <c r="G534" s="80" t="s">
        <v>2961</v>
      </c>
      <c r="H534" s="80" t="s">
        <v>115</v>
      </c>
      <c r="I534" s="80" t="s">
        <v>1383</v>
      </c>
      <c r="J534" s="80" t="s">
        <v>117</v>
      </c>
      <c r="K534" s="80">
        <v>1</v>
      </c>
      <c r="L534" s="80" t="s">
        <v>2962</v>
      </c>
      <c r="M534" s="80" t="s">
        <v>2963</v>
      </c>
      <c r="N534" s="80" t="s">
        <v>120</v>
      </c>
      <c r="O534" s="80" t="s">
        <v>213</v>
      </c>
      <c r="P534" s="80" t="s">
        <v>178</v>
      </c>
      <c r="Q534" s="80" t="s">
        <v>123</v>
      </c>
      <c r="R534" s="80" t="s">
        <v>124</v>
      </c>
      <c r="S534" s="80">
        <v>8</v>
      </c>
      <c r="T534" s="80">
        <v>18</v>
      </c>
      <c r="U534" s="80" t="s">
        <v>328</v>
      </c>
      <c r="V534" s="80" t="s">
        <v>126</v>
      </c>
      <c r="W534" s="80" t="s">
        <v>127</v>
      </c>
      <c r="X534" s="80"/>
      <c r="Y534" s="80"/>
    </row>
    <row r="535" spans="1:25">
      <c r="A535" s="80">
        <f t="shared" si="8"/>
        <v>534</v>
      </c>
      <c r="B535" s="10">
        <v>45971.551655092597</v>
      </c>
      <c r="C535" s="13" t="s">
        <v>157</v>
      </c>
      <c r="D535" s="80" t="s">
        <v>2964</v>
      </c>
      <c r="E535" s="80" t="s">
        <v>2959</v>
      </c>
      <c r="F535" s="80" t="s">
        <v>2960</v>
      </c>
      <c r="G535" s="80" t="s">
        <v>2961</v>
      </c>
      <c r="H535" s="80" t="s">
        <v>115</v>
      </c>
      <c r="I535" s="80" t="s">
        <v>1383</v>
      </c>
      <c r="J535" s="80" t="s">
        <v>117</v>
      </c>
      <c r="K535" s="80">
        <v>1</v>
      </c>
      <c r="L535" s="80" t="s">
        <v>2962</v>
      </c>
      <c r="M535" s="80" t="s">
        <v>2963</v>
      </c>
      <c r="N535" s="80" t="s">
        <v>120</v>
      </c>
      <c r="O535" s="80" t="s">
        <v>213</v>
      </c>
      <c r="P535" s="80" t="s">
        <v>178</v>
      </c>
      <c r="Q535" s="80" t="s">
        <v>123</v>
      </c>
      <c r="R535" s="80" t="s">
        <v>124</v>
      </c>
      <c r="S535" s="80">
        <v>8</v>
      </c>
      <c r="T535" s="80">
        <v>18</v>
      </c>
      <c r="U535" s="80" t="s">
        <v>167</v>
      </c>
      <c r="V535" s="80" t="s">
        <v>126</v>
      </c>
      <c r="W535" s="80" t="s">
        <v>127</v>
      </c>
      <c r="X535" s="80"/>
      <c r="Y535" s="80"/>
    </row>
    <row r="536" spans="1:25">
      <c r="A536" s="80">
        <f t="shared" si="8"/>
        <v>535</v>
      </c>
      <c r="B536" s="10">
        <v>45971.560810185198</v>
      </c>
      <c r="C536" s="13" t="s">
        <v>157</v>
      </c>
      <c r="D536" s="80" t="s">
        <v>2965</v>
      </c>
      <c r="E536" s="80" t="s">
        <v>2183</v>
      </c>
      <c r="F536" s="80" t="s">
        <v>2184</v>
      </c>
      <c r="G536" s="80" t="s">
        <v>2185</v>
      </c>
      <c r="H536" s="80" t="s">
        <v>115</v>
      </c>
      <c r="I536" s="80" t="s">
        <v>918</v>
      </c>
      <c r="J536" s="80" t="s">
        <v>117</v>
      </c>
      <c r="K536" s="80">
        <v>9</v>
      </c>
      <c r="L536" s="80" t="s">
        <v>2186</v>
      </c>
      <c r="M536" s="80" t="s">
        <v>2187</v>
      </c>
      <c r="N536" s="80" t="s">
        <v>120</v>
      </c>
      <c r="O536" s="80" t="s">
        <v>121</v>
      </c>
      <c r="P536" s="80" t="s">
        <v>135</v>
      </c>
      <c r="Q536" s="80" t="s">
        <v>123</v>
      </c>
      <c r="R536" s="80" t="s">
        <v>174</v>
      </c>
      <c r="S536" s="80">
        <v>6</v>
      </c>
      <c r="T536" s="80">
        <v>18</v>
      </c>
      <c r="U536" s="80" t="s">
        <v>167</v>
      </c>
      <c r="V536" s="80" t="s">
        <v>126</v>
      </c>
      <c r="W536" s="80" t="s">
        <v>127</v>
      </c>
      <c r="X536" s="80"/>
      <c r="Y536" s="80"/>
    </row>
    <row r="537" spans="1:25">
      <c r="A537" s="80">
        <f t="shared" si="8"/>
        <v>536</v>
      </c>
      <c r="B537" s="10">
        <v>45971.5621875</v>
      </c>
      <c r="C537" s="13" t="s">
        <v>840</v>
      </c>
      <c r="D537" s="80" t="s">
        <v>2966</v>
      </c>
      <c r="E537" s="80" t="s">
        <v>2435</v>
      </c>
      <c r="F537" s="80" t="s">
        <v>2436</v>
      </c>
      <c r="G537" s="80" t="s">
        <v>2437</v>
      </c>
      <c r="H537" s="80" t="s">
        <v>115</v>
      </c>
      <c r="I537" s="80" t="s">
        <v>865</v>
      </c>
      <c r="J537" s="80" t="s">
        <v>117</v>
      </c>
      <c r="K537" s="80">
        <v>18</v>
      </c>
      <c r="L537" s="80" t="s">
        <v>2438</v>
      </c>
      <c r="M537" s="80" t="s">
        <v>2439</v>
      </c>
      <c r="N537" s="80" t="s">
        <v>164</v>
      </c>
      <c r="O537" s="80" t="s">
        <v>1501</v>
      </c>
      <c r="P537" s="80" t="s">
        <v>135</v>
      </c>
      <c r="Q537" s="80" t="s">
        <v>123</v>
      </c>
      <c r="R537" s="80" t="s">
        <v>174</v>
      </c>
      <c r="S537" s="80">
        <v>10</v>
      </c>
      <c r="T537" s="80">
        <v>24</v>
      </c>
      <c r="U537" s="80" t="s">
        <v>843</v>
      </c>
      <c r="V537" s="80" t="s">
        <v>126</v>
      </c>
      <c r="W537" s="80" t="s">
        <v>127</v>
      </c>
      <c r="X537" s="80"/>
      <c r="Y537" s="80"/>
    </row>
    <row r="538" spans="1:25">
      <c r="A538" s="80">
        <f t="shared" si="8"/>
        <v>537</v>
      </c>
      <c r="B538" s="10">
        <v>45971.563518518502</v>
      </c>
      <c r="C538" s="13" t="s">
        <v>280</v>
      </c>
      <c r="D538" s="80" t="s">
        <v>2967</v>
      </c>
      <c r="E538" s="80" t="s">
        <v>2968</v>
      </c>
      <c r="F538" s="80" t="s">
        <v>2969</v>
      </c>
      <c r="G538" s="80" t="s">
        <v>2970</v>
      </c>
      <c r="H538" s="80" t="s">
        <v>115</v>
      </c>
      <c r="I538" s="80" t="s">
        <v>1069</v>
      </c>
      <c r="J538" s="80" t="s">
        <v>117</v>
      </c>
      <c r="K538" s="80">
        <v>3</v>
      </c>
      <c r="L538" s="80" t="s">
        <v>2971</v>
      </c>
      <c r="M538" s="80" t="s">
        <v>2972</v>
      </c>
      <c r="N538" s="80" t="s">
        <v>120</v>
      </c>
      <c r="O538" s="80" t="s">
        <v>152</v>
      </c>
      <c r="P538" s="80" t="s">
        <v>135</v>
      </c>
      <c r="Q538" s="80" t="s">
        <v>123</v>
      </c>
      <c r="R538" s="80" t="s">
        <v>136</v>
      </c>
      <c r="S538" s="80">
        <v>18</v>
      </c>
      <c r="T538" s="80">
        <v>18</v>
      </c>
      <c r="U538" s="80" t="s">
        <v>288</v>
      </c>
      <c r="V538" s="80" t="s">
        <v>126</v>
      </c>
      <c r="W538" s="80" t="s">
        <v>127</v>
      </c>
      <c r="X538" s="80"/>
      <c r="Y538" s="80"/>
    </row>
    <row r="539" spans="1:25">
      <c r="A539" s="80">
        <f t="shared" si="8"/>
        <v>538</v>
      </c>
      <c r="B539" s="10">
        <v>45971.564560185201</v>
      </c>
      <c r="C539" s="13" t="s">
        <v>280</v>
      </c>
      <c r="D539" s="80" t="s">
        <v>2973</v>
      </c>
      <c r="E539" s="80" t="s">
        <v>2974</v>
      </c>
      <c r="F539" s="80" t="s">
        <v>2975</v>
      </c>
      <c r="G539" s="80" t="s">
        <v>2976</v>
      </c>
      <c r="H539" s="80" t="s">
        <v>174</v>
      </c>
      <c r="I539" s="80" t="s">
        <v>173</v>
      </c>
      <c r="J539" s="80" t="s">
        <v>149</v>
      </c>
      <c r="K539" s="80">
        <v>8</v>
      </c>
      <c r="L539" s="80" t="s">
        <v>2977</v>
      </c>
      <c r="M539" s="80" t="s">
        <v>2978</v>
      </c>
      <c r="N539" s="80" t="s">
        <v>120</v>
      </c>
      <c r="O539" s="80" t="s">
        <v>152</v>
      </c>
      <c r="P539" s="80" t="s">
        <v>135</v>
      </c>
      <c r="Q539" s="80" t="s">
        <v>123</v>
      </c>
      <c r="R539" s="80" t="s">
        <v>174</v>
      </c>
      <c r="S539" s="80">
        <v>15</v>
      </c>
      <c r="T539" s="80">
        <v>18</v>
      </c>
      <c r="U539" s="80" t="s">
        <v>288</v>
      </c>
      <c r="V539" s="80" t="s">
        <v>126</v>
      </c>
      <c r="W539" s="80" t="s">
        <v>127</v>
      </c>
      <c r="X539" s="80"/>
      <c r="Y539" s="80"/>
    </row>
    <row r="540" spans="1:25">
      <c r="A540" s="80">
        <f t="shared" si="8"/>
        <v>539</v>
      </c>
      <c r="B540" s="10">
        <v>45971.564583333296</v>
      </c>
      <c r="C540" s="13" t="s">
        <v>589</v>
      </c>
      <c r="D540" s="80" t="s">
        <v>2979</v>
      </c>
      <c r="E540" s="80" t="s">
        <v>2974</v>
      </c>
      <c r="F540" s="80" t="s">
        <v>2975</v>
      </c>
      <c r="G540" s="80" t="s">
        <v>2976</v>
      </c>
      <c r="H540" s="80" t="s">
        <v>174</v>
      </c>
      <c r="I540" s="80" t="s">
        <v>173</v>
      </c>
      <c r="J540" s="80" t="s">
        <v>149</v>
      </c>
      <c r="K540" s="80">
        <v>8</v>
      </c>
      <c r="L540" s="80" t="s">
        <v>2977</v>
      </c>
      <c r="M540" s="80" t="s">
        <v>2978</v>
      </c>
      <c r="N540" s="80" t="s">
        <v>120</v>
      </c>
      <c r="O540" s="80" t="s">
        <v>152</v>
      </c>
      <c r="P540" s="80" t="s">
        <v>135</v>
      </c>
      <c r="Q540" s="80" t="s">
        <v>123</v>
      </c>
      <c r="R540" s="80" t="s">
        <v>174</v>
      </c>
      <c r="S540" s="80">
        <v>15</v>
      </c>
      <c r="T540" s="80">
        <v>18</v>
      </c>
      <c r="U540" s="80" t="s">
        <v>596</v>
      </c>
      <c r="V540" s="80" t="s">
        <v>126</v>
      </c>
      <c r="W540" s="80" t="s">
        <v>127</v>
      </c>
      <c r="X540" s="80"/>
      <c r="Y540" s="80"/>
    </row>
    <row r="541" spans="1:25">
      <c r="A541" s="80">
        <f t="shared" si="8"/>
        <v>540</v>
      </c>
      <c r="B541" s="10">
        <v>45971.564664351798</v>
      </c>
      <c r="C541" s="13" t="s">
        <v>359</v>
      </c>
      <c r="D541" s="80" t="s">
        <v>2980</v>
      </c>
      <c r="E541" s="80" t="s">
        <v>2974</v>
      </c>
      <c r="F541" s="80" t="s">
        <v>2975</v>
      </c>
      <c r="G541" s="80" t="s">
        <v>2976</v>
      </c>
      <c r="H541" s="80" t="s">
        <v>174</v>
      </c>
      <c r="I541" s="80" t="s">
        <v>173</v>
      </c>
      <c r="J541" s="80" t="s">
        <v>149</v>
      </c>
      <c r="K541" s="80">
        <v>8</v>
      </c>
      <c r="L541" s="80" t="s">
        <v>2977</v>
      </c>
      <c r="M541" s="80" t="s">
        <v>2978</v>
      </c>
      <c r="N541" s="80" t="s">
        <v>120</v>
      </c>
      <c r="O541" s="80" t="s">
        <v>152</v>
      </c>
      <c r="P541" s="80" t="s">
        <v>135</v>
      </c>
      <c r="Q541" s="80" t="s">
        <v>123</v>
      </c>
      <c r="R541" s="80" t="s">
        <v>174</v>
      </c>
      <c r="S541" s="80">
        <v>15</v>
      </c>
      <c r="T541" s="80">
        <v>18</v>
      </c>
      <c r="U541" s="80" t="s">
        <v>361</v>
      </c>
      <c r="V541" s="80" t="s">
        <v>126</v>
      </c>
      <c r="W541" s="80" t="s">
        <v>127</v>
      </c>
      <c r="X541" s="80"/>
      <c r="Y541" s="80"/>
    </row>
    <row r="542" spans="1:25">
      <c r="A542" s="80">
        <f t="shared" si="8"/>
        <v>541</v>
      </c>
      <c r="B542" s="10">
        <v>45971.564988425896</v>
      </c>
      <c r="C542" s="13" t="s">
        <v>456</v>
      </c>
      <c r="D542" s="80" t="s">
        <v>2981</v>
      </c>
      <c r="E542" s="80" t="s">
        <v>2968</v>
      </c>
      <c r="F542" s="80" t="s">
        <v>2969</v>
      </c>
      <c r="G542" s="80" t="s">
        <v>2970</v>
      </c>
      <c r="H542" s="80" t="s">
        <v>115</v>
      </c>
      <c r="I542" s="80" t="s">
        <v>1069</v>
      </c>
      <c r="J542" s="80" t="s">
        <v>117</v>
      </c>
      <c r="K542" s="80">
        <v>3</v>
      </c>
      <c r="L542" s="80" t="s">
        <v>2971</v>
      </c>
      <c r="M542" s="80" t="s">
        <v>2972</v>
      </c>
      <c r="N542" s="80" t="s">
        <v>120</v>
      </c>
      <c r="O542" s="80" t="s">
        <v>152</v>
      </c>
      <c r="P542" s="80" t="s">
        <v>135</v>
      </c>
      <c r="Q542" s="80" t="s">
        <v>123</v>
      </c>
      <c r="R542" s="80" t="s">
        <v>136</v>
      </c>
      <c r="S542" s="80">
        <v>18</v>
      </c>
      <c r="T542" s="80">
        <v>18</v>
      </c>
      <c r="U542" s="80" t="s">
        <v>466</v>
      </c>
      <c r="V542" s="80" t="s">
        <v>126</v>
      </c>
      <c r="W542" s="80" t="s">
        <v>127</v>
      </c>
      <c r="X542" s="80"/>
      <c r="Y542" s="80"/>
    </row>
    <row r="543" spans="1:25">
      <c r="A543" s="80">
        <f t="shared" si="8"/>
        <v>542</v>
      </c>
      <c r="B543" s="10">
        <v>45971.565590277802</v>
      </c>
      <c r="C543" s="13" t="s">
        <v>456</v>
      </c>
      <c r="D543" s="80" t="s">
        <v>2982</v>
      </c>
      <c r="E543" s="80" t="s">
        <v>2974</v>
      </c>
      <c r="F543" s="80" t="s">
        <v>2975</v>
      </c>
      <c r="G543" s="80" t="s">
        <v>2976</v>
      </c>
      <c r="H543" s="80" t="s">
        <v>174</v>
      </c>
      <c r="I543" s="80" t="s">
        <v>173</v>
      </c>
      <c r="J543" s="80" t="s">
        <v>149</v>
      </c>
      <c r="K543" s="80">
        <v>8</v>
      </c>
      <c r="L543" s="80" t="s">
        <v>2977</v>
      </c>
      <c r="M543" s="80" t="s">
        <v>2978</v>
      </c>
      <c r="N543" s="80" t="s">
        <v>120</v>
      </c>
      <c r="O543" s="80" t="s">
        <v>152</v>
      </c>
      <c r="P543" s="80" t="s">
        <v>135</v>
      </c>
      <c r="Q543" s="80" t="s">
        <v>123</v>
      </c>
      <c r="R543" s="80" t="s">
        <v>174</v>
      </c>
      <c r="S543" s="80">
        <v>15</v>
      </c>
      <c r="T543" s="80">
        <v>18</v>
      </c>
      <c r="U543" s="80" t="s">
        <v>466</v>
      </c>
      <c r="V543" s="80" t="s">
        <v>126</v>
      </c>
      <c r="W543" s="80" t="s">
        <v>127</v>
      </c>
      <c r="X543" s="80"/>
      <c r="Y543" s="80"/>
    </row>
    <row r="544" spans="1:25">
      <c r="A544" s="80">
        <f t="shared" si="8"/>
        <v>543</v>
      </c>
      <c r="B544" s="10">
        <v>45971.567233796297</v>
      </c>
      <c r="C544" s="13" t="s">
        <v>329</v>
      </c>
      <c r="D544" s="80" t="s">
        <v>2983</v>
      </c>
      <c r="E544" s="80" t="s">
        <v>2984</v>
      </c>
      <c r="F544" s="80" t="s">
        <v>2985</v>
      </c>
      <c r="G544" s="80" t="s">
        <v>2986</v>
      </c>
      <c r="H544" s="80" t="s">
        <v>174</v>
      </c>
      <c r="I544" s="80" t="s">
        <v>173</v>
      </c>
      <c r="J544" s="80" t="s">
        <v>149</v>
      </c>
      <c r="K544" s="80">
        <v>4</v>
      </c>
      <c r="L544" s="80" t="s">
        <v>2987</v>
      </c>
      <c r="M544" s="80" t="s">
        <v>2988</v>
      </c>
      <c r="N544" s="80" t="s">
        <v>120</v>
      </c>
      <c r="O544" s="80" t="s">
        <v>421</v>
      </c>
      <c r="P544" s="80" t="s">
        <v>295</v>
      </c>
      <c r="Q544" s="80" t="s">
        <v>123</v>
      </c>
      <c r="R544" s="80" t="s">
        <v>174</v>
      </c>
      <c r="S544" s="80">
        <v>2</v>
      </c>
      <c r="T544" s="80">
        <v>18</v>
      </c>
      <c r="U544" s="80" t="s">
        <v>336</v>
      </c>
      <c r="V544" s="80" t="s">
        <v>126</v>
      </c>
      <c r="W544" s="80" t="s">
        <v>127</v>
      </c>
      <c r="X544" s="80"/>
      <c r="Y544" s="80"/>
    </row>
    <row r="545" spans="1:25">
      <c r="A545" s="80">
        <f t="shared" si="8"/>
        <v>544</v>
      </c>
      <c r="B545" s="10">
        <v>45971.567337963003</v>
      </c>
      <c r="C545" s="13" t="s">
        <v>157</v>
      </c>
      <c r="D545" s="80" t="s">
        <v>2989</v>
      </c>
      <c r="E545" s="80" t="s">
        <v>2990</v>
      </c>
      <c r="F545" s="80" t="s">
        <v>2991</v>
      </c>
      <c r="G545" s="80" t="s">
        <v>2992</v>
      </c>
      <c r="H545" s="80" t="s">
        <v>115</v>
      </c>
      <c r="I545" s="80" t="s">
        <v>237</v>
      </c>
      <c r="J545" s="80" t="s">
        <v>117</v>
      </c>
      <c r="K545" s="80">
        <v>4</v>
      </c>
      <c r="L545" s="80" t="s">
        <v>2993</v>
      </c>
      <c r="M545" s="80" t="s">
        <v>2994</v>
      </c>
      <c r="N545" s="80" t="s">
        <v>120</v>
      </c>
      <c r="O545" s="80" t="s">
        <v>572</v>
      </c>
      <c r="P545" s="80" t="s">
        <v>352</v>
      </c>
      <c r="Q545" s="80" t="s">
        <v>123</v>
      </c>
      <c r="R545" s="80" t="s">
        <v>136</v>
      </c>
      <c r="S545" s="80">
        <v>4</v>
      </c>
      <c r="T545" s="80">
        <v>18</v>
      </c>
      <c r="U545" s="80" t="s">
        <v>167</v>
      </c>
      <c r="V545" s="80" t="s">
        <v>126</v>
      </c>
      <c r="W545" s="80" t="s">
        <v>127</v>
      </c>
      <c r="X545" s="80"/>
      <c r="Y545" s="80"/>
    </row>
    <row r="546" spans="1:25">
      <c r="A546" s="80">
        <f t="shared" si="8"/>
        <v>545</v>
      </c>
      <c r="B546" s="10">
        <v>45971.568819444401</v>
      </c>
      <c r="C546" s="13" t="s">
        <v>2995</v>
      </c>
      <c r="D546" s="80" t="s">
        <v>2996</v>
      </c>
      <c r="E546" s="80" t="s">
        <v>2997</v>
      </c>
      <c r="F546" s="80" t="s">
        <v>2998</v>
      </c>
      <c r="G546" s="80" t="s">
        <v>2999</v>
      </c>
      <c r="H546" s="80" t="s">
        <v>115</v>
      </c>
      <c r="I546" s="80" t="s">
        <v>918</v>
      </c>
      <c r="J546" s="80" t="s">
        <v>117</v>
      </c>
      <c r="K546" s="80">
        <v>25</v>
      </c>
      <c r="L546" s="80" t="s">
        <v>3000</v>
      </c>
      <c r="M546" s="80" t="s">
        <v>3001</v>
      </c>
      <c r="N546" s="80" t="s">
        <v>120</v>
      </c>
      <c r="O546" s="80" t="s">
        <v>152</v>
      </c>
      <c r="P546" s="80" t="s">
        <v>304</v>
      </c>
      <c r="Q546" s="80" t="s">
        <v>123</v>
      </c>
      <c r="R546" s="80" t="s">
        <v>174</v>
      </c>
      <c r="S546" s="80">
        <v>16</v>
      </c>
      <c r="T546" s="80">
        <v>18</v>
      </c>
      <c r="U546" s="80" t="s">
        <v>3002</v>
      </c>
      <c r="V546" s="80" t="s">
        <v>126</v>
      </c>
      <c r="W546" s="80" t="s">
        <v>127</v>
      </c>
      <c r="X546" s="80"/>
      <c r="Y546" s="80"/>
    </row>
    <row r="547" spans="1:25">
      <c r="A547" s="80">
        <f t="shared" si="8"/>
        <v>546</v>
      </c>
      <c r="B547" s="10">
        <v>45971.572118055599</v>
      </c>
      <c r="C547" s="13" t="s">
        <v>280</v>
      </c>
      <c r="D547" s="80" t="s">
        <v>3003</v>
      </c>
      <c r="E547" s="80" t="s">
        <v>3004</v>
      </c>
      <c r="F547" s="80" t="s">
        <v>1631</v>
      </c>
      <c r="G547" s="80" t="s">
        <v>3005</v>
      </c>
      <c r="H547" s="80" t="s">
        <v>115</v>
      </c>
      <c r="I547" s="80" t="s">
        <v>1069</v>
      </c>
      <c r="J547" s="80" t="s">
        <v>117</v>
      </c>
      <c r="K547" s="80">
        <v>1</v>
      </c>
      <c r="L547" s="80" t="s">
        <v>3006</v>
      </c>
      <c r="M547" s="80" t="s">
        <v>3007</v>
      </c>
      <c r="N547" s="80" t="s">
        <v>120</v>
      </c>
      <c r="O547" s="80" t="s">
        <v>652</v>
      </c>
      <c r="P547" s="80" t="s">
        <v>269</v>
      </c>
      <c r="Q547" s="80" t="s">
        <v>123</v>
      </c>
      <c r="R547" s="80" t="s">
        <v>124</v>
      </c>
      <c r="S547" s="80">
        <v>21</v>
      </c>
      <c r="T547" s="80">
        <v>24</v>
      </c>
      <c r="U547" s="80" t="s">
        <v>288</v>
      </c>
      <c r="V547" s="80" t="s">
        <v>126</v>
      </c>
      <c r="W547" s="80" t="s">
        <v>127</v>
      </c>
      <c r="X547" s="80"/>
      <c r="Y547" s="80"/>
    </row>
    <row r="548" spans="1:25">
      <c r="A548" s="80">
        <f t="shared" si="8"/>
        <v>547</v>
      </c>
      <c r="B548" s="10">
        <v>45971.574398148201</v>
      </c>
      <c r="C548" s="13" t="s">
        <v>329</v>
      </c>
      <c r="D548" s="80" t="s">
        <v>3008</v>
      </c>
      <c r="E548" s="80" t="s">
        <v>3009</v>
      </c>
      <c r="F548" s="80" t="s">
        <v>3010</v>
      </c>
      <c r="G548" s="80" t="s">
        <v>3011</v>
      </c>
      <c r="H548" s="80" t="s">
        <v>115</v>
      </c>
      <c r="I548" s="80" t="s">
        <v>865</v>
      </c>
      <c r="J548" s="80" t="s">
        <v>117</v>
      </c>
      <c r="K548" s="80">
        <v>6</v>
      </c>
      <c r="L548" s="80" t="s">
        <v>3012</v>
      </c>
      <c r="M548" s="80" t="s">
        <v>3013</v>
      </c>
      <c r="N548" s="80" t="s">
        <v>120</v>
      </c>
      <c r="O548" s="80" t="s">
        <v>152</v>
      </c>
      <c r="P548" s="80" t="s">
        <v>135</v>
      </c>
      <c r="Q548" s="80" t="s">
        <v>123</v>
      </c>
      <c r="R548" s="80" t="s">
        <v>174</v>
      </c>
      <c r="S548" s="80">
        <v>11</v>
      </c>
      <c r="T548" s="80">
        <v>18</v>
      </c>
      <c r="U548" s="80" t="s">
        <v>336</v>
      </c>
      <c r="V548" s="80" t="s">
        <v>126</v>
      </c>
      <c r="W548" s="80" t="s">
        <v>127</v>
      </c>
      <c r="X548" s="80"/>
      <c r="Y548" s="80"/>
    </row>
    <row r="549" spans="1:25">
      <c r="A549" s="80">
        <f t="shared" si="8"/>
        <v>548</v>
      </c>
      <c r="B549" s="10">
        <v>45971.575624999998</v>
      </c>
      <c r="C549" s="13" t="s">
        <v>222</v>
      </c>
      <c r="D549" s="80" t="s">
        <v>3014</v>
      </c>
      <c r="E549" s="80" t="s">
        <v>3015</v>
      </c>
      <c r="F549" s="80" t="s">
        <v>3016</v>
      </c>
      <c r="G549" s="80" t="s">
        <v>3017</v>
      </c>
      <c r="H549" s="80" t="s">
        <v>115</v>
      </c>
      <c r="I549" s="80" t="s">
        <v>1069</v>
      </c>
      <c r="J549" s="80" t="s">
        <v>117</v>
      </c>
      <c r="K549" s="80">
        <v>17</v>
      </c>
      <c r="L549" s="80" t="s">
        <v>3018</v>
      </c>
      <c r="M549" s="80" t="s">
        <v>3019</v>
      </c>
      <c r="N549" s="80" t="s">
        <v>120</v>
      </c>
      <c r="O549" s="80" t="s">
        <v>152</v>
      </c>
      <c r="P549" s="80" t="s">
        <v>135</v>
      </c>
      <c r="Q549" s="80" t="s">
        <v>123</v>
      </c>
      <c r="R549" s="80" t="s">
        <v>174</v>
      </c>
      <c r="S549" s="80">
        <v>7</v>
      </c>
      <c r="T549" s="80">
        <v>24</v>
      </c>
      <c r="U549" s="80" t="s">
        <v>232</v>
      </c>
      <c r="V549" s="80" t="s">
        <v>126</v>
      </c>
      <c r="W549" s="80" t="s">
        <v>127</v>
      </c>
      <c r="X549" s="80"/>
      <c r="Y549" s="80"/>
    </row>
    <row r="550" spans="1:25">
      <c r="A550" s="80">
        <f t="shared" si="8"/>
        <v>549</v>
      </c>
      <c r="B550" s="10">
        <v>45971.582800925898</v>
      </c>
      <c r="C550" s="13" t="s">
        <v>456</v>
      </c>
      <c r="D550" s="80" t="s">
        <v>3020</v>
      </c>
      <c r="E550" s="80" t="s">
        <v>3021</v>
      </c>
      <c r="F550" s="80" t="s">
        <v>3022</v>
      </c>
      <c r="G550" s="80" t="s">
        <v>3023</v>
      </c>
      <c r="H550" s="80" t="s">
        <v>115</v>
      </c>
      <c r="I550" s="80" t="s">
        <v>955</v>
      </c>
      <c r="J550" s="80" t="s">
        <v>117</v>
      </c>
      <c r="K550" s="80">
        <v>7</v>
      </c>
      <c r="L550" s="80" t="s">
        <v>3024</v>
      </c>
      <c r="M550" s="80" t="s">
        <v>3025</v>
      </c>
      <c r="N550" s="80" t="s">
        <v>120</v>
      </c>
      <c r="O550" s="80" t="s">
        <v>247</v>
      </c>
      <c r="P550" s="80" t="s">
        <v>612</v>
      </c>
      <c r="Q550" s="80" t="s">
        <v>123</v>
      </c>
      <c r="R550" s="80" t="s">
        <v>174</v>
      </c>
      <c r="S550" s="80">
        <v>4</v>
      </c>
      <c r="T550" s="80">
        <v>12</v>
      </c>
      <c r="U550" s="80" t="s">
        <v>466</v>
      </c>
      <c r="V550" s="80" t="s">
        <v>126</v>
      </c>
      <c r="W550" s="80" t="s">
        <v>127</v>
      </c>
      <c r="X550" s="80"/>
      <c r="Y550" s="80"/>
    </row>
    <row r="551" spans="1:25">
      <c r="A551" s="80">
        <f t="shared" si="8"/>
        <v>550</v>
      </c>
      <c r="B551" s="10">
        <v>45971.587118055599</v>
      </c>
      <c r="C551" s="13" t="s">
        <v>604</v>
      </c>
      <c r="D551" s="80" t="s">
        <v>3026</v>
      </c>
      <c r="E551" s="80" t="s">
        <v>3027</v>
      </c>
      <c r="F551" s="80" t="s">
        <v>3028</v>
      </c>
      <c r="G551" s="80" t="s">
        <v>3029</v>
      </c>
      <c r="H551" s="80" t="s">
        <v>115</v>
      </c>
      <c r="I551" s="80" t="s">
        <v>865</v>
      </c>
      <c r="J551" s="80" t="s">
        <v>149</v>
      </c>
      <c r="K551" s="80">
        <v>19</v>
      </c>
      <c r="L551" s="80" t="s">
        <v>3030</v>
      </c>
      <c r="M551" s="80" t="s">
        <v>3031</v>
      </c>
      <c r="N551" s="80" t="s">
        <v>120</v>
      </c>
      <c r="O551" s="80" t="s">
        <v>247</v>
      </c>
      <c r="P551" s="80" t="s">
        <v>3032</v>
      </c>
      <c r="Q551" s="80" t="s">
        <v>123</v>
      </c>
      <c r="R551" s="80" t="s">
        <v>174</v>
      </c>
      <c r="S551" s="80">
        <v>2</v>
      </c>
      <c r="T551" s="80">
        <v>24</v>
      </c>
      <c r="U551" s="80" t="s">
        <v>613</v>
      </c>
      <c r="V551" s="80" t="s">
        <v>126</v>
      </c>
      <c r="W551" s="80" t="s">
        <v>127</v>
      </c>
      <c r="X551" s="80"/>
      <c r="Y551" s="80"/>
    </row>
    <row r="552" spans="1:25">
      <c r="A552" s="80">
        <f t="shared" si="8"/>
        <v>551</v>
      </c>
      <c r="B552" s="10">
        <v>45971.587129629603</v>
      </c>
      <c r="C552" s="13" t="s">
        <v>553</v>
      </c>
      <c r="D552" s="80" t="s">
        <v>3033</v>
      </c>
      <c r="E552" s="80" t="s">
        <v>3027</v>
      </c>
      <c r="F552" s="80" t="s">
        <v>3028</v>
      </c>
      <c r="G552" s="80" t="s">
        <v>3029</v>
      </c>
      <c r="H552" s="80" t="s">
        <v>115</v>
      </c>
      <c r="I552" s="80" t="s">
        <v>865</v>
      </c>
      <c r="J552" s="80" t="s">
        <v>149</v>
      </c>
      <c r="K552" s="80">
        <v>19</v>
      </c>
      <c r="L552" s="80" t="s">
        <v>3030</v>
      </c>
      <c r="M552" s="80" t="s">
        <v>3031</v>
      </c>
      <c r="N552" s="80" t="s">
        <v>120</v>
      </c>
      <c r="O552" s="80" t="s">
        <v>247</v>
      </c>
      <c r="P552" s="80" t="s">
        <v>3032</v>
      </c>
      <c r="Q552" s="80" t="s">
        <v>123</v>
      </c>
      <c r="R552" s="80" t="s">
        <v>174</v>
      </c>
      <c r="S552" s="80">
        <v>2</v>
      </c>
      <c r="T552" s="80">
        <v>24</v>
      </c>
      <c r="U552" s="80" t="s">
        <v>562</v>
      </c>
      <c r="V552" s="80" t="s">
        <v>126</v>
      </c>
      <c r="W552" s="80" t="s">
        <v>127</v>
      </c>
      <c r="X552" s="80"/>
      <c r="Y552" s="80"/>
    </row>
    <row r="553" spans="1:25">
      <c r="A553" s="80">
        <f t="shared" si="8"/>
        <v>552</v>
      </c>
      <c r="B553" s="10">
        <v>45971.588657407403</v>
      </c>
      <c r="C553" s="13" t="s">
        <v>840</v>
      </c>
      <c r="D553" s="80" t="s">
        <v>3034</v>
      </c>
      <c r="E553" s="80" t="s">
        <v>3004</v>
      </c>
      <c r="F553" s="80" t="s">
        <v>1631</v>
      </c>
      <c r="G553" s="80" t="s">
        <v>3005</v>
      </c>
      <c r="H553" s="80" t="s">
        <v>115</v>
      </c>
      <c r="I553" s="80" t="s">
        <v>1069</v>
      </c>
      <c r="J553" s="80" t="s">
        <v>117</v>
      </c>
      <c r="K553" s="80">
        <v>1</v>
      </c>
      <c r="L553" s="80" t="s">
        <v>3006</v>
      </c>
      <c r="M553" s="80" t="s">
        <v>3007</v>
      </c>
      <c r="N553" s="80" t="s">
        <v>120</v>
      </c>
      <c r="O553" s="80" t="s">
        <v>652</v>
      </c>
      <c r="P553" s="80" t="s">
        <v>269</v>
      </c>
      <c r="Q553" s="80" t="s">
        <v>123</v>
      </c>
      <c r="R553" s="80" t="s">
        <v>124</v>
      </c>
      <c r="S553" s="80">
        <v>21</v>
      </c>
      <c r="T553" s="80">
        <v>24</v>
      </c>
      <c r="U553" s="80" t="s">
        <v>843</v>
      </c>
      <c r="V553" s="80" t="s">
        <v>126</v>
      </c>
      <c r="W553" s="80" t="s">
        <v>127</v>
      </c>
      <c r="X553" s="80"/>
      <c r="Y553" s="80"/>
    </row>
    <row r="554" spans="1:25">
      <c r="A554" s="80">
        <f t="shared" si="8"/>
        <v>553</v>
      </c>
      <c r="B554" s="10">
        <v>45971.591018518498</v>
      </c>
      <c r="C554" s="13" t="s">
        <v>589</v>
      </c>
      <c r="D554" s="80" t="s">
        <v>3035</v>
      </c>
      <c r="E554" s="80" t="s">
        <v>2428</v>
      </c>
      <c r="F554" s="80" t="s">
        <v>2429</v>
      </c>
      <c r="G554" s="80" t="s">
        <v>2430</v>
      </c>
      <c r="H554" s="80" t="s">
        <v>115</v>
      </c>
      <c r="I554" s="80" t="s">
        <v>1410</v>
      </c>
      <c r="J554" s="80" t="s">
        <v>117</v>
      </c>
      <c r="K554" s="80">
        <v>5</v>
      </c>
      <c r="L554" s="80" t="s">
        <v>2431</v>
      </c>
      <c r="M554" s="80" t="s">
        <v>2432</v>
      </c>
      <c r="N554" s="80" t="s">
        <v>120</v>
      </c>
      <c r="O554" s="80" t="s">
        <v>572</v>
      </c>
      <c r="P554" s="80" t="s">
        <v>135</v>
      </c>
      <c r="Q554" s="80" t="s">
        <v>123</v>
      </c>
      <c r="R554" s="80" t="s">
        <v>136</v>
      </c>
      <c r="S554" s="80">
        <v>4</v>
      </c>
      <c r="T554" s="80">
        <v>18</v>
      </c>
      <c r="U554" s="80" t="s">
        <v>596</v>
      </c>
      <c r="V554" s="80" t="s">
        <v>126</v>
      </c>
      <c r="W554" s="80" t="s">
        <v>127</v>
      </c>
      <c r="X554" s="80"/>
      <c r="Y554" s="80"/>
    </row>
    <row r="555" spans="1:25">
      <c r="A555" s="80">
        <f t="shared" si="8"/>
        <v>554</v>
      </c>
      <c r="B555" s="10">
        <v>45971.596759259301</v>
      </c>
      <c r="C555" s="13" t="s">
        <v>589</v>
      </c>
      <c r="D555" s="80" t="s">
        <v>3036</v>
      </c>
      <c r="E555" s="80" t="s">
        <v>3037</v>
      </c>
      <c r="F555" s="80" t="s">
        <v>3038</v>
      </c>
      <c r="G555" s="80" t="s">
        <v>3039</v>
      </c>
      <c r="H555" s="80" t="s">
        <v>115</v>
      </c>
      <c r="I555" s="80" t="s">
        <v>1383</v>
      </c>
      <c r="J555" s="80" t="s">
        <v>117</v>
      </c>
      <c r="K555" s="80">
        <v>19</v>
      </c>
      <c r="L555" s="80" t="s">
        <v>3040</v>
      </c>
      <c r="M555" s="80" t="s">
        <v>3041</v>
      </c>
      <c r="N555" s="80" t="s">
        <v>120</v>
      </c>
      <c r="O555" s="80" t="s">
        <v>152</v>
      </c>
      <c r="P555" s="80" t="s">
        <v>135</v>
      </c>
      <c r="Q555" s="80" t="s">
        <v>123</v>
      </c>
      <c r="R555" s="80" t="s">
        <v>174</v>
      </c>
      <c r="S555" s="80">
        <v>3</v>
      </c>
      <c r="T555" s="80">
        <v>24</v>
      </c>
      <c r="U555" s="80" t="s">
        <v>596</v>
      </c>
      <c r="V555" s="80" t="s">
        <v>126</v>
      </c>
      <c r="W555" s="80" t="s">
        <v>127</v>
      </c>
      <c r="X555" s="80"/>
      <c r="Y555" s="80"/>
    </row>
    <row r="556" spans="1:25">
      <c r="A556" s="80">
        <f t="shared" si="8"/>
        <v>555</v>
      </c>
      <c r="B556" s="10">
        <v>45971.601342592599</v>
      </c>
      <c r="C556" s="13" t="s">
        <v>589</v>
      </c>
      <c r="D556" s="80" t="s">
        <v>3042</v>
      </c>
      <c r="E556" s="80" t="s">
        <v>3043</v>
      </c>
      <c r="F556" s="80" t="s">
        <v>3044</v>
      </c>
      <c r="G556" s="80" t="s">
        <v>3045</v>
      </c>
      <c r="H556" s="80" t="s">
        <v>115</v>
      </c>
      <c r="I556" s="80" t="s">
        <v>1069</v>
      </c>
      <c r="J556" s="80" t="s">
        <v>117</v>
      </c>
      <c r="K556" s="80">
        <v>11</v>
      </c>
      <c r="L556" s="80" t="s">
        <v>3046</v>
      </c>
      <c r="M556" s="80" t="s">
        <v>3047</v>
      </c>
      <c r="N556" s="80" t="s">
        <v>120</v>
      </c>
      <c r="O556" s="80" t="s">
        <v>121</v>
      </c>
      <c r="P556" s="80" t="s">
        <v>832</v>
      </c>
      <c r="Q556" s="80" t="s">
        <v>123</v>
      </c>
      <c r="R556" s="80" t="s">
        <v>174</v>
      </c>
      <c r="S556" s="80">
        <v>14</v>
      </c>
      <c r="T556" s="80">
        <v>18</v>
      </c>
      <c r="U556" s="80" t="s">
        <v>596</v>
      </c>
      <c r="V556" s="80" t="s">
        <v>126</v>
      </c>
      <c r="W556" s="80" t="s">
        <v>127</v>
      </c>
      <c r="X556" s="80"/>
      <c r="Y556" s="80"/>
    </row>
    <row r="557" spans="1:25">
      <c r="A557" s="80">
        <f t="shared" si="8"/>
        <v>556</v>
      </c>
      <c r="B557" s="10">
        <v>45971.603553240697</v>
      </c>
      <c r="C557" s="13" t="s">
        <v>359</v>
      </c>
      <c r="D557" s="80" t="s">
        <v>3048</v>
      </c>
      <c r="E557" s="80" t="s">
        <v>3049</v>
      </c>
      <c r="F557" s="80" t="s">
        <v>3050</v>
      </c>
      <c r="G557" s="80" t="s">
        <v>3051</v>
      </c>
      <c r="H557" s="80" t="s">
        <v>174</v>
      </c>
      <c r="I557" s="80" t="s">
        <v>173</v>
      </c>
      <c r="J557" s="80" t="s">
        <v>149</v>
      </c>
      <c r="K557" s="80">
        <v>1</v>
      </c>
      <c r="L557" s="80" t="s">
        <v>3052</v>
      </c>
      <c r="M557" s="80" t="s">
        <v>3053</v>
      </c>
      <c r="N557" s="80" t="s">
        <v>120</v>
      </c>
      <c r="O557" s="80" t="s">
        <v>152</v>
      </c>
      <c r="P557" s="80" t="s">
        <v>304</v>
      </c>
      <c r="Q557" s="80" t="s">
        <v>123</v>
      </c>
      <c r="R557" s="80" t="s">
        <v>174</v>
      </c>
      <c r="S557" s="80">
        <v>1</v>
      </c>
      <c r="T557" s="80">
        <v>24</v>
      </c>
      <c r="U557" s="80" t="s">
        <v>361</v>
      </c>
      <c r="V557" s="80" t="s">
        <v>126</v>
      </c>
      <c r="W557" s="80" t="s">
        <v>127</v>
      </c>
      <c r="X557" s="80"/>
      <c r="Y557" s="80"/>
    </row>
    <row r="558" spans="1:25">
      <c r="A558" s="80">
        <f t="shared" si="8"/>
        <v>557</v>
      </c>
      <c r="B558" s="10">
        <v>45971.603553240697</v>
      </c>
      <c r="C558" s="13" t="s">
        <v>589</v>
      </c>
      <c r="D558" s="80" t="s">
        <v>3054</v>
      </c>
      <c r="E558" s="80" t="s">
        <v>3049</v>
      </c>
      <c r="F558" s="80" t="s">
        <v>3050</v>
      </c>
      <c r="G558" s="80" t="s">
        <v>3051</v>
      </c>
      <c r="H558" s="80" t="s">
        <v>174</v>
      </c>
      <c r="I558" s="80" t="s">
        <v>173</v>
      </c>
      <c r="J558" s="80" t="s">
        <v>149</v>
      </c>
      <c r="K558" s="80">
        <v>1</v>
      </c>
      <c r="L558" s="80" t="s">
        <v>3052</v>
      </c>
      <c r="M558" s="80" t="s">
        <v>3053</v>
      </c>
      <c r="N558" s="80" t="s">
        <v>120</v>
      </c>
      <c r="O558" s="80" t="s">
        <v>152</v>
      </c>
      <c r="P558" s="80" t="s">
        <v>304</v>
      </c>
      <c r="Q558" s="80" t="s">
        <v>123</v>
      </c>
      <c r="R558" s="80" t="s">
        <v>174</v>
      </c>
      <c r="S558" s="80">
        <v>1</v>
      </c>
      <c r="T558" s="80">
        <v>24</v>
      </c>
      <c r="U558" s="80" t="s">
        <v>596</v>
      </c>
      <c r="V558" s="80" t="s">
        <v>126</v>
      </c>
      <c r="W558" s="80" t="s">
        <v>127</v>
      </c>
      <c r="X558" s="80"/>
      <c r="Y558" s="80"/>
    </row>
    <row r="559" spans="1:25">
      <c r="A559" s="80">
        <f t="shared" si="8"/>
        <v>558</v>
      </c>
      <c r="B559" s="10">
        <v>45971.605069444398</v>
      </c>
      <c r="C559" s="13" t="s">
        <v>589</v>
      </c>
      <c r="D559" s="80" t="s">
        <v>3055</v>
      </c>
      <c r="E559" s="80" t="s">
        <v>3056</v>
      </c>
      <c r="F559" s="80" t="s">
        <v>3057</v>
      </c>
      <c r="G559" s="80" t="s">
        <v>3058</v>
      </c>
      <c r="H559" s="80" t="s">
        <v>477</v>
      </c>
      <c r="I559" s="80" t="s">
        <v>44</v>
      </c>
      <c r="J559" s="80" t="s">
        <v>149</v>
      </c>
      <c r="K559" s="80">
        <v>1</v>
      </c>
      <c r="L559" s="80" t="s">
        <v>3059</v>
      </c>
      <c r="M559" s="80" t="s">
        <v>3060</v>
      </c>
      <c r="N559" s="80" t="s">
        <v>120</v>
      </c>
      <c r="O559" s="80" t="s">
        <v>240</v>
      </c>
      <c r="P559" s="80" t="s">
        <v>178</v>
      </c>
      <c r="Q559" s="80" t="s">
        <v>123</v>
      </c>
      <c r="R559" s="80" t="s">
        <v>136</v>
      </c>
      <c r="S559" s="80">
        <v>6</v>
      </c>
      <c r="T559" s="80">
        <v>12</v>
      </c>
      <c r="U559" s="80" t="s">
        <v>596</v>
      </c>
      <c r="V559" s="80" t="s">
        <v>126</v>
      </c>
      <c r="W559" s="80" t="s">
        <v>1770</v>
      </c>
      <c r="X559" s="80"/>
      <c r="Y559" s="80"/>
    </row>
    <row r="560" spans="1:25">
      <c r="A560" s="80">
        <f t="shared" si="8"/>
        <v>559</v>
      </c>
      <c r="B560" s="10">
        <v>45971.613078703696</v>
      </c>
      <c r="C560" s="13" t="s">
        <v>880</v>
      </c>
      <c r="D560" s="80" t="s">
        <v>3061</v>
      </c>
      <c r="E560" s="80" t="s">
        <v>3062</v>
      </c>
      <c r="F560" s="80" t="s">
        <v>3063</v>
      </c>
      <c r="G560" s="80" t="s">
        <v>3064</v>
      </c>
      <c r="H560" s="80" t="s">
        <v>115</v>
      </c>
      <c r="I560" s="80" t="s">
        <v>1069</v>
      </c>
      <c r="J560" s="80" t="s">
        <v>117</v>
      </c>
      <c r="K560" s="80">
        <v>1</v>
      </c>
      <c r="L560" s="80" t="s">
        <v>3065</v>
      </c>
      <c r="M560" s="80" t="s">
        <v>3066</v>
      </c>
      <c r="N560" s="80" t="s">
        <v>164</v>
      </c>
      <c r="O560" s="80" t="s">
        <v>3067</v>
      </c>
      <c r="P560" s="80" t="s">
        <v>269</v>
      </c>
      <c r="Q560" s="80" t="s">
        <v>123</v>
      </c>
      <c r="R560" s="80" t="s">
        <v>124</v>
      </c>
      <c r="S560" s="80">
        <v>9</v>
      </c>
      <c r="T560" s="80">
        <v>24</v>
      </c>
      <c r="U560" s="80" t="s">
        <v>882</v>
      </c>
      <c r="V560" s="80" t="s">
        <v>126</v>
      </c>
      <c r="W560" s="80" t="s">
        <v>127</v>
      </c>
      <c r="X560" s="80"/>
      <c r="Y560" s="80"/>
    </row>
    <row r="561" spans="1:25">
      <c r="A561" s="80">
        <f t="shared" si="8"/>
        <v>560</v>
      </c>
      <c r="B561" s="10">
        <v>45971.6150694444</v>
      </c>
      <c r="C561" s="13" t="s">
        <v>563</v>
      </c>
      <c r="D561" s="80" t="s">
        <v>3068</v>
      </c>
      <c r="E561" s="80" t="s">
        <v>3069</v>
      </c>
      <c r="F561" s="80" t="s">
        <v>3070</v>
      </c>
      <c r="G561" s="80" t="s">
        <v>3071</v>
      </c>
      <c r="H561" s="80" t="s">
        <v>115</v>
      </c>
      <c r="I561" s="80" t="s">
        <v>865</v>
      </c>
      <c r="J561" s="80" t="s">
        <v>149</v>
      </c>
      <c r="K561" s="80">
        <v>13</v>
      </c>
      <c r="L561" s="80" t="s">
        <v>3072</v>
      </c>
      <c r="M561" s="80" t="s">
        <v>3073</v>
      </c>
      <c r="N561" s="80" t="s">
        <v>120</v>
      </c>
      <c r="O561" s="80" t="s">
        <v>152</v>
      </c>
      <c r="P561" s="80" t="s">
        <v>1148</v>
      </c>
      <c r="Q561" s="80" t="s">
        <v>123</v>
      </c>
      <c r="R561" s="80" t="s">
        <v>174</v>
      </c>
      <c r="S561" s="80">
        <v>2</v>
      </c>
      <c r="T561" s="80">
        <v>12</v>
      </c>
      <c r="U561" s="80" t="s">
        <v>565</v>
      </c>
      <c r="V561" s="80" t="s">
        <v>126</v>
      </c>
      <c r="W561" s="80" t="s">
        <v>127</v>
      </c>
      <c r="X561" s="80"/>
      <c r="Y561" s="80"/>
    </row>
    <row r="562" spans="1:25">
      <c r="A562" s="80">
        <f t="shared" si="8"/>
        <v>561</v>
      </c>
      <c r="B562" s="10">
        <v>45971.626782407402</v>
      </c>
      <c r="C562" s="13" t="s">
        <v>840</v>
      </c>
      <c r="D562" s="80" t="s">
        <v>3074</v>
      </c>
      <c r="E562" s="80" t="s">
        <v>3075</v>
      </c>
      <c r="F562" s="80" t="s">
        <v>3076</v>
      </c>
      <c r="G562" s="80" t="s">
        <v>3077</v>
      </c>
      <c r="H562" s="80" t="s">
        <v>115</v>
      </c>
      <c r="I562" s="80" t="s">
        <v>1069</v>
      </c>
      <c r="J562" s="80" t="s">
        <v>149</v>
      </c>
      <c r="K562" s="80">
        <v>4</v>
      </c>
      <c r="L562" s="80" t="s">
        <v>3078</v>
      </c>
      <c r="M562" s="80" t="s">
        <v>3079</v>
      </c>
      <c r="N562" s="80" t="s">
        <v>120</v>
      </c>
      <c r="O562" s="80" t="s">
        <v>240</v>
      </c>
      <c r="P562" s="80" t="s">
        <v>135</v>
      </c>
      <c r="Q562" s="80" t="s">
        <v>123</v>
      </c>
      <c r="R562" s="80" t="s">
        <v>136</v>
      </c>
      <c r="S562" s="80">
        <v>1</v>
      </c>
      <c r="T562" s="80">
        <v>18</v>
      </c>
      <c r="U562" s="80" t="s">
        <v>843</v>
      </c>
      <c r="V562" s="80" t="s">
        <v>126</v>
      </c>
      <c r="W562" s="80" t="s">
        <v>127</v>
      </c>
      <c r="X562" s="80"/>
      <c r="Y562" s="80"/>
    </row>
    <row r="563" spans="1:25">
      <c r="A563" s="80">
        <f t="shared" si="8"/>
        <v>562</v>
      </c>
      <c r="B563" s="10">
        <v>45971.627986111103</v>
      </c>
      <c r="C563" s="13" t="s">
        <v>1465</v>
      </c>
      <c r="D563" s="80" t="s">
        <v>3080</v>
      </c>
      <c r="E563" s="80" t="s">
        <v>3081</v>
      </c>
      <c r="F563" s="80" t="s">
        <v>3082</v>
      </c>
      <c r="G563" s="80" t="s">
        <v>3083</v>
      </c>
      <c r="H563" s="80" t="s">
        <v>115</v>
      </c>
      <c r="I563" s="80" t="s">
        <v>865</v>
      </c>
      <c r="J563" s="80" t="s">
        <v>149</v>
      </c>
      <c r="K563" s="80">
        <v>9</v>
      </c>
      <c r="L563" s="80" t="s">
        <v>3084</v>
      </c>
      <c r="M563" s="80" t="s">
        <v>3085</v>
      </c>
      <c r="N563" s="80" t="s">
        <v>120</v>
      </c>
      <c r="O563" s="80" t="s">
        <v>247</v>
      </c>
      <c r="P563" s="80" t="s">
        <v>122</v>
      </c>
      <c r="Q563" s="80" t="s">
        <v>123</v>
      </c>
      <c r="R563" s="80" t="s">
        <v>174</v>
      </c>
      <c r="S563" s="80">
        <v>1</v>
      </c>
      <c r="T563" s="80">
        <v>6</v>
      </c>
      <c r="U563" s="80" t="s">
        <v>1473</v>
      </c>
      <c r="V563" s="80" t="s">
        <v>126</v>
      </c>
      <c r="W563" s="80" t="s">
        <v>127</v>
      </c>
      <c r="X563" s="80"/>
      <c r="Y563" s="80"/>
    </row>
    <row r="564" spans="1:25">
      <c r="A564" s="80">
        <f t="shared" si="8"/>
        <v>563</v>
      </c>
      <c r="B564" s="10">
        <v>45971.629444444399</v>
      </c>
      <c r="C564" s="13" t="s">
        <v>110</v>
      </c>
      <c r="D564" s="80" t="s">
        <v>3086</v>
      </c>
      <c r="E564" s="80" t="s">
        <v>1540</v>
      </c>
      <c r="F564" s="80" t="s">
        <v>1541</v>
      </c>
      <c r="G564" s="80" t="s">
        <v>1542</v>
      </c>
      <c r="H564" s="80" t="s">
        <v>115</v>
      </c>
      <c r="I564" s="80" t="s">
        <v>865</v>
      </c>
      <c r="J564" s="80" t="s">
        <v>117</v>
      </c>
      <c r="K564" s="80">
        <v>1</v>
      </c>
      <c r="L564" s="80" t="s">
        <v>1543</v>
      </c>
      <c r="M564" s="80" t="s">
        <v>1544</v>
      </c>
      <c r="N564" s="80" t="s">
        <v>120</v>
      </c>
      <c r="O564" s="80" t="s">
        <v>240</v>
      </c>
      <c r="P564" s="80" t="s">
        <v>135</v>
      </c>
      <c r="Q564" s="80" t="s">
        <v>123</v>
      </c>
      <c r="R564" s="80" t="s">
        <v>124</v>
      </c>
      <c r="S564" s="80">
        <v>11</v>
      </c>
      <c r="T564" s="80">
        <v>24</v>
      </c>
      <c r="U564" s="80" t="s">
        <v>125</v>
      </c>
      <c r="V564" s="80" t="s">
        <v>126</v>
      </c>
      <c r="W564" s="80" t="s">
        <v>127</v>
      </c>
      <c r="X564" s="80"/>
      <c r="Y564" s="80"/>
    </row>
    <row r="565" spans="1:25">
      <c r="A565" s="80">
        <f t="shared" si="8"/>
        <v>564</v>
      </c>
      <c r="B565" s="10">
        <v>45971.633055555598</v>
      </c>
      <c r="C565" s="13" t="s">
        <v>2188</v>
      </c>
      <c r="D565" s="80" t="s">
        <v>3087</v>
      </c>
      <c r="E565" s="80" t="s">
        <v>3088</v>
      </c>
      <c r="F565" s="80" t="s">
        <v>3089</v>
      </c>
      <c r="G565" s="80" t="s">
        <v>3090</v>
      </c>
      <c r="H565" s="80" t="s">
        <v>115</v>
      </c>
      <c r="I565" s="80" t="s">
        <v>865</v>
      </c>
      <c r="J565" s="80" t="s">
        <v>149</v>
      </c>
      <c r="K565" s="80">
        <v>9</v>
      </c>
      <c r="L565" s="80" t="s">
        <v>3091</v>
      </c>
      <c r="M565" s="80" t="s">
        <v>3092</v>
      </c>
      <c r="N565" s="80" t="s">
        <v>3093</v>
      </c>
      <c r="O565" s="80" t="s">
        <v>3094</v>
      </c>
      <c r="P565" s="80" t="s">
        <v>269</v>
      </c>
      <c r="Q565" s="80" t="s">
        <v>123</v>
      </c>
      <c r="R565" s="80" t="s">
        <v>174</v>
      </c>
      <c r="S565" s="80">
        <v>1</v>
      </c>
      <c r="T565" s="80">
        <v>12</v>
      </c>
      <c r="U565" s="80" t="s">
        <v>2195</v>
      </c>
      <c r="V565" s="80" t="s">
        <v>126</v>
      </c>
      <c r="W565" s="80" t="s">
        <v>127</v>
      </c>
      <c r="X565" s="80"/>
      <c r="Y565" s="80"/>
    </row>
    <row r="566" spans="1:25">
      <c r="A566" s="80">
        <f t="shared" si="8"/>
        <v>565</v>
      </c>
      <c r="B566" s="10">
        <v>45971.640370370398</v>
      </c>
      <c r="C566" s="13" t="s">
        <v>880</v>
      </c>
      <c r="D566" s="80" t="s">
        <v>3095</v>
      </c>
      <c r="E566" s="80" t="s">
        <v>3096</v>
      </c>
      <c r="F566" s="80" t="s">
        <v>3097</v>
      </c>
      <c r="G566" s="80" t="s">
        <v>3098</v>
      </c>
      <c r="H566" s="80" t="s">
        <v>115</v>
      </c>
      <c r="I566" s="80" t="s">
        <v>1383</v>
      </c>
      <c r="J566" s="80" t="s">
        <v>117</v>
      </c>
      <c r="K566" s="80">
        <v>8</v>
      </c>
      <c r="L566" s="80" t="s">
        <v>3099</v>
      </c>
      <c r="M566" s="80" t="s">
        <v>3100</v>
      </c>
      <c r="N566" s="80" t="s">
        <v>120</v>
      </c>
      <c r="O566" s="80" t="s">
        <v>572</v>
      </c>
      <c r="P566" s="80" t="s">
        <v>287</v>
      </c>
      <c r="Q566" s="80" t="s">
        <v>123</v>
      </c>
      <c r="R566" s="80" t="s">
        <v>174</v>
      </c>
      <c r="S566" s="80">
        <v>13</v>
      </c>
      <c r="T566" s="80">
        <v>18</v>
      </c>
      <c r="U566" s="80" t="s">
        <v>882</v>
      </c>
      <c r="V566" s="80" t="s">
        <v>126</v>
      </c>
      <c r="W566" s="80" t="s">
        <v>127</v>
      </c>
      <c r="X566" s="80"/>
      <c r="Y566" s="80"/>
    </row>
    <row r="567" spans="1:25">
      <c r="A567" s="80">
        <f t="shared" si="8"/>
        <v>566</v>
      </c>
      <c r="B567" s="10">
        <v>45971.641539351898</v>
      </c>
      <c r="C567" s="13" t="s">
        <v>589</v>
      </c>
      <c r="D567" s="80" t="s">
        <v>3101</v>
      </c>
      <c r="E567" s="80" t="s">
        <v>3102</v>
      </c>
      <c r="F567" s="80" t="s">
        <v>3103</v>
      </c>
      <c r="G567" s="80" t="s">
        <v>3104</v>
      </c>
      <c r="H567" s="80" t="s">
        <v>115</v>
      </c>
      <c r="I567" s="80" t="s">
        <v>1069</v>
      </c>
      <c r="J567" s="80" t="s">
        <v>117</v>
      </c>
      <c r="K567" s="80">
        <v>1</v>
      </c>
      <c r="L567" s="80" t="s">
        <v>3105</v>
      </c>
      <c r="M567" s="80" t="s">
        <v>3106</v>
      </c>
      <c r="N567" s="80" t="s">
        <v>164</v>
      </c>
      <c r="O567" s="80" t="s">
        <v>464</v>
      </c>
      <c r="P567" s="80" t="s">
        <v>3107</v>
      </c>
      <c r="Q567" s="80" t="s">
        <v>123</v>
      </c>
      <c r="R567" s="80" t="s">
        <v>136</v>
      </c>
      <c r="S567" s="80">
        <v>14</v>
      </c>
      <c r="T567" s="80">
        <v>18</v>
      </c>
      <c r="U567" s="80" t="s">
        <v>596</v>
      </c>
      <c r="V567" s="80" t="s">
        <v>126</v>
      </c>
      <c r="W567" s="80" t="s">
        <v>127</v>
      </c>
      <c r="X567" s="80"/>
      <c r="Y567" s="80"/>
    </row>
    <row r="568" spans="1:25">
      <c r="A568" s="80">
        <f t="shared" si="8"/>
        <v>567</v>
      </c>
      <c r="B568" s="10">
        <v>45971.642395833303</v>
      </c>
      <c r="C568" s="13" t="s">
        <v>880</v>
      </c>
      <c r="D568" s="80" t="s">
        <v>3108</v>
      </c>
      <c r="E568" s="80" t="s">
        <v>3109</v>
      </c>
      <c r="F568" s="80" t="s">
        <v>3110</v>
      </c>
      <c r="G568" s="80" t="s">
        <v>3111</v>
      </c>
      <c r="H568" s="80" t="s">
        <v>115</v>
      </c>
      <c r="I568" s="80" t="s">
        <v>1069</v>
      </c>
      <c r="J568" s="80" t="s">
        <v>117</v>
      </c>
      <c r="K568" s="80">
        <v>22</v>
      </c>
      <c r="L568" s="80" t="s">
        <v>3112</v>
      </c>
      <c r="M568" s="80" t="s">
        <v>3113</v>
      </c>
      <c r="N568" s="80" t="s">
        <v>120</v>
      </c>
      <c r="O568" s="80" t="s">
        <v>152</v>
      </c>
      <c r="P568" s="80" t="s">
        <v>135</v>
      </c>
      <c r="Q568" s="80" t="s">
        <v>123</v>
      </c>
      <c r="R568" s="80" t="s">
        <v>174</v>
      </c>
      <c r="S568" s="80">
        <v>10</v>
      </c>
      <c r="T568" s="80">
        <v>12</v>
      </c>
      <c r="U568" s="80" t="s">
        <v>882</v>
      </c>
      <c r="V568" s="80" t="s">
        <v>126</v>
      </c>
      <c r="W568" s="80" t="s">
        <v>127</v>
      </c>
      <c r="X568" s="80"/>
      <c r="Y568" s="80"/>
    </row>
    <row r="569" spans="1:25">
      <c r="A569" s="80">
        <f t="shared" si="8"/>
        <v>568</v>
      </c>
      <c r="B569" s="10">
        <v>45971.6430092593</v>
      </c>
      <c r="C569" s="13" t="s">
        <v>563</v>
      </c>
      <c r="D569" s="80" t="s">
        <v>3114</v>
      </c>
      <c r="E569" s="80" t="s">
        <v>3109</v>
      </c>
      <c r="F569" s="80" t="s">
        <v>3110</v>
      </c>
      <c r="G569" s="80" t="s">
        <v>3111</v>
      </c>
      <c r="H569" s="80" t="s">
        <v>115</v>
      </c>
      <c r="I569" s="80" t="s">
        <v>1069</v>
      </c>
      <c r="J569" s="80" t="s">
        <v>117</v>
      </c>
      <c r="K569" s="80">
        <v>22</v>
      </c>
      <c r="L569" s="80" t="s">
        <v>3112</v>
      </c>
      <c r="M569" s="80" t="s">
        <v>3113</v>
      </c>
      <c r="N569" s="80" t="s">
        <v>120</v>
      </c>
      <c r="O569" s="80" t="s">
        <v>152</v>
      </c>
      <c r="P569" s="80" t="s">
        <v>135</v>
      </c>
      <c r="Q569" s="80" t="s">
        <v>123</v>
      </c>
      <c r="R569" s="80" t="s">
        <v>174</v>
      </c>
      <c r="S569" s="80">
        <v>10</v>
      </c>
      <c r="T569" s="80">
        <v>12</v>
      </c>
      <c r="U569" s="80" t="s">
        <v>565</v>
      </c>
      <c r="V569" s="80" t="s">
        <v>126</v>
      </c>
      <c r="W569" s="80" t="s">
        <v>127</v>
      </c>
      <c r="X569" s="80"/>
      <c r="Y569" s="80"/>
    </row>
    <row r="570" spans="1:25">
      <c r="A570" s="80">
        <f t="shared" si="8"/>
        <v>569</v>
      </c>
      <c r="B570" s="10">
        <v>45971.643032407403</v>
      </c>
      <c r="C570" s="13" t="s">
        <v>1465</v>
      </c>
      <c r="D570" s="80" t="s">
        <v>3115</v>
      </c>
      <c r="E570" s="80" t="s">
        <v>3116</v>
      </c>
      <c r="F570" s="80" t="s">
        <v>3117</v>
      </c>
      <c r="G570" s="80" t="s">
        <v>3118</v>
      </c>
      <c r="H570" s="80" t="s">
        <v>115</v>
      </c>
      <c r="I570" s="80" t="s">
        <v>1410</v>
      </c>
      <c r="J570" s="80" t="s">
        <v>117</v>
      </c>
      <c r="K570" s="80">
        <v>14</v>
      </c>
      <c r="L570" s="80" t="s">
        <v>3119</v>
      </c>
      <c r="M570" s="80" t="s">
        <v>3120</v>
      </c>
      <c r="N570" s="80" t="s">
        <v>164</v>
      </c>
      <c r="O570" s="80" t="s">
        <v>464</v>
      </c>
      <c r="P570" s="80" t="s">
        <v>304</v>
      </c>
      <c r="Q570" s="80" t="s">
        <v>123</v>
      </c>
      <c r="R570" s="80" t="s">
        <v>174</v>
      </c>
      <c r="S570" s="80">
        <v>3</v>
      </c>
      <c r="T570" s="80">
        <v>24</v>
      </c>
      <c r="U570" s="80" t="s">
        <v>1473</v>
      </c>
      <c r="V570" s="80" t="s">
        <v>126</v>
      </c>
      <c r="W570" s="80" t="s">
        <v>127</v>
      </c>
      <c r="X570" s="80"/>
      <c r="Y570" s="80"/>
    </row>
    <row r="571" spans="1:25">
      <c r="A571" s="80">
        <f t="shared" si="8"/>
        <v>570</v>
      </c>
      <c r="B571" s="10">
        <v>45971.645312499997</v>
      </c>
      <c r="C571" s="13" t="s">
        <v>604</v>
      </c>
      <c r="D571" s="80" t="s">
        <v>3121</v>
      </c>
      <c r="E571" s="80" t="s">
        <v>3122</v>
      </c>
      <c r="F571" s="80" t="s">
        <v>3123</v>
      </c>
      <c r="G571" s="80" t="s">
        <v>3124</v>
      </c>
      <c r="H571" s="80" t="s">
        <v>115</v>
      </c>
      <c r="I571" s="80" t="s">
        <v>865</v>
      </c>
      <c r="J571" s="80" t="s">
        <v>117</v>
      </c>
      <c r="K571" s="80">
        <v>15</v>
      </c>
      <c r="L571" s="80" t="s">
        <v>3125</v>
      </c>
      <c r="M571" s="80" t="s">
        <v>3126</v>
      </c>
      <c r="N571" s="80" t="s">
        <v>120</v>
      </c>
      <c r="O571" s="80" t="s">
        <v>152</v>
      </c>
      <c r="P571" s="80" t="s">
        <v>581</v>
      </c>
      <c r="Q571" s="80" t="s">
        <v>123</v>
      </c>
      <c r="R571" s="80" t="s">
        <v>174</v>
      </c>
      <c r="S571" s="80">
        <v>19</v>
      </c>
      <c r="T571" s="80">
        <v>24</v>
      </c>
      <c r="U571" s="80" t="s">
        <v>613</v>
      </c>
      <c r="V571" s="80" t="s">
        <v>126</v>
      </c>
      <c r="W571" s="80" t="s">
        <v>127</v>
      </c>
      <c r="X571" s="80"/>
      <c r="Y571" s="80"/>
    </row>
    <row r="572" spans="1:25">
      <c r="A572" s="80">
        <f t="shared" si="8"/>
        <v>571</v>
      </c>
      <c r="B572" s="10">
        <v>45971.6479398148</v>
      </c>
      <c r="C572" s="13" t="s">
        <v>362</v>
      </c>
      <c r="D572" s="80" t="s">
        <v>3127</v>
      </c>
      <c r="E572" s="80" t="s">
        <v>1387</v>
      </c>
      <c r="F572" s="80" t="s">
        <v>1388</v>
      </c>
      <c r="G572" s="80" t="s">
        <v>1389</v>
      </c>
      <c r="H572" s="80" t="s">
        <v>115</v>
      </c>
      <c r="I572" s="80" t="s">
        <v>865</v>
      </c>
      <c r="J572" s="80" t="s">
        <v>117</v>
      </c>
      <c r="K572" s="80">
        <v>20</v>
      </c>
      <c r="L572" s="80" t="s">
        <v>1390</v>
      </c>
      <c r="M572" s="80" t="s">
        <v>1391</v>
      </c>
      <c r="N572" s="80" t="s">
        <v>164</v>
      </c>
      <c r="O572" s="80" t="s">
        <v>406</v>
      </c>
      <c r="P572" s="80" t="s">
        <v>178</v>
      </c>
      <c r="Q572" s="80" t="s">
        <v>123</v>
      </c>
      <c r="R572" s="80" t="s">
        <v>174</v>
      </c>
      <c r="S572" s="80">
        <v>10</v>
      </c>
      <c r="T572" s="80">
        <v>18</v>
      </c>
      <c r="U572" s="80" t="s">
        <v>364</v>
      </c>
      <c r="V572" s="80" t="s">
        <v>126</v>
      </c>
      <c r="W572" s="80" t="s">
        <v>127</v>
      </c>
      <c r="X572" s="80"/>
      <c r="Y572" s="80"/>
    </row>
    <row r="573" spans="1:25">
      <c r="A573" s="80">
        <f t="shared" si="8"/>
        <v>572</v>
      </c>
      <c r="B573" s="10">
        <v>45971.648275462998</v>
      </c>
      <c r="C573" s="13" t="s">
        <v>880</v>
      </c>
      <c r="D573" s="80" t="s">
        <v>3128</v>
      </c>
      <c r="E573" s="80" t="s">
        <v>3129</v>
      </c>
      <c r="F573" s="80" t="s">
        <v>3130</v>
      </c>
      <c r="G573" s="80" t="s">
        <v>3131</v>
      </c>
      <c r="H573" s="80" t="s">
        <v>115</v>
      </c>
      <c r="I573" s="80" t="s">
        <v>955</v>
      </c>
      <c r="J573" s="80" t="s">
        <v>117</v>
      </c>
      <c r="K573" s="80">
        <v>21</v>
      </c>
      <c r="L573" s="80" t="s">
        <v>3132</v>
      </c>
      <c r="M573" s="80" t="s">
        <v>3133</v>
      </c>
      <c r="N573" s="80" t="s">
        <v>120</v>
      </c>
      <c r="O573" s="80" t="s">
        <v>247</v>
      </c>
      <c r="P573" s="80" t="s">
        <v>701</v>
      </c>
      <c r="Q573" s="80" t="s">
        <v>123</v>
      </c>
      <c r="R573" s="80" t="s">
        <v>174</v>
      </c>
      <c r="S573" s="80">
        <v>3</v>
      </c>
      <c r="T573" s="80">
        <v>18</v>
      </c>
      <c r="U573" s="80" t="s">
        <v>882</v>
      </c>
      <c r="V573" s="80" t="s">
        <v>126</v>
      </c>
      <c r="W573" s="80" t="s">
        <v>127</v>
      </c>
      <c r="X573" s="80"/>
      <c r="Y573" s="80"/>
    </row>
    <row r="574" spans="1:25">
      <c r="A574" s="80">
        <f t="shared" si="8"/>
        <v>573</v>
      </c>
      <c r="B574" s="10">
        <v>45971.648402777799</v>
      </c>
      <c r="C574" s="13" t="s">
        <v>604</v>
      </c>
      <c r="D574" s="80" t="s">
        <v>3134</v>
      </c>
      <c r="E574" s="80" t="s">
        <v>3129</v>
      </c>
      <c r="F574" s="80" t="s">
        <v>3130</v>
      </c>
      <c r="G574" s="80" t="s">
        <v>3131</v>
      </c>
      <c r="H574" s="80" t="s">
        <v>115</v>
      </c>
      <c r="I574" s="80" t="s">
        <v>955</v>
      </c>
      <c r="J574" s="80" t="s">
        <v>117</v>
      </c>
      <c r="K574" s="80">
        <v>21</v>
      </c>
      <c r="L574" s="80" t="s">
        <v>3132</v>
      </c>
      <c r="M574" s="80" t="s">
        <v>3133</v>
      </c>
      <c r="N574" s="80" t="s">
        <v>120</v>
      </c>
      <c r="O574" s="80" t="s">
        <v>247</v>
      </c>
      <c r="P574" s="80" t="s">
        <v>701</v>
      </c>
      <c r="Q574" s="80" t="s">
        <v>123</v>
      </c>
      <c r="R574" s="80" t="s">
        <v>174</v>
      </c>
      <c r="S574" s="80">
        <v>3</v>
      </c>
      <c r="T574" s="80">
        <v>18</v>
      </c>
      <c r="U574" s="80" t="s">
        <v>613</v>
      </c>
      <c r="V574" s="80" t="s">
        <v>126</v>
      </c>
      <c r="W574" s="80" t="s">
        <v>127</v>
      </c>
      <c r="X574" s="80"/>
      <c r="Y574" s="80"/>
    </row>
    <row r="575" spans="1:25">
      <c r="A575" s="80">
        <f t="shared" si="8"/>
        <v>574</v>
      </c>
      <c r="B575" s="10">
        <v>45971.649583333303</v>
      </c>
      <c r="C575" s="13" t="s">
        <v>222</v>
      </c>
      <c r="D575" s="80" t="s">
        <v>3135</v>
      </c>
      <c r="E575" s="80" t="s">
        <v>3136</v>
      </c>
      <c r="F575" s="80" t="s">
        <v>3137</v>
      </c>
      <c r="G575" s="80" t="s">
        <v>3138</v>
      </c>
      <c r="H575" s="80" t="s">
        <v>115</v>
      </c>
      <c r="I575" s="80" t="s">
        <v>1383</v>
      </c>
      <c r="J575" s="80" t="s">
        <v>117</v>
      </c>
      <c r="K575" s="80">
        <v>1</v>
      </c>
      <c r="L575" s="80" t="s">
        <v>3139</v>
      </c>
      <c r="M575" s="80" t="s">
        <v>3140</v>
      </c>
      <c r="N575" s="80" t="s">
        <v>164</v>
      </c>
      <c r="O575" s="80" t="s">
        <v>3141</v>
      </c>
      <c r="P575" s="80" t="s">
        <v>135</v>
      </c>
      <c r="Q575" s="80" t="s">
        <v>123</v>
      </c>
      <c r="R575" s="80" t="s">
        <v>166</v>
      </c>
      <c r="S575" s="80">
        <v>9</v>
      </c>
      <c r="T575" s="80">
        <v>12</v>
      </c>
      <c r="U575" s="80" t="s">
        <v>232</v>
      </c>
      <c r="V575" s="80" t="s">
        <v>126</v>
      </c>
      <c r="W575" s="80" t="s">
        <v>127</v>
      </c>
      <c r="X575" s="80"/>
      <c r="Y575" s="80"/>
    </row>
    <row r="576" spans="1:25">
      <c r="A576" s="80">
        <f t="shared" si="8"/>
        <v>575</v>
      </c>
      <c r="B576" s="10">
        <v>45971.653379629599</v>
      </c>
      <c r="C576" s="13" t="s">
        <v>157</v>
      </c>
      <c r="D576" s="80" t="s">
        <v>3142</v>
      </c>
      <c r="E576" s="80" t="s">
        <v>3143</v>
      </c>
      <c r="F576" s="80" t="s">
        <v>3144</v>
      </c>
      <c r="G576" s="80" t="s">
        <v>3145</v>
      </c>
      <c r="H576" s="80" t="s">
        <v>174</v>
      </c>
      <c r="I576" s="80" t="s">
        <v>173</v>
      </c>
      <c r="J576" s="80" t="s">
        <v>149</v>
      </c>
      <c r="K576" s="80">
        <v>2</v>
      </c>
      <c r="L576" s="80" t="s">
        <v>3146</v>
      </c>
      <c r="M576" s="80" t="s">
        <v>3147</v>
      </c>
      <c r="N576" s="80" t="s">
        <v>164</v>
      </c>
      <c r="O576" s="80" t="s">
        <v>3148</v>
      </c>
      <c r="P576" s="80" t="s">
        <v>269</v>
      </c>
      <c r="Q576" s="80" t="s">
        <v>123</v>
      </c>
      <c r="R576" s="80" t="s">
        <v>174</v>
      </c>
      <c r="S576" s="80">
        <v>3</v>
      </c>
      <c r="T576" s="80">
        <v>12</v>
      </c>
      <c r="U576" s="80" t="s">
        <v>167</v>
      </c>
      <c r="V576" s="80" t="s">
        <v>126</v>
      </c>
      <c r="W576" s="80" t="s">
        <v>127</v>
      </c>
      <c r="X576" s="80"/>
      <c r="Y576" s="80"/>
    </row>
    <row r="577" spans="1:25">
      <c r="A577" s="80">
        <f t="shared" si="8"/>
        <v>576</v>
      </c>
      <c r="B577" s="10">
        <v>45971.668472222198</v>
      </c>
      <c r="C577" s="13" t="s">
        <v>604</v>
      </c>
      <c r="D577" s="80" t="s">
        <v>3149</v>
      </c>
      <c r="E577" s="80" t="s">
        <v>3150</v>
      </c>
      <c r="F577" s="80" t="s">
        <v>3151</v>
      </c>
      <c r="G577" s="80" t="s">
        <v>3152</v>
      </c>
      <c r="H577" s="80" t="s">
        <v>115</v>
      </c>
      <c r="I577" s="80" t="s">
        <v>865</v>
      </c>
      <c r="J577" s="80" t="s">
        <v>149</v>
      </c>
      <c r="K577" s="80">
        <v>17</v>
      </c>
      <c r="L577" s="80" t="s">
        <v>3153</v>
      </c>
      <c r="M577" s="80" t="s">
        <v>3154</v>
      </c>
      <c r="N577" s="80" t="s">
        <v>120</v>
      </c>
      <c r="O577" s="80" t="s">
        <v>152</v>
      </c>
      <c r="P577" s="80" t="s">
        <v>352</v>
      </c>
      <c r="Q577" s="80" t="s">
        <v>123</v>
      </c>
      <c r="R577" s="80" t="s">
        <v>174</v>
      </c>
      <c r="S577" s="80">
        <v>2</v>
      </c>
      <c r="T577" s="80">
        <v>24</v>
      </c>
      <c r="U577" s="80" t="s">
        <v>613</v>
      </c>
      <c r="V577" s="80" t="s">
        <v>126</v>
      </c>
      <c r="W577" s="80" t="s">
        <v>127</v>
      </c>
      <c r="X577" s="80"/>
      <c r="Y577" s="80"/>
    </row>
    <row r="578" spans="1:25">
      <c r="A578" s="80">
        <f t="shared" si="8"/>
        <v>577</v>
      </c>
      <c r="B578" s="10">
        <v>45971.669907407399</v>
      </c>
      <c r="C578" s="13" t="s">
        <v>604</v>
      </c>
      <c r="D578" s="80" t="s">
        <v>3155</v>
      </c>
      <c r="E578" s="80" t="s">
        <v>3156</v>
      </c>
      <c r="F578" s="80" t="s">
        <v>3157</v>
      </c>
      <c r="G578" s="80" t="s">
        <v>3158</v>
      </c>
      <c r="H578" s="80" t="s">
        <v>115</v>
      </c>
      <c r="I578" s="80" t="s">
        <v>1069</v>
      </c>
      <c r="J578" s="80" t="s">
        <v>117</v>
      </c>
      <c r="K578" s="80">
        <v>21</v>
      </c>
      <c r="L578" s="80" t="s">
        <v>3159</v>
      </c>
      <c r="M578" s="80" t="s">
        <v>3160</v>
      </c>
      <c r="N578" s="80" t="s">
        <v>120</v>
      </c>
      <c r="O578" s="80" t="s">
        <v>152</v>
      </c>
      <c r="P578" s="80" t="s">
        <v>135</v>
      </c>
      <c r="Q578" s="80" t="s">
        <v>123</v>
      </c>
      <c r="R578" s="80" t="s">
        <v>174</v>
      </c>
      <c r="S578" s="80">
        <v>13</v>
      </c>
      <c r="T578" s="80">
        <v>24</v>
      </c>
      <c r="U578" s="80" t="s">
        <v>613</v>
      </c>
      <c r="V578" s="80" t="s">
        <v>126</v>
      </c>
      <c r="W578" s="80" t="s">
        <v>127</v>
      </c>
      <c r="X578" s="80"/>
      <c r="Y578" s="80"/>
    </row>
    <row r="579" spans="1:25">
      <c r="A579" s="80">
        <f t="shared" si="8"/>
        <v>578</v>
      </c>
      <c r="B579" s="10">
        <v>45971.675150463001</v>
      </c>
      <c r="C579" s="13" t="s">
        <v>2004</v>
      </c>
      <c r="D579" s="80" t="s">
        <v>3161</v>
      </c>
      <c r="E579" s="80" t="s">
        <v>3162</v>
      </c>
      <c r="F579" s="80" t="s">
        <v>3163</v>
      </c>
      <c r="G579" s="80" t="s">
        <v>3164</v>
      </c>
      <c r="H579" s="80" t="s">
        <v>3165</v>
      </c>
      <c r="I579" s="80" t="s">
        <v>44</v>
      </c>
      <c r="J579" s="80" t="s">
        <v>149</v>
      </c>
      <c r="K579" s="80">
        <v>25</v>
      </c>
      <c r="L579" s="80" t="s">
        <v>3166</v>
      </c>
      <c r="M579" s="80" t="s">
        <v>3167</v>
      </c>
      <c r="N579" s="80" t="s">
        <v>120</v>
      </c>
      <c r="O579" s="80" t="s">
        <v>371</v>
      </c>
      <c r="P579" s="80" t="s">
        <v>178</v>
      </c>
      <c r="Q579" s="80" t="s">
        <v>123</v>
      </c>
      <c r="R579" s="80" t="s">
        <v>136</v>
      </c>
      <c r="S579" s="80">
        <v>9</v>
      </c>
      <c r="T579" s="80">
        <v>12</v>
      </c>
      <c r="U579" s="80" t="s">
        <v>2011</v>
      </c>
      <c r="V579" s="80" t="s">
        <v>126</v>
      </c>
      <c r="W579" s="80" t="s">
        <v>1770</v>
      </c>
      <c r="X579" s="80"/>
      <c r="Y579" s="80"/>
    </row>
    <row r="580" spans="1:25">
      <c r="A580" s="80">
        <f t="shared" ref="A580:A643" si="9">A579+1</f>
        <v>579</v>
      </c>
      <c r="B580" s="10">
        <v>45971.675590277802</v>
      </c>
      <c r="C580" s="13" t="s">
        <v>3168</v>
      </c>
      <c r="D580" s="80" t="s">
        <v>3169</v>
      </c>
      <c r="E580" s="80" t="s">
        <v>3170</v>
      </c>
      <c r="F580" s="80" t="s">
        <v>3171</v>
      </c>
      <c r="G580" s="80" t="s">
        <v>3172</v>
      </c>
      <c r="H580" s="80" t="s">
        <v>148</v>
      </c>
      <c r="I580" s="80" t="s">
        <v>44</v>
      </c>
      <c r="J580" s="80" t="s">
        <v>149</v>
      </c>
      <c r="K580" s="80">
        <v>17</v>
      </c>
      <c r="L580" s="80" t="s">
        <v>3173</v>
      </c>
      <c r="M580" s="80" t="s">
        <v>3174</v>
      </c>
      <c r="N580" s="80" t="s">
        <v>164</v>
      </c>
      <c r="O580" s="80" t="s">
        <v>406</v>
      </c>
      <c r="P580" s="80" t="s">
        <v>178</v>
      </c>
      <c r="Q580" s="80" t="s">
        <v>123</v>
      </c>
      <c r="R580" s="80" t="s">
        <v>136</v>
      </c>
      <c r="S580" s="80">
        <v>1</v>
      </c>
      <c r="T580" s="80">
        <v>12</v>
      </c>
      <c r="U580" s="80" t="s">
        <v>3175</v>
      </c>
      <c r="V580" s="80" t="s">
        <v>141</v>
      </c>
      <c r="W580" s="80" t="s">
        <v>204</v>
      </c>
      <c r="X580" s="80" t="s">
        <v>205</v>
      </c>
      <c r="Y580" s="80"/>
    </row>
    <row r="581" spans="1:25">
      <c r="A581" s="80">
        <f t="shared" si="9"/>
        <v>580</v>
      </c>
      <c r="B581" s="10">
        <v>45971.675821759301</v>
      </c>
      <c r="C581" s="13" t="s">
        <v>456</v>
      </c>
      <c r="D581" s="80" t="s">
        <v>3176</v>
      </c>
      <c r="E581" s="80" t="s">
        <v>3162</v>
      </c>
      <c r="F581" s="80" t="s">
        <v>3163</v>
      </c>
      <c r="G581" s="80" t="s">
        <v>3164</v>
      </c>
      <c r="H581" s="80" t="s">
        <v>3165</v>
      </c>
      <c r="I581" s="80" t="s">
        <v>44</v>
      </c>
      <c r="J581" s="80" t="s">
        <v>149</v>
      </c>
      <c r="K581" s="80">
        <v>25</v>
      </c>
      <c r="L581" s="80" t="s">
        <v>3166</v>
      </c>
      <c r="M581" s="80" t="s">
        <v>3167</v>
      </c>
      <c r="N581" s="80" t="s">
        <v>120</v>
      </c>
      <c r="O581" s="80" t="s">
        <v>371</v>
      </c>
      <c r="P581" s="80" t="s">
        <v>178</v>
      </c>
      <c r="Q581" s="80" t="s">
        <v>123</v>
      </c>
      <c r="R581" s="80" t="s">
        <v>136</v>
      </c>
      <c r="S581" s="80">
        <v>9</v>
      </c>
      <c r="T581" s="80">
        <v>12</v>
      </c>
      <c r="U581" s="80" t="s">
        <v>466</v>
      </c>
      <c r="V581" s="80" t="s">
        <v>126</v>
      </c>
      <c r="W581" s="80" t="s">
        <v>1770</v>
      </c>
      <c r="X581" s="80"/>
      <c r="Y581" s="80"/>
    </row>
    <row r="582" spans="1:25">
      <c r="A582" s="80">
        <f t="shared" si="9"/>
        <v>581</v>
      </c>
      <c r="B582" s="10">
        <v>45971.675937499997</v>
      </c>
      <c r="C582" s="13" t="s">
        <v>553</v>
      </c>
      <c r="D582" s="80" t="s">
        <v>3177</v>
      </c>
      <c r="E582" s="80" t="s">
        <v>3178</v>
      </c>
      <c r="F582" s="80" t="s">
        <v>3179</v>
      </c>
      <c r="G582" s="80" t="s">
        <v>3180</v>
      </c>
      <c r="H582" s="80" t="s">
        <v>115</v>
      </c>
      <c r="I582" s="80" t="s">
        <v>1069</v>
      </c>
      <c r="J582" s="80" t="s">
        <v>117</v>
      </c>
      <c r="K582" s="80">
        <v>12</v>
      </c>
      <c r="L582" s="80" t="s">
        <v>3181</v>
      </c>
      <c r="M582" s="80" t="s">
        <v>3182</v>
      </c>
      <c r="N582" s="80" t="s">
        <v>120</v>
      </c>
      <c r="O582" s="80" t="s">
        <v>121</v>
      </c>
      <c r="P582" s="80" t="s">
        <v>135</v>
      </c>
      <c r="Q582" s="80" t="s">
        <v>123</v>
      </c>
      <c r="R582" s="80" t="s">
        <v>174</v>
      </c>
      <c r="S582" s="80">
        <v>16</v>
      </c>
      <c r="T582" s="80">
        <v>24</v>
      </c>
      <c r="U582" s="80" t="s">
        <v>562</v>
      </c>
      <c r="V582" s="80" t="s">
        <v>126</v>
      </c>
      <c r="W582" s="80" t="s">
        <v>127</v>
      </c>
      <c r="X582" s="80"/>
      <c r="Y582" s="80"/>
    </row>
    <row r="583" spans="1:25">
      <c r="A583" s="80">
        <f t="shared" si="9"/>
        <v>582</v>
      </c>
      <c r="B583" s="10">
        <v>45971.677222222199</v>
      </c>
      <c r="C583" s="13" t="s">
        <v>2004</v>
      </c>
      <c r="D583" s="80" t="s">
        <v>3183</v>
      </c>
      <c r="E583" s="80" t="s">
        <v>3184</v>
      </c>
      <c r="F583" s="80" t="s">
        <v>3185</v>
      </c>
      <c r="G583" s="80" t="s">
        <v>3186</v>
      </c>
      <c r="H583" s="80" t="s">
        <v>115</v>
      </c>
      <c r="I583" s="80" t="s">
        <v>865</v>
      </c>
      <c r="J583" s="80" t="s">
        <v>149</v>
      </c>
      <c r="K583" s="80">
        <v>2</v>
      </c>
      <c r="L583" s="80" t="s">
        <v>3187</v>
      </c>
      <c r="M583" s="80" t="s">
        <v>3188</v>
      </c>
      <c r="N583" s="80" t="s">
        <v>120</v>
      </c>
      <c r="O583" s="80" t="s">
        <v>152</v>
      </c>
      <c r="P583" s="80" t="s">
        <v>135</v>
      </c>
      <c r="Q583" s="80" t="s">
        <v>123</v>
      </c>
      <c r="R583" s="80" t="s">
        <v>124</v>
      </c>
      <c r="S583" s="80">
        <v>2</v>
      </c>
      <c r="T583" s="80">
        <v>12</v>
      </c>
      <c r="U583" s="80" t="s">
        <v>2011</v>
      </c>
      <c r="V583" s="80" t="s">
        <v>126</v>
      </c>
      <c r="W583" s="80" t="s">
        <v>127</v>
      </c>
      <c r="X583" s="80"/>
      <c r="Y583" s="80"/>
    </row>
    <row r="584" spans="1:25">
      <c r="A584" s="80">
        <f t="shared" si="9"/>
        <v>583</v>
      </c>
      <c r="B584" s="10">
        <v>45971.6784722222</v>
      </c>
      <c r="C584" s="13" t="s">
        <v>2004</v>
      </c>
      <c r="D584" s="80" t="s">
        <v>3189</v>
      </c>
      <c r="E584" s="80" t="s">
        <v>3150</v>
      </c>
      <c r="F584" s="80" t="s">
        <v>3151</v>
      </c>
      <c r="G584" s="80" t="s">
        <v>3152</v>
      </c>
      <c r="H584" s="80" t="s">
        <v>115</v>
      </c>
      <c r="I584" s="80" t="s">
        <v>865</v>
      </c>
      <c r="J584" s="80" t="s">
        <v>149</v>
      </c>
      <c r="K584" s="80">
        <v>17</v>
      </c>
      <c r="L584" s="80" t="s">
        <v>3153</v>
      </c>
      <c r="M584" s="80" t="s">
        <v>3154</v>
      </c>
      <c r="N584" s="80" t="s">
        <v>120</v>
      </c>
      <c r="O584" s="80" t="s">
        <v>152</v>
      </c>
      <c r="P584" s="80" t="s">
        <v>352</v>
      </c>
      <c r="Q584" s="80" t="s">
        <v>123</v>
      </c>
      <c r="R584" s="80" t="s">
        <v>174</v>
      </c>
      <c r="S584" s="80">
        <v>2</v>
      </c>
      <c r="T584" s="80">
        <v>24</v>
      </c>
      <c r="U584" s="80" t="s">
        <v>2011</v>
      </c>
      <c r="V584" s="80" t="s">
        <v>126</v>
      </c>
      <c r="W584" s="80" t="s">
        <v>127</v>
      </c>
      <c r="X584" s="80"/>
      <c r="Y584" s="80"/>
    </row>
    <row r="585" spans="1:25">
      <c r="A585" s="80">
        <f t="shared" si="9"/>
        <v>584</v>
      </c>
      <c r="B585" s="10">
        <v>45971.681747685201</v>
      </c>
      <c r="C585" s="13" t="s">
        <v>3190</v>
      </c>
      <c r="D585" s="80" t="s">
        <v>3191</v>
      </c>
      <c r="E585" s="80" t="s">
        <v>3192</v>
      </c>
      <c r="F585" s="80" t="e">
        <v>#N/A</v>
      </c>
      <c r="G585" s="80" t="e">
        <v>#N/A</v>
      </c>
      <c r="H585" s="80" t="e">
        <v>#N/A</v>
      </c>
      <c r="I585" s="80" t="e">
        <v>#N/A</v>
      </c>
      <c r="J585" s="80" t="e">
        <v>#N/A</v>
      </c>
      <c r="K585" s="80" t="e">
        <v>#N/A</v>
      </c>
      <c r="L585" s="80" t="e">
        <v>#N/A</v>
      </c>
      <c r="M585" s="80" t="e">
        <v>#N/A</v>
      </c>
      <c r="N585" s="80" t="e">
        <v>#N/A</v>
      </c>
      <c r="O585" s="80" t="e">
        <v>#N/A</v>
      </c>
      <c r="P585" s="80" t="e">
        <v>#N/A</v>
      </c>
      <c r="Q585" s="80" t="e">
        <v>#N/A</v>
      </c>
      <c r="R585" s="80" t="e">
        <v>#N/A</v>
      </c>
      <c r="S585" s="80" t="e">
        <v>#N/A</v>
      </c>
      <c r="T585" s="80" t="e">
        <v>#N/A</v>
      </c>
      <c r="U585" s="80" t="s">
        <v>3193</v>
      </c>
      <c r="V585" s="80" t="s">
        <v>126</v>
      </c>
      <c r="W585" s="80" t="s">
        <v>127</v>
      </c>
      <c r="X585" s="80"/>
      <c r="Y585" s="80"/>
    </row>
    <row r="586" spans="1:25">
      <c r="A586" s="80">
        <f t="shared" si="9"/>
        <v>585</v>
      </c>
      <c r="B586" s="10">
        <v>45971.682280092602</v>
      </c>
      <c r="C586" s="13" t="s">
        <v>359</v>
      </c>
      <c r="D586" s="80" t="s">
        <v>3194</v>
      </c>
      <c r="E586" s="80" t="s">
        <v>3195</v>
      </c>
      <c r="F586" s="80" t="s">
        <v>3196</v>
      </c>
      <c r="G586" s="80" t="s">
        <v>3197</v>
      </c>
      <c r="H586" s="80" t="s">
        <v>1185</v>
      </c>
      <c r="I586" s="80" t="s">
        <v>1186</v>
      </c>
      <c r="J586" s="80" t="s">
        <v>149</v>
      </c>
      <c r="K586" s="80">
        <v>11</v>
      </c>
      <c r="L586" s="80" t="s">
        <v>3198</v>
      </c>
      <c r="M586" s="80" t="s">
        <v>3199</v>
      </c>
      <c r="N586" s="80" t="s">
        <v>120</v>
      </c>
      <c r="O586" s="80" t="s">
        <v>213</v>
      </c>
      <c r="P586" s="80" t="s">
        <v>1635</v>
      </c>
      <c r="Q586" s="80" t="s">
        <v>123</v>
      </c>
      <c r="R586" s="80" t="s">
        <v>136</v>
      </c>
      <c r="S586" s="80">
        <v>11</v>
      </c>
      <c r="T586" s="80">
        <v>18</v>
      </c>
      <c r="U586" s="80" t="s">
        <v>361</v>
      </c>
      <c r="V586" s="80" t="s">
        <v>126</v>
      </c>
      <c r="W586" s="80" t="s">
        <v>5333</v>
      </c>
      <c r="X586" s="80"/>
      <c r="Y586" s="80"/>
    </row>
    <row r="587" spans="1:25">
      <c r="A587" s="80">
        <f t="shared" si="9"/>
        <v>586</v>
      </c>
      <c r="B587" s="10">
        <v>45971.682766203703</v>
      </c>
      <c r="C587" s="13" t="s">
        <v>297</v>
      </c>
      <c r="D587" s="80" t="s">
        <v>3200</v>
      </c>
      <c r="E587" s="80" t="s">
        <v>1066</v>
      </c>
      <c r="F587" s="80" t="s">
        <v>1067</v>
      </c>
      <c r="G587" s="80" t="s">
        <v>1068</v>
      </c>
      <c r="H587" s="80" t="s">
        <v>115</v>
      </c>
      <c r="I587" s="80" t="s">
        <v>1069</v>
      </c>
      <c r="J587" s="80" t="s">
        <v>117</v>
      </c>
      <c r="K587" s="80">
        <v>25</v>
      </c>
      <c r="L587" s="80" t="s">
        <v>1070</v>
      </c>
      <c r="M587" s="80" t="s">
        <v>1071</v>
      </c>
      <c r="N587" s="80" t="s">
        <v>120</v>
      </c>
      <c r="O587" s="80" t="s">
        <v>1072</v>
      </c>
      <c r="P587" s="80" t="s">
        <v>135</v>
      </c>
      <c r="Q587" s="80" t="s">
        <v>123</v>
      </c>
      <c r="R587" s="80" t="s">
        <v>174</v>
      </c>
      <c r="S587" s="80">
        <v>19</v>
      </c>
      <c r="T587" s="80">
        <v>24</v>
      </c>
      <c r="U587" s="80" t="s">
        <v>305</v>
      </c>
      <c r="V587" s="80" t="s">
        <v>126</v>
      </c>
      <c r="W587" s="80" t="s">
        <v>137</v>
      </c>
      <c r="X587" s="80"/>
      <c r="Y587" s="80"/>
    </row>
    <row r="588" spans="1:25">
      <c r="A588" s="80">
        <f t="shared" si="9"/>
        <v>587</v>
      </c>
      <c r="B588" s="10">
        <v>45971.683900463002</v>
      </c>
      <c r="C588" s="13" t="s">
        <v>362</v>
      </c>
      <c r="D588" s="80" t="s">
        <v>3201</v>
      </c>
      <c r="E588" s="80" t="s">
        <v>3202</v>
      </c>
      <c r="F588" s="80" t="s">
        <v>3203</v>
      </c>
      <c r="G588" s="80" t="s">
        <v>3204</v>
      </c>
      <c r="H588" s="80" t="s">
        <v>115</v>
      </c>
      <c r="I588" s="80" t="s">
        <v>1069</v>
      </c>
      <c r="J588" s="80" t="s">
        <v>117</v>
      </c>
      <c r="K588" s="80">
        <v>7</v>
      </c>
      <c r="L588" s="80" t="s">
        <v>3205</v>
      </c>
      <c r="M588" s="80" t="s">
        <v>3206</v>
      </c>
      <c r="N588" s="80" t="s">
        <v>164</v>
      </c>
      <c r="O588" s="80" t="s">
        <v>1877</v>
      </c>
      <c r="P588" s="80" t="s">
        <v>135</v>
      </c>
      <c r="Q588" s="80" t="s">
        <v>123</v>
      </c>
      <c r="R588" s="80" t="s">
        <v>174</v>
      </c>
      <c r="S588" s="80">
        <v>10</v>
      </c>
      <c r="T588" s="80">
        <v>12</v>
      </c>
      <c r="U588" s="80" t="s">
        <v>364</v>
      </c>
      <c r="V588" s="80" t="s">
        <v>126</v>
      </c>
      <c r="W588" s="80" t="s">
        <v>127</v>
      </c>
      <c r="X588" s="80"/>
      <c r="Y588" s="80"/>
    </row>
    <row r="589" spans="1:25">
      <c r="A589" s="80">
        <f t="shared" si="9"/>
        <v>588</v>
      </c>
      <c r="B589" s="10">
        <v>45971.685231481497</v>
      </c>
      <c r="C589" s="13" t="s">
        <v>553</v>
      </c>
      <c r="D589" s="80" t="s">
        <v>3207</v>
      </c>
      <c r="E589" s="80" t="s">
        <v>3208</v>
      </c>
      <c r="F589" s="80" t="s">
        <v>3209</v>
      </c>
      <c r="G589" s="80" t="s">
        <v>3210</v>
      </c>
      <c r="H589" s="80" t="s">
        <v>115</v>
      </c>
      <c r="I589" s="80" t="s">
        <v>1069</v>
      </c>
      <c r="J589" s="80" t="s">
        <v>117</v>
      </c>
      <c r="K589" s="80">
        <v>11</v>
      </c>
      <c r="L589" s="80" t="s">
        <v>3211</v>
      </c>
      <c r="M589" s="80" t="s">
        <v>3212</v>
      </c>
      <c r="N589" s="80" t="s">
        <v>120</v>
      </c>
      <c r="O589" s="80" t="s">
        <v>3213</v>
      </c>
      <c r="P589" s="80" t="s">
        <v>3214</v>
      </c>
      <c r="Q589" s="80" t="s">
        <v>123</v>
      </c>
      <c r="R589" s="80" t="s">
        <v>174</v>
      </c>
      <c r="S589" s="80">
        <v>3</v>
      </c>
      <c r="T589" s="80">
        <v>18</v>
      </c>
      <c r="U589" s="80" t="s">
        <v>562</v>
      </c>
      <c r="V589" s="80" t="s">
        <v>126</v>
      </c>
      <c r="W589" s="80" t="s">
        <v>127</v>
      </c>
      <c r="X589" s="80"/>
      <c r="Y589" s="80"/>
    </row>
    <row r="590" spans="1:25">
      <c r="A590" s="80">
        <f t="shared" si="9"/>
        <v>589</v>
      </c>
      <c r="B590" s="10">
        <v>45971.6861921296</v>
      </c>
      <c r="C590" s="13" t="s">
        <v>2004</v>
      </c>
      <c r="D590" s="80" t="s">
        <v>3215</v>
      </c>
      <c r="E590" s="80" t="s">
        <v>3216</v>
      </c>
      <c r="F590" s="80" t="s">
        <v>1247</v>
      </c>
      <c r="G590" s="80" t="s">
        <v>3217</v>
      </c>
      <c r="H590" s="80" t="s">
        <v>115</v>
      </c>
      <c r="I590" s="80" t="s">
        <v>1069</v>
      </c>
      <c r="J590" s="80" t="s">
        <v>117</v>
      </c>
      <c r="K590" s="80">
        <v>7</v>
      </c>
      <c r="L590" s="80" t="s">
        <v>3218</v>
      </c>
      <c r="M590" s="80" t="s">
        <v>3219</v>
      </c>
      <c r="N590" s="80" t="s">
        <v>120</v>
      </c>
      <c r="O590" s="80" t="s">
        <v>152</v>
      </c>
      <c r="P590" s="80" t="s">
        <v>581</v>
      </c>
      <c r="Q590" s="80" t="s">
        <v>123</v>
      </c>
      <c r="R590" s="80" t="s">
        <v>174</v>
      </c>
      <c r="S590" s="80">
        <v>15</v>
      </c>
      <c r="T590" s="80">
        <v>18</v>
      </c>
      <c r="U590" s="80" t="s">
        <v>2011</v>
      </c>
      <c r="V590" s="80" t="s">
        <v>126</v>
      </c>
      <c r="W590" s="80" t="s">
        <v>127</v>
      </c>
      <c r="X590" s="80"/>
      <c r="Y590" s="80"/>
    </row>
    <row r="591" spans="1:25">
      <c r="A591" s="80">
        <f t="shared" si="9"/>
        <v>590</v>
      </c>
      <c r="B591" s="10">
        <v>45971.687303240702</v>
      </c>
      <c r="C591" s="13" t="s">
        <v>604</v>
      </c>
      <c r="D591" s="80" t="s">
        <v>3220</v>
      </c>
      <c r="E591" s="80" t="s">
        <v>3221</v>
      </c>
      <c r="F591" s="80" t="s">
        <v>3222</v>
      </c>
      <c r="G591" s="80" t="s">
        <v>3223</v>
      </c>
      <c r="H591" s="80" t="s">
        <v>115</v>
      </c>
      <c r="I591" s="80" t="s">
        <v>1069</v>
      </c>
      <c r="J591" s="80" t="s">
        <v>461</v>
      </c>
      <c r="K591" s="80">
        <v>5</v>
      </c>
      <c r="L591" s="80" t="s">
        <v>3224</v>
      </c>
      <c r="M591" s="80" t="s">
        <v>3225</v>
      </c>
      <c r="N591" s="80" t="s">
        <v>120</v>
      </c>
      <c r="O591" s="80" t="s">
        <v>611</v>
      </c>
      <c r="P591" s="80" t="s">
        <v>832</v>
      </c>
      <c r="Q591" s="80" t="s">
        <v>123</v>
      </c>
      <c r="R591" s="80" t="s">
        <v>136</v>
      </c>
      <c r="S591" s="80">
        <v>7</v>
      </c>
      <c r="T591" s="80">
        <v>18</v>
      </c>
      <c r="U591" s="80" t="s">
        <v>613</v>
      </c>
      <c r="V591" s="80" t="s">
        <v>126</v>
      </c>
      <c r="W591" s="80" t="s">
        <v>127</v>
      </c>
      <c r="X591" s="80"/>
      <c r="Y591" s="80"/>
    </row>
    <row r="592" spans="1:25">
      <c r="A592" s="80">
        <f t="shared" si="9"/>
        <v>591</v>
      </c>
      <c r="B592" s="10">
        <v>45971.687708333302</v>
      </c>
      <c r="C592" s="13" t="s">
        <v>2004</v>
      </c>
      <c r="D592" s="80" t="s">
        <v>3226</v>
      </c>
      <c r="E592" s="80" t="s">
        <v>3227</v>
      </c>
      <c r="F592" s="80" t="s">
        <v>3228</v>
      </c>
      <c r="G592" s="80" t="s">
        <v>3229</v>
      </c>
      <c r="H592" s="80" t="s">
        <v>184</v>
      </c>
      <c r="I592" s="80" t="s">
        <v>49</v>
      </c>
      <c r="J592" s="80" t="s">
        <v>149</v>
      </c>
      <c r="K592" s="80">
        <v>11</v>
      </c>
      <c r="L592" s="80" t="s">
        <v>3230</v>
      </c>
      <c r="M592" s="80" t="s">
        <v>3231</v>
      </c>
      <c r="N592" s="80" t="s">
        <v>120</v>
      </c>
      <c r="O592" s="80" t="s">
        <v>240</v>
      </c>
      <c r="P592" s="80" t="s">
        <v>135</v>
      </c>
      <c r="Q592" s="80" t="s">
        <v>123</v>
      </c>
      <c r="R592" s="80" t="s">
        <v>136</v>
      </c>
      <c r="S592" s="80">
        <v>8</v>
      </c>
      <c r="T592" s="80">
        <v>24</v>
      </c>
      <c r="U592" s="80" t="s">
        <v>2011</v>
      </c>
      <c r="V592" s="80" t="s">
        <v>126</v>
      </c>
      <c r="W592" s="80" t="s">
        <v>204</v>
      </c>
      <c r="X592" s="80" t="s">
        <v>205</v>
      </c>
      <c r="Y592" s="80"/>
    </row>
    <row r="593" spans="1:25">
      <c r="A593" s="80">
        <f t="shared" si="9"/>
        <v>592</v>
      </c>
      <c r="B593" s="10">
        <v>45971.688333333303</v>
      </c>
      <c r="C593" s="13" t="s">
        <v>553</v>
      </c>
      <c r="D593" s="80" t="s">
        <v>3232</v>
      </c>
      <c r="E593" s="80" t="s">
        <v>2974</v>
      </c>
      <c r="F593" s="80" t="s">
        <v>2975</v>
      </c>
      <c r="G593" s="80" t="s">
        <v>2976</v>
      </c>
      <c r="H593" s="80" t="s">
        <v>174</v>
      </c>
      <c r="I593" s="80" t="s">
        <v>173</v>
      </c>
      <c r="J593" s="80" t="s">
        <v>149</v>
      </c>
      <c r="K593" s="80">
        <v>8</v>
      </c>
      <c r="L593" s="80" t="s">
        <v>2977</v>
      </c>
      <c r="M593" s="80" t="s">
        <v>2978</v>
      </c>
      <c r="N593" s="80" t="s">
        <v>120</v>
      </c>
      <c r="O593" s="80" t="s">
        <v>152</v>
      </c>
      <c r="P593" s="80" t="s">
        <v>135</v>
      </c>
      <c r="Q593" s="80" t="s">
        <v>123</v>
      </c>
      <c r="R593" s="80" t="s">
        <v>174</v>
      </c>
      <c r="S593" s="80">
        <v>15</v>
      </c>
      <c r="T593" s="80">
        <v>18</v>
      </c>
      <c r="U593" s="80" t="s">
        <v>562</v>
      </c>
      <c r="V593" s="80" t="s">
        <v>126</v>
      </c>
      <c r="W593" s="80" t="s">
        <v>127</v>
      </c>
      <c r="X593" s="80"/>
      <c r="Y593" s="80"/>
    </row>
    <row r="594" spans="1:25">
      <c r="A594" s="80">
        <f t="shared" si="9"/>
        <v>593</v>
      </c>
      <c r="B594" s="10">
        <v>45971.694583333301</v>
      </c>
      <c r="C594" s="13" t="s">
        <v>604</v>
      </c>
      <c r="D594" s="80" t="s">
        <v>3233</v>
      </c>
      <c r="E594" s="80" t="s">
        <v>2285</v>
      </c>
      <c r="F594" s="80" t="s">
        <v>2286</v>
      </c>
      <c r="G594" s="80" t="s">
        <v>2287</v>
      </c>
      <c r="H594" s="80" t="s">
        <v>174</v>
      </c>
      <c r="I594" s="80" t="s">
        <v>173</v>
      </c>
      <c r="J594" s="80" t="s">
        <v>149</v>
      </c>
      <c r="K594" s="80">
        <v>14</v>
      </c>
      <c r="L594" s="80" t="s">
        <v>2288</v>
      </c>
      <c r="M594" s="80" t="s">
        <v>2289</v>
      </c>
      <c r="N594" s="80" t="s">
        <v>120</v>
      </c>
      <c r="O594" s="80" t="s">
        <v>121</v>
      </c>
      <c r="P594" s="80" t="s">
        <v>2290</v>
      </c>
      <c r="Q594" s="80" t="s">
        <v>123</v>
      </c>
      <c r="R594" s="80" t="s">
        <v>174</v>
      </c>
      <c r="S594" s="80">
        <v>6</v>
      </c>
      <c r="T594" s="80">
        <v>12</v>
      </c>
      <c r="U594" s="80" t="s">
        <v>613</v>
      </c>
      <c r="V594" s="80" t="s">
        <v>126</v>
      </c>
      <c r="W594" s="80" t="s">
        <v>127</v>
      </c>
      <c r="X594" s="80"/>
      <c r="Y594" s="80"/>
    </row>
    <row r="595" spans="1:25">
      <c r="A595" s="80">
        <f t="shared" si="9"/>
        <v>594</v>
      </c>
      <c r="B595" s="10">
        <v>45971.696851851899</v>
      </c>
      <c r="C595" s="13" t="s">
        <v>297</v>
      </c>
      <c r="D595" s="80" t="s">
        <v>3234</v>
      </c>
      <c r="E595" s="80" t="s">
        <v>3170</v>
      </c>
      <c r="F595" s="80" t="s">
        <v>3171</v>
      </c>
      <c r="G595" s="80" t="s">
        <v>3172</v>
      </c>
      <c r="H595" s="80" t="s">
        <v>148</v>
      </c>
      <c r="I595" s="80" t="s">
        <v>44</v>
      </c>
      <c r="J595" s="80" t="s">
        <v>149</v>
      </c>
      <c r="K595" s="80">
        <v>17</v>
      </c>
      <c r="L595" s="80" t="s">
        <v>3173</v>
      </c>
      <c r="M595" s="80" t="s">
        <v>3174</v>
      </c>
      <c r="N595" s="80" t="s">
        <v>164</v>
      </c>
      <c r="O595" s="80" t="s">
        <v>406</v>
      </c>
      <c r="P595" s="80" t="s">
        <v>178</v>
      </c>
      <c r="Q595" s="80" t="s">
        <v>123</v>
      </c>
      <c r="R595" s="80" t="s">
        <v>136</v>
      </c>
      <c r="S595" s="80">
        <v>1</v>
      </c>
      <c r="T595" s="80">
        <v>12</v>
      </c>
      <c r="U595" s="80" t="s">
        <v>305</v>
      </c>
      <c r="V595" s="80" t="s">
        <v>126</v>
      </c>
      <c r="W595" s="80" t="s">
        <v>137</v>
      </c>
      <c r="X595" s="80"/>
      <c r="Y595" s="80"/>
    </row>
    <row r="596" spans="1:25">
      <c r="A596" s="80">
        <f t="shared" si="9"/>
        <v>595</v>
      </c>
      <c r="B596" s="10">
        <v>45971.700474537</v>
      </c>
      <c r="C596" s="13" t="s">
        <v>604</v>
      </c>
      <c r="D596" s="80" t="s">
        <v>3235</v>
      </c>
      <c r="E596" s="80" t="s">
        <v>3236</v>
      </c>
      <c r="F596" s="80" t="s">
        <v>3237</v>
      </c>
      <c r="G596" s="80" t="s">
        <v>3238</v>
      </c>
      <c r="H596" s="80" t="s">
        <v>115</v>
      </c>
      <c r="I596" s="80" t="s">
        <v>1069</v>
      </c>
      <c r="J596" s="80" t="s">
        <v>117</v>
      </c>
      <c r="K596" s="80">
        <v>24</v>
      </c>
      <c r="L596" s="80" t="s">
        <v>3239</v>
      </c>
      <c r="M596" s="80" t="s">
        <v>3240</v>
      </c>
      <c r="N596" s="80" t="s">
        <v>120</v>
      </c>
      <c r="O596" s="80" t="s">
        <v>240</v>
      </c>
      <c r="P596" s="80" t="s">
        <v>135</v>
      </c>
      <c r="Q596" s="80" t="s">
        <v>123</v>
      </c>
      <c r="R596" s="80" t="s">
        <v>174</v>
      </c>
      <c r="S596" s="80">
        <v>11</v>
      </c>
      <c r="T596" s="80">
        <v>18</v>
      </c>
      <c r="U596" s="80" t="s">
        <v>613</v>
      </c>
      <c r="V596" s="80" t="s">
        <v>126</v>
      </c>
      <c r="W596" s="80" t="s">
        <v>127</v>
      </c>
      <c r="X596" s="80"/>
      <c r="Y596" s="80"/>
    </row>
    <row r="597" spans="1:25">
      <c r="A597" s="80">
        <f t="shared" si="9"/>
        <v>596</v>
      </c>
      <c r="B597" s="10">
        <v>45971.701273148101</v>
      </c>
      <c r="C597" s="13" t="s">
        <v>320</v>
      </c>
      <c r="D597" s="80" t="s">
        <v>3241</v>
      </c>
      <c r="E597" s="80" t="s">
        <v>3242</v>
      </c>
      <c r="F597" s="80" t="s">
        <v>3243</v>
      </c>
      <c r="G597" s="80" t="s">
        <v>3244</v>
      </c>
      <c r="H597" s="80" t="s">
        <v>210</v>
      </c>
      <c r="I597" s="80" t="s">
        <v>35</v>
      </c>
      <c r="J597" s="80" t="s">
        <v>149</v>
      </c>
      <c r="K597" s="80">
        <v>13</v>
      </c>
      <c r="L597" s="80" t="s">
        <v>3245</v>
      </c>
      <c r="M597" s="80" t="s">
        <v>3246</v>
      </c>
      <c r="N597" s="80" t="s">
        <v>164</v>
      </c>
      <c r="O597" s="80" t="s">
        <v>3247</v>
      </c>
      <c r="P597" s="80" t="s">
        <v>465</v>
      </c>
      <c r="Q597" s="80" t="s">
        <v>123</v>
      </c>
      <c r="R597" s="80" t="s">
        <v>136</v>
      </c>
      <c r="S597" s="80">
        <v>5</v>
      </c>
      <c r="T597" s="80">
        <v>18</v>
      </c>
      <c r="U597" s="80" t="s">
        <v>328</v>
      </c>
      <c r="V597" s="80" t="s">
        <v>126</v>
      </c>
      <c r="W597" s="80" t="s">
        <v>188</v>
      </c>
      <c r="X597" s="80"/>
      <c r="Y597" s="80"/>
    </row>
    <row r="598" spans="1:25">
      <c r="A598" s="80">
        <f t="shared" si="9"/>
        <v>597</v>
      </c>
      <c r="B598" s="10">
        <v>45971.702905092599</v>
      </c>
      <c r="C598" s="13" t="s">
        <v>840</v>
      </c>
      <c r="D598" s="80" t="s">
        <v>3248</v>
      </c>
      <c r="E598" s="80" t="s">
        <v>3249</v>
      </c>
      <c r="F598" s="80" t="s">
        <v>3250</v>
      </c>
      <c r="G598" s="80" t="s">
        <v>3251</v>
      </c>
      <c r="H598" s="80" t="s">
        <v>115</v>
      </c>
      <c r="I598" s="80" t="s">
        <v>1383</v>
      </c>
      <c r="J598" s="80" t="s">
        <v>117</v>
      </c>
      <c r="K598" s="80">
        <v>16</v>
      </c>
      <c r="L598" s="80" t="s">
        <v>3252</v>
      </c>
      <c r="M598" s="80" t="s">
        <v>3253</v>
      </c>
      <c r="N598" s="80" t="s">
        <v>120</v>
      </c>
      <c r="O598" s="80" t="s">
        <v>121</v>
      </c>
      <c r="P598" s="80" t="s">
        <v>269</v>
      </c>
      <c r="Q598" s="80" t="s">
        <v>123</v>
      </c>
      <c r="R598" s="80" t="s">
        <v>174</v>
      </c>
      <c r="S598" s="80">
        <v>3</v>
      </c>
      <c r="T598" s="80">
        <v>24</v>
      </c>
      <c r="U598" s="80" t="s">
        <v>843</v>
      </c>
      <c r="V598" s="80" t="s">
        <v>126</v>
      </c>
      <c r="W598" s="80" t="s">
        <v>127</v>
      </c>
      <c r="X598" s="80"/>
      <c r="Y598" s="80"/>
    </row>
    <row r="599" spans="1:25">
      <c r="A599" s="80">
        <f t="shared" si="9"/>
        <v>598</v>
      </c>
      <c r="B599" s="10">
        <v>45971.707777777803</v>
      </c>
      <c r="C599" s="13" t="s">
        <v>2188</v>
      </c>
      <c r="D599" s="80" t="s">
        <v>3254</v>
      </c>
      <c r="E599" s="80" t="s">
        <v>3255</v>
      </c>
      <c r="F599" s="80" t="s">
        <v>3256</v>
      </c>
      <c r="G599" s="80" t="s">
        <v>3257</v>
      </c>
      <c r="H599" s="80" t="s">
        <v>115</v>
      </c>
      <c r="I599" s="80" t="s">
        <v>865</v>
      </c>
      <c r="J599" s="80" t="s">
        <v>149</v>
      </c>
      <c r="K599" s="80">
        <v>9</v>
      </c>
      <c r="L599" s="80" t="s">
        <v>3258</v>
      </c>
      <c r="M599" s="80" t="s">
        <v>3259</v>
      </c>
      <c r="N599" s="80" t="s">
        <v>120</v>
      </c>
      <c r="O599" s="80" t="s">
        <v>449</v>
      </c>
      <c r="P599" s="80" t="s">
        <v>287</v>
      </c>
      <c r="Q599" s="80" t="s">
        <v>123</v>
      </c>
      <c r="R599" s="80" t="s">
        <v>174</v>
      </c>
      <c r="S599" s="80">
        <v>1</v>
      </c>
      <c r="T599" s="80">
        <v>18</v>
      </c>
      <c r="U599" s="80" t="s">
        <v>2195</v>
      </c>
      <c r="V599" s="80" t="s">
        <v>126</v>
      </c>
      <c r="W599" s="80" t="s">
        <v>127</v>
      </c>
      <c r="X599" s="80"/>
      <c r="Y599" s="80"/>
    </row>
    <row r="600" spans="1:25">
      <c r="A600" s="80">
        <f t="shared" si="9"/>
        <v>599</v>
      </c>
      <c r="B600" s="10">
        <v>45971.717233796298</v>
      </c>
      <c r="C600" s="13" t="s">
        <v>329</v>
      </c>
      <c r="D600" s="80" t="s">
        <v>3260</v>
      </c>
      <c r="E600" s="80" t="s">
        <v>451</v>
      </c>
      <c r="F600" s="80" t="s">
        <v>452</v>
      </c>
      <c r="G600" s="80" t="s">
        <v>453</v>
      </c>
      <c r="H600" s="80" t="s">
        <v>115</v>
      </c>
      <c r="I600" s="80" t="s">
        <v>842</v>
      </c>
      <c r="J600" s="80" t="s">
        <v>117</v>
      </c>
      <c r="K600" s="80">
        <v>1</v>
      </c>
      <c r="L600" s="80" t="s">
        <v>454</v>
      </c>
      <c r="M600" s="80" t="s">
        <v>455</v>
      </c>
      <c r="N600" s="80" t="s">
        <v>120</v>
      </c>
      <c r="O600" s="80" t="s">
        <v>230</v>
      </c>
      <c r="P600" s="80" t="s">
        <v>178</v>
      </c>
      <c r="Q600" s="80" t="s">
        <v>123</v>
      </c>
      <c r="R600" s="80" t="s">
        <v>124</v>
      </c>
      <c r="S600" s="80">
        <v>2</v>
      </c>
      <c r="T600" s="80">
        <v>18</v>
      </c>
      <c r="U600" s="80" t="s">
        <v>336</v>
      </c>
      <c r="V600" s="80" t="s">
        <v>126</v>
      </c>
      <c r="W600" s="80" t="s">
        <v>127</v>
      </c>
      <c r="X600" s="80"/>
      <c r="Y600" s="80"/>
    </row>
    <row r="601" spans="1:25">
      <c r="A601" s="80">
        <f t="shared" si="9"/>
        <v>600</v>
      </c>
      <c r="B601" s="10">
        <v>45971.722025463001</v>
      </c>
      <c r="C601" s="13" t="s">
        <v>329</v>
      </c>
      <c r="D601" s="80" t="s">
        <v>3261</v>
      </c>
      <c r="E601" s="80" t="s">
        <v>2137</v>
      </c>
      <c r="F601" s="80" t="s">
        <v>2138</v>
      </c>
      <c r="G601" s="80" t="s">
        <v>2139</v>
      </c>
      <c r="H601" s="80" t="s">
        <v>115</v>
      </c>
      <c r="I601" s="80" t="s">
        <v>244</v>
      </c>
      <c r="J601" s="80" t="s">
        <v>117</v>
      </c>
      <c r="K601" s="80">
        <v>12</v>
      </c>
      <c r="L601" s="80" t="s">
        <v>2140</v>
      </c>
      <c r="M601" s="80" t="s">
        <v>2141</v>
      </c>
      <c r="N601" s="80" t="s">
        <v>120</v>
      </c>
      <c r="O601" s="80" t="s">
        <v>2142</v>
      </c>
      <c r="P601" s="80" t="s">
        <v>269</v>
      </c>
      <c r="Q601" s="80" t="s">
        <v>123</v>
      </c>
      <c r="R601" s="80" t="s">
        <v>174</v>
      </c>
      <c r="S601" s="80">
        <v>5</v>
      </c>
      <c r="T601" s="80">
        <v>6</v>
      </c>
      <c r="U601" s="80" t="s">
        <v>336</v>
      </c>
      <c r="V601" s="80" t="s">
        <v>126</v>
      </c>
      <c r="W601" s="80" t="s">
        <v>127</v>
      </c>
      <c r="X601" s="80"/>
      <c r="Y601" s="80"/>
    </row>
    <row r="602" spans="1:25">
      <c r="A602" s="80">
        <f t="shared" si="9"/>
        <v>601</v>
      </c>
      <c r="B602" s="10">
        <v>45971.727557870399</v>
      </c>
      <c r="C602" s="13" t="s">
        <v>110</v>
      </c>
      <c r="D602" s="80" t="s">
        <v>3262</v>
      </c>
      <c r="E602" s="80" t="s">
        <v>3263</v>
      </c>
      <c r="F602" s="80" t="s">
        <v>3264</v>
      </c>
      <c r="G602" s="80" t="s">
        <v>3265</v>
      </c>
      <c r="H602" s="80" t="s">
        <v>115</v>
      </c>
      <c r="I602" s="80" t="s">
        <v>1207</v>
      </c>
      <c r="J602" s="80" t="s">
        <v>117</v>
      </c>
      <c r="K602" s="80">
        <v>25</v>
      </c>
      <c r="L602" s="80" t="s">
        <v>3266</v>
      </c>
      <c r="M602" s="80" t="s">
        <v>3267</v>
      </c>
      <c r="N602" s="80" t="s">
        <v>120</v>
      </c>
      <c r="O602" s="80" t="s">
        <v>213</v>
      </c>
      <c r="P602" s="80" t="s">
        <v>135</v>
      </c>
      <c r="Q602" s="80" t="s">
        <v>123</v>
      </c>
      <c r="R602" s="80" t="s">
        <v>174</v>
      </c>
      <c r="S602" s="80">
        <v>18</v>
      </c>
      <c r="T602" s="80">
        <v>24</v>
      </c>
      <c r="U602" s="80" t="s">
        <v>125</v>
      </c>
      <c r="V602" s="80" t="s">
        <v>126</v>
      </c>
      <c r="W602" s="80" t="s">
        <v>127</v>
      </c>
      <c r="X602" s="80"/>
      <c r="Y602" s="80"/>
    </row>
    <row r="603" spans="1:25">
      <c r="A603" s="80">
        <f t="shared" si="9"/>
        <v>602</v>
      </c>
      <c r="B603" s="10">
        <v>45971.728668981501</v>
      </c>
      <c r="C603" s="13" t="s">
        <v>320</v>
      </c>
      <c r="D603" s="80" t="s">
        <v>3268</v>
      </c>
      <c r="E603" s="80" t="s">
        <v>3269</v>
      </c>
      <c r="F603" s="80" t="s">
        <v>3270</v>
      </c>
      <c r="G603" s="80" t="s">
        <v>3271</v>
      </c>
      <c r="H603" s="80" t="s">
        <v>115</v>
      </c>
      <c r="I603" s="80" t="s">
        <v>227</v>
      </c>
      <c r="J603" s="80" t="s">
        <v>117</v>
      </c>
      <c r="K603" s="80">
        <v>2</v>
      </c>
      <c r="L603" s="80" t="s">
        <v>3272</v>
      </c>
      <c r="M603" s="80" t="s">
        <v>3273</v>
      </c>
      <c r="N603" s="80" t="s">
        <v>120</v>
      </c>
      <c r="O603" s="80" t="s">
        <v>3274</v>
      </c>
      <c r="P603" s="80" t="s">
        <v>588</v>
      </c>
      <c r="Q603" s="80" t="s">
        <v>123</v>
      </c>
      <c r="R603" s="80" t="s">
        <v>124</v>
      </c>
      <c r="S603" s="80">
        <v>5</v>
      </c>
      <c r="T603" s="80">
        <v>12</v>
      </c>
      <c r="U603" s="80" t="s">
        <v>328</v>
      </c>
      <c r="V603" s="80" t="s">
        <v>126</v>
      </c>
      <c r="W603" s="80" t="s">
        <v>127</v>
      </c>
      <c r="X603" s="80"/>
      <c r="Y603" s="80"/>
    </row>
    <row r="604" spans="1:25">
      <c r="A604" s="80">
        <f t="shared" si="9"/>
        <v>603</v>
      </c>
      <c r="B604" s="10">
        <v>45971.735405092601</v>
      </c>
      <c r="C604" s="13" t="s">
        <v>110</v>
      </c>
      <c r="D604" s="80" t="s">
        <v>3275</v>
      </c>
      <c r="E604" s="80" t="s">
        <v>1212</v>
      </c>
      <c r="F604" s="80" t="s">
        <v>1213</v>
      </c>
      <c r="G604" s="80" t="s">
        <v>1214</v>
      </c>
      <c r="H604" s="80" t="s">
        <v>115</v>
      </c>
      <c r="I604" s="80" t="s">
        <v>849</v>
      </c>
      <c r="J604" s="80" t="s">
        <v>149</v>
      </c>
      <c r="K604" s="80">
        <v>26</v>
      </c>
      <c r="L604" s="80" t="s">
        <v>1215</v>
      </c>
      <c r="M604" s="80" t="s">
        <v>1216</v>
      </c>
      <c r="N604" s="80" t="s">
        <v>120</v>
      </c>
      <c r="O604" s="80" t="s">
        <v>121</v>
      </c>
      <c r="P604" s="80" t="s">
        <v>178</v>
      </c>
      <c r="Q604" s="80" t="s">
        <v>123</v>
      </c>
      <c r="R604" s="80" t="s">
        <v>174</v>
      </c>
      <c r="S604" s="80">
        <v>2</v>
      </c>
      <c r="T604" s="80">
        <v>24</v>
      </c>
      <c r="U604" s="80" t="s">
        <v>125</v>
      </c>
      <c r="V604" s="80" t="s">
        <v>126</v>
      </c>
      <c r="W604" s="80" t="s">
        <v>127</v>
      </c>
      <c r="X604" s="80"/>
      <c r="Y604" s="80"/>
    </row>
    <row r="605" spans="1:25">
      <c r="A605" s="80">
        <f t="shared" si="9"/>
        <v>604</v>
      </c>
      <c r="B605" s="10">
        <v>45971.7398032407</v>
      </c>
      <c r="C605" s="13" t="s">
        <v>157</v>
      </c>
      <c r="D605" s="80" t="s">
        <v>3276</v>
      </c>
      <c r="E605" s="80" t="s">
        <v>3277</v>
      </c>
      <c r="F605" s="80" t="s">
        <v>2920</v>
      </c>
      <c r="G605" s="80" t="s">
        <v>3278</v>
      </c>
      <c r="H605" s="80" t="s">
        <v>174</v>
      </c>
      <c r="I605" s="80" t="s">
        <v>173</v>
      </c>
      <c r="J605" s="80" t="s">
        <v>149</v>
      </c>
      <c r="K605" s="80">
        <v>1</v>
      </c>
      <c r="L605" s="80" t="s">
        <v>3279</v>
      </c>
      <c r="M605" s="80" t="s">
        <v>3280</v>
      </c>
      <c r="N605" s="80" t="s">
        <v>120</v>
      </c>
      <c r="O605" s="80" t="s">
        <v>327</v>
      </c>
      <c r="P605" s="80" t="s">
        <v>269</v>
      </c>
      <c r="Q605" s="80" t="s">
        <v>123</v>
      </c>
      <c r="R605" s="80" t="s">
        <v>174</v>
      </c>
      <c r="S605" s="80">
        <v>9</v>
      </c>
      <c r="T605" s="80">
        <v>12</v>
      </c>
      <c r="U605" s="80" t="s">
        <v>167</v>
      </c>
      <c r="V605" s="80" t="s">
        <v>126</v>
      </c>
      <c r="W605" s="80" t="s">
        <v>127</v>
      </c>
      <c r="X605" s="80"/>
      <c r="Y605" s="80"/>
    </row>
    <row r="606" spans="1:25">
      <c r="A606" s="80">
        <f t="shared" si="9"/>
        <v>605</v>
      </c>
      <c r="B606" s="10">
        <v>45971.742037037002</v>
      </c>
      <c r="C606" s="13" t="s">
        <v>157</v>
      </c>
      <c r="D606" s="80" t="s">
        <v>3281</v>
      </c>
      <c r="E606" s="80" t="s">
        <v>2378</v>
      </c>
      <c r="F606" s="80" t="s">
        <v>2379</v>
      </c>
      <c r="G606" s="80" t="s">
        <v>2380</v>
      </c>
      <c r="H606" s="80" t="s">
        <v>115</v>
      </c>
      <c r="I606" s="80" t="s">
        <v>865</v>
      </c>
      <c r="J606" s="80" t="s">
        <v>117</v>
      </c>
      <c r="K606" s="80">
        <v>14</v>
      </c>
      <c r="L606" s="80" t="s">
        <v>2381</v>
      </c>
      <c r="M606" s="80" t="s">
        <v>2382</v>
      </c>
      <c r="N606" s="80" t="s">
        <v>120</v>
      </c>
      <c r="O606" s="80" t="s">
        <v>152</v>
      </c>
      <c r="P606" s="80" t="s">
        <v>178</v>
      </c>
      <c r="Q606" s="80" t="s">
        <v>123</v>
      </c>
      <c r="R606" s="80" t="s">
        <v>174</v>
      </c>
      <c r="S606" s="80">
        <v>3</v>
      </c>
      <c r="T606" s="80">
        <v>12</v>
      </c>
      <c r="U606" s="80" t="s">
        <v>167</v>
      </c>
      <c r="V606" s="80" t="s">
        <v>126</v>
      </c>
      <c r="W606" s="80" t="s">
        <v>127</v>
      </c>
      <c r="X606" s="80"/>
      <c r="Y606" s="80"/>
    </row>
    <row r="607" spans="1:25">
      <c r="A607" s="80">
        <f t="shared" si="9"/>
        <v>606</v>
      </c>
      <c r="B607" s="10">
        <v>45971.744039351899</v>
      </c>
      <c r="C607" s="13" t="s">
        <v>110</v>
      </c>
      <c r="D607" s="80" t="s">
        <v>3282</v>
      </c>
      <c r="E607" s="80" t="s">
        <v>3283</v>
      </c>
      <c r="F607" s="80" t="s">
        <v>3284</v>
      </c>
      <c r="G607" s="80" t="s">
        <v>3285</v>
      </c>
      <c r="H607" s="80" t="s">
        <v>115</v>
      </c>
      <c r="I607" s="80" t="s">
        <v>1207</v>
      </c>
      <c r="J607" s="80" t="s">
        <v>117</v>
      </c>
      <c r="K607" s="80">
        <v>7</v>
      </c>
      <c r="L607" s="80" t="s">
        <v>3286</v>
      </c>
      <c r="M607" s="80" t="s">
        <v>3287</v>
      </c>
      <c r="N607" s="80" t="s">
        <v>164</v>
      </c>
      <c r="O607" s="80" t="s">
        <v>1298</v>
      </c>
      <c r="P607" s="80" t="s">
        <v>135</v>
      </c>
      <c r="Q607" s="80" t="s">
        <v>123</v>
      </c>
      <c r="R607" s="80" t="s">
        <v>174</v>
      </c>
      <c r="S607" s="80">
        <v>7</v>
      </c>
      <c r="T607" s="80">
        <v>24</v>
      </c>
      <c r="U607" s="80" t="s">
        <v>125</v>
      </c>
      <c r="V607" s="80" t="s">
        <v>126</v>
      </c>
      <c r="W607" s="80" t="s">
        <v>127</v>
      </c>
      <c r="X607" s="80"/>
      <c r="Y607" s="80"/>
    </row>
    <row r="608" spans="1:25">
      <c r="A608" s="80">
        <f t="shared" si="9"/>
        <v>607</v>
      </c>
      <c r="B608" s="10">
        <v>45971.748078703698</v>
      </c>
      <c r="C608" s="13" t="s">
        <v>143</v>
      </c>
      <c r="D608" s="80" t="s">
        <v>3288</v>
      </c>
      <c r="E608" s="80" t="s">
        <v>3289</v>
      </c>
      <c r="F608" s="80" t="s">
        <v>3290</v>
      </c>
      <c r="G608" s="80" t="s">
        <v>3291</v>
      </c>
      <c r="H608" s="80" t="s">
        <v>148</v>
      </c>
      <c r="I608" s="80" t="s">
        <v>44</v>
      </c>
      <c r="J608" s="80" t="s">
        <v>149</v>
      </c>
      <c r="K608" s="80">
        <v>2</v>
      </c>
      <c r="L608" s="80" t="s">
        <v>3292</v>
      </c>
      <c r="M608" s="80" t="s">
        <v>3293</v>
      </c>
      <c r="N608" s="80" t="s">
        <v>164</v>
      </c>
      <c r="O608" s="80" t="s">
        <v>3294</v>
      </c>
      <c r="P608" s="80" t="s">
        <v>231</v>
      </c>
      <c r="Q608" s="80" t="s">
        <v>123</v>
      </c>
      <c r="R608" s="80" t="s">
        <v>136</v>
      </c>
      <c r="S608" s="80">
        <v>5</v>
      </c>
      <c r="T608" s="80">
        <v>24</v>
      </c>
      <c r="U608" s="80" t="s">
        <v>153</v>
      </c>
      <c r="V608" s="80" t="s">
        <v>126</v>
      </c>
      <c r="W608" s="80" t="s">
        <v>137</v>
      </c>
      <c r="X608" s="80"/>
      <c r="Y608" s="80"/>
    </row>
    <row r="609" spans="1:25">
      <c r="A609" s="80">
        <f t="shared" si="9"/>
        <v>608</v>
      </c>
      <c r="B609" s="10">
        <v>45971.748159722199</v>
      </c>
      <c r="C609" s="13" t="s">
        <v>157</v>
      </c>
      <c r="D609" s="80" t="s">
        <v>3295</v>
      </c>
      <c r="E609" s="80" t="s">
        <v>1287</v>
      </c>
      <c r="F609" s="80" t="s">
        <v>1288</v>
      </c>
      <c r="G609" s="80" t="s">
        <v>1289</v>
      </c>
      <c r="H609" s="80" t="s">
        <v>115</v>
      </c>
      <c r="I609" s="80" t="s">
        <v>227</v>
      </c>
      <c r="J609" s="80" t="s">
        <v>117</v>
      </c>
      <c r="K609" s="80">
        <v>18</v>
      </c>
      <c r="L609" s="80" t="s">
        <v>1290</v>
      </c>
      <c r="M609" s="80" t="s">
        <v>1291</v>
      </c>
      <c r="N609" s="80" t="s">
        <v>120</v>
      </c>
      <c r="O609" s="80" t="s">
        <v>327</v>
      </c>
      <c r="P609" s="80" t="s">
        <v>135</v>
      </c>
      <c r="Q609" s="80" t="s">
        <v>123</v>
      </c>
      <c r="R609" s="80" t="s">
        <v>174</v>
      </c>
      <c r="S609" s="80">
        <v>18</v>
      </c>
      <c r="T609" s="80">
        <v>18</v>
      </c>
      <c r="U609" s="80" t="s">
        <v>167</v>
      </c>
      <c r="V609" s="80" t="s">
        <v>126</v>
      </c>
      <c r="W609" s="80" t="s">
        <v>127</v>
      </c>
      <c r="X609" s="80"/>
      <c r="Y609" s="80"/>
    </row>
    <row r="610" spans="1:25">
      <c r="A610" s="80">
        <f t="shared" si="9"/>
        <v>609</v>
      </c>
      <c r="B610" s="10">
        <v>45971.748229166697</v>
      </c>
      <c r="C610" s="13" t="s">
        <v>297</v>
      </c>
      <c r="D610" s="80" t="s">
        <v>3296</v>
      </c>
      <c r="E610" s="80" t="s">
        <v>3289</v>
      </c>
      <c r="F610" s="80" t="s">
        <v>3290</v>
      </c>
      <c r="G610" s="80" t="s">
        <v>3291</v>
      </c>
      <c r="H610" s="80" t="s">
        <v>148</v>
      </c>
      <c r="I610" s="80" t="s">
        <v>44</v>
      </c>
      <c r="J610" s="80" t="s">
        <v>149</v>
      </c>
      <c r="K610" s="80">
        <v>2</v>
      </c>
      <c r="L610" s="80" t="s">
        <v>3292</v>
      </c>
      <c r="M610" s="80" t="s">
        <v>3293</v>
      </c>
      <c r="N610" s="80" t="s">
        <v>164</v>
      </c>
      <c r="O610" s="80" t="s">
        <v>3294</v>
      </c>
      <c r="P610" s="80" t="s">
        <v>231</v>
      </c>
      <c r="Q610" s="80" t="s">
        <v>123</v>
      </c>
      <c r="R610" s="80" t="s">
        <v>136</v>
      </c>
      <c r="S610" s="80">
        <v>5</v>
      </c>
      <c r="T610" s="80">
        <v>24</v>
      </c>
      <c r="U610" s="80" t="s">
        <v>305</v>
      </c>
      <c r="V610" s="80" t="s">
        <v>126</v>
      </c>
      <c r="W610" s="80" t="s">
        <v>137</v>
      </c>
      <c r="X610" s="80"/>
      <c r="Y610" s="80"/>
    </row>
    <row r="611" spans="1:25">
      <c r="A611" s="80">
        <f t="shared" si="9"/>
        <v>610</v>
      </c>
      <c r="B611" s="10">
        <v>45971.751793981501</v>
      </c>
      <c r="C611" s="13" t="s">
        <v>157</v>
      </c>
      <c r="D611" s="80" t="s">
        <v>3297</v>
      </c>
      <c r="E611" s="80" t="s">
        <v>752</v>
      </c>
      <c r="F611" s="80" t="s">
        <v>753</v>
      </c>
      <c r="G611" s="80" t="s">
        <v>754</v>
      </c>
      <c r="H611" s="80" t="s">
        <v>115</v>
      </c>
      <c r="I611" s="80" t="s">
        <v>865</v>
      </c>
      <c r="J611" s="80" t="s">
        <v>149</v>
      </c>
      <c r="K611" s="80">
        <v>9</v>
      </c>
      <c r="L611" s="80" t="s">
        <v>755</v>
      </c>
      <c r="M611" s="80" t="s">
        <v>756</v>
      </c>
      <c r="N611" s="80" t="s">
        <v>164</v>
      </c>
      <c r="O611" s="80" t="s">
        <v>757</v>
      </c>
      <c r="P611" s="80" t="s">
        <v>269</v>
      </c>
      <c r="Q611" s="80" t="s">
        <v>123</v>
      </c>
      <c r="R611" s="80" t="s">
        <v>124</v>
      </c>
      <c r="S611" s="80">
        <v>2</v>
      </c>
      <c r="T611" s="80">
        <v>12</v>
      </c>
      <c r="U611" s="80" t="s">
        <v>167</v>
      </c>
      <c r="V611" s="80" t="s">
        <v>126</v>
      </c>
      <c r="W611" s="80" t="s">
        <v>127</v>
      </c>
      <c r="X611" s="80"/>
      <c r="Y611" s="80"/>
    </row>
    <row r="612" spans="1:25">
      <c r="A612" s="80">
        <f t="shared" si="9"/>
        <v>611</v>
      </c>
      <c r="B612" s="10">
        <v>45971.757476851897</v>
      </c>
      <c r="C612" s="13" t="s">
        <v>110</v>
      </c>
      <c r="D612" s="80" t="s">
        <v>3298</v>
      </c>
      <c r="E612" s="80" t="s">
        <v>3299</v>
      </c>
      <c r="F612" s="80" t="s">
        <v>3300</v>
      </c>
      <c r="G612" s="80" t="s">
        <v>3301</v>
      </c>
      <c r="H612" s="80" t="s">
        <v>115</v>
      </c>
      <c r="I612" s="80" t="s">
        <v>1207</v>
      </c>
      <c r="J612" s="80" t="s">
        <v>117</v>
      </c>
      <c r="K612" s="80">
        <v>1</v>
      </c>
      <c r="L612" s="80" t="s">
        <v>3302</v>
      </c>
      <c r="M612" s="80" t="s">
        <v>3303</v>
      </c>
      <c r="N612" s="80" t="s">
        <v>120</v>
      </c>
      <c r="O612" s="80" t="s">
        <v>121</v>
      </c>
      <c r="P612" s="80" t="s">
        <v>3304</v>
      </c>
      <c r="Q612" s="80" t="s">
        <v>123</v>
      </c>
      <c r="R612" s="80" t="s">
        <v>136</v>
      </c>
      <c r="S612" s="80">
        <v>5</v>
      </c>
      <c r="T612" s="80">
        <v>12</v>
      </c>
      <c r="U612" s="80" t="s">
        <v>125</v>
      </c>
      <c r="V612" s="80" t="s">
        <v>126</v>
      </c>
      <c r="W612" s="80" t="s">
        <v>127</v>
      </c>
      <c r="X612" s="80"/>
      <c r="Y612" s="80"/>
    </row>
    <row r="613" spans="1:25">
      <c r="A613" s="80">
        <f t="shared" si="9"/>
        <v>612</v>
      </c>
      <c r="B613" s="10">
        <v>45971.7895601852</v>
      </c>
      <c r="C613" s="13" t="s">
        <v>157</v>
      </c>
      <c r="D613" s="80" t="s">
        <v>3305</v>
      </c>
      <c r="E613" s="80" t="s">
        <v>3306</v>
      </c>
      <c r="F613" s="80" t="s">
        <v>3307</v>
      </c>
      <c r="G613" s="80" t="s">
        <v>3308</v>
      </c>
      <c r="H613" s="80" t="s">
        <v>115</v>
      </c>
      <c r="I613" s="80" t="s">
        <v>865</v>
      </c>
      <c r="J613" s="80" t="s">
        <v>149</v>
      </c>
      <c r="K613" s="80">
        <v>13</v>
      </c>
      <c r="L613" s="80" t="s">
        <v>3309</v>
      </c>
      <c r="M613" s="80" t="s">
        <v>3310</v>
      </c>
      <c r="N613" s="80" t="s">
        <v>120</v>
      </c>
      <c r="O613" s="80" t="s">
        <v>990</v>
      </c>
      <c r="P613" s="80" t="s">
        <v>135</v>
      </c>
      <c r="Q613" s="80" t="s">
        <v>123</v>
      </c>
      <c r="R613" s="80" t="s">
        <v>174</v>
      </c>
      <c r="S613" s="80">
        <v>1</v>
      </c>
      <c r="T613" s="80">
        <v>18</v>
      </c>
      <c r="U613" s="80" t="s">
        <v>167</v>
      </c>
      <c r="V613" s="80" t="s">
        <v>126</v>
      </c>
      <c r="W613" s="80" t="s">
        <v>127</v>
      </c>
      <c r="X613" s="80"/>
      <c r="Y613" s="80"/>
    </row>
    <row r="614" spans="1:25">
      <c r="A614" s="80">
        <f t="shared" si="9"/>
        <v>613</v>
      </c>
      <c r="B614" s="10">
        <v>45971.804965277799</v>
      </c>
      <c r="C614" s="13" t="s">
        <v>2188</v>
      </c>
      <c r="D614" s="80" t="s">
        <v>3311</v>
      </c>
      <c r="E614" s="80" t="s">
        <v>3312</v>
      </c>
      <c r="F614" s="80" t="s">
        <v>3313</v>
      </c>
      <c r="G614" s="80" t="s">
        <v>3314</v>
      </c>
      <c r="H614" s="80" t="s">
        <v>115</v>
      </c>
      <c r="I614" s="80" t="s">
        <v>1410</v>
      </c>
      <c r="J614" s="80" t="s">
        <v>117</v>
      </c>
      <c r="K614" s="80">
        <v>3</v>
      </c>
      <c r="L614" s="80" t="s">
        <v>3315</v>
      </c>
      <c r="M614" s="80" t="s">
        <v>3316</v>
      </c>
      <c r="N614" s="80" t="s">
        <v>120</v>
      </c>
      <c r="O614" s="80" t="s">
        <v>240</v>
      </c>
      <c r="P614" s="80" t="s">
        <v>135</v>
      </c>
      <c r="Q614" s="80" t="s">
        <v>123</v>
      </c>
      <c r="R614" s="80" t="s">
        <v>136</v>
      </c>
      <c r="S614" s="80">
        <v>18</v>
      </c>
      <c r="T614" s="80">
        <v>24</v>
      </c>
      <c r="U614" s="80" t="s">
        <v>2195</v>
      </c>
      <c r="V614" s="80" t="s">
        <v>126</v>
      </c>
      <c r="W614" s="80" t="s">
        <v>127</v>
      </c>
      <c r="X614" s="80"/>
      <c r="Y614" s="80"/>
    </row>
    <row r="615" spans="1:25">
      <c r="A615" s="80">
        <f t="shared" si="9"/>
        <v>614</v>
      </c>
      <c r="B615" s="10">
        <v>45971.817013888904</v>
      </c>
      <c r="C615" s="13" t="s">
        <v>2188</v>
      </c>
      <c r="D615" s="80" t="s">
        <v>3317</v>
      </c>
      <c r="E615" s="80" t="s">
        <v>1459</v>
      </c>
      <c r="F615" s="80" t="s">
        <v>1460</v>
      </c>
      <c r="G615" s="80" t="s">
        <v>1461</v>
      </c>
      <c r="H615" s="80" t="s">
        <v>115</v>
      </c>
      <c r="I615" s="80" t="s">
        <v>237</v>
      </c>
      <c r="J615" s="80" t="s">
        <v>117</v>
      </c>
      <c r="K615" s="80">
        <v>26</v>
      </c>
      <c r="L615" s="80" t="s">
        <v>1462</v>
      </c>
      <c r="M615" s="80" t="s">
        <v>1463</v>
      </c>
      <c r="N615" s="80" t="s">
        <v>120</v>
      </c>
      <c r="O615" s="80" t="s">
        <v>943</v>
      </c>
      <c r="P615" s="80" t="s">
        <v>295</v>
      </c>
      <c r="Q615" s="80" t="s">
        <v>123</v>
      </c>
      <c r="R615" s="80" t="s">
        <v>174</v>
      </c>
      <c r="S615" s="80">
        <v>3</v>
      </c>
      <c r="T615" s="80">
        <v>12</v>
      </c>
      <c r="U615" s="80" t="s">
        <v>2195</v>
      </c>
      <c r="V615" s="80" t="s">
        <v>126</v>
      </c>
      <c r="W615" s="80" t="s">
        <v>127</v>
      </c>
      <c r="X615" s="80"/>
      <c r="Y615" s="80"/>
    </row>
    <row r="616" spans="1:25">
      <c r="A616" s="80">
        <f t="shared" si="9"/>
        <v>615</v>
      </c>
      <c r="B616" s="10">
        <v>45972.385358796302</v>
      </c>
      <c r="C616" s="13" t="s">
        <v>297</v>
      </c>
      <c r="D616" s="80" t="s">
        <v>3318</v>
      </c>
      <c r="E616" s="80" t="s">
        <v>3319</v>
      </c>
      <c r="F616" s="80" t="s">
        <v>3320</v>
      </c>
      <c r="G616" s="80" t="s">
        <v>3321</v>
      </c>
      <c r="H616" s="80" t="s">
        <v>115</v>
      </c>
      <c r="I616" s="80" t="s">
        <v>227</v>
      </c>
      <c r="J616" s="80" t="s">
        <v>117</v>
      </c>
      <c r="K616" s="80">
        <v>16</v>
      </c>
      <c r="L616" s="80" t="s">
        <v>3322</v>
      </c>
      <c r="M616" s="80" t="s">
        <v>3323</v>
      </c>
      <c r="N616" s="80" t="s">
        <v>120</v>
      </c>
      <c r="O616" s="80" t="s">
        <v>152</v>
      </c>
      <c r="P616" s="80" t="s">
        <v>135</v>
      </c>
      <c r="Q616" s="80" t="s">
        <v>123</v>
      </c>
      <c r="R616" s="80" t="s">
        <v>174</v>
      </c>
      <c r="S616" s="80">
        <v>11</v>
      </c>
      <c r="T616" s="80">
        <v>18</v>
      </c>
      <c r="U616" s="80" t="s">
        <v>305</v>
      </c>
      <c r="V616" s="80" t="s">
        <v>126</v>
      </c>
      <c r="W616" s="80" t="s">
        <v>137</v>
      </c>
      <c r="X616" s="80"/>
      <c r="Y616" s="80"/>
    </row>
    <row r="617" spans="1:25">
      <c r="A617" s="80">
        <f t="shared" si="9"/>
        <v>616</v>
      </c>
      <c r="B617" s="10">
        <v>45972.434953703698</v>
      </c>
      <c r="C617" s="13" t="s">
        <v>329</v>
      </c>
      <c r="D617" s="80" t="s">
        <v>3324</v>
      </c>
      <c r="E617" s="80" t="s">
        <v>2137</v>
      </c>
      <c r="F617" s="80" t="s">
        <v>2138</v>
      </c>
      <c r="G617" s="80" t="s">
        <v>2139</v>
      </c>
      <c r="H617" s="80" t="s">
        <v>115</v>
      </c>
      <c r="I617" s="80" t="s">
        <v>244</v>
      </c>
      <c r="J617" s="80" t="s">
        <v>117</v>
      </c>
      <c r="K617" s="80">
        <v>12</v>
      </c>
      <c r="L617" s="80" t="s">
        <v>2140</v>
      </c>
      <c r="M617" s="80" t="s">
        <v>2141</v>
      </c>
      <c r="N617" s="80" t="s">
        <v>120</v>
      </c>
      <c r="O617" s="80" t="s">
        <v>2142</v>
      </c>
      <c r="P617" s="80" t="s">
        <v>269</v>
      </c>
      <c r="Q617" s="80" t="s">
        <v>123</v>
      </c>
      <c r="R617" s="80" t="s">
        <v>174</v>
      </c>
      <c r="S617" s="80">
        <v>5</v>
      </c>
      <c r="T617" s="80">
        <v>6</v>
      </c>
      <c r="U617" s="80" t="s">
        <v>336</v>
      </c>
      <c r="V617" s="80" t="s">
        <v>126</v>
      </c>
      <c r="W617" s="80" t="s">
        <v>127</v>
      </c>
      <c r="X617" s="80"/>
      <c r="Y617" s="80"/>
    </row>
    <row r="618" spans="1:25">
      <c r="A618" s="80">
        <f t="shared" si="9"/>
        <v>617</v>
      </c>
      <c r="B618" s="10">
        <v>45972.437743055598</v>
      </c>
      <c r="C618" s="13" t="s">
        <v>320</v>
      </c>
      <c r="D618" s="80" t="s">
        <v>3325</v>
      </c>
      <c r="E618" s="80" t="s">
        <v>3326</v>
      </c>
      <c r="F618" s="80" t="s">
        <v>3327</v>
      </c>
      <c r="G618" s="80" t="s">
        <v>3328</v>
      </c>
      <c r="H618" s="80" t="s">
        <v>115</v>
      </c>
      <c r="I618" s="80" t="s">
        <v>244</v>
      </c>
      <c r="J618" s="80" t="s">
        <v>117</v>
      </c>
      <c r="K618" s="80">
        <v>7</v>
      </c>
      <c r="L618" s="80" t="s">
        <v>3329</v>
      </c>
      <c r="M618" s="80" t="s">
        <v>3330</v>
      </c>
      <c r="N618" s="80" t="s">
        <v>120</v>
      </c>
      <c r="O618" s="80" t="s">
        <v>572</v>
      </c>
      <c r="P618" s="80" t="s">
        <v>178</v>
      </c>
      <c r="Q618" s="80" t="s">
        <v>123</v>
      </c>
      <c r="R618" s="80" t="s">
        <v>174</v>
      </c>
      <c r="S618" s="80">
        <v>11</v>
      </c>
      <c r="T618" s="80">
        <v>12</v>
      </c>
      <c r="U618" s="80" t="s">
        <v>328</v>
      </c>
      <c r="V618" s="80" t="s">
        <v>126</v>
      </c>
      <c r="W618" s="80" t="s">
        <v>127</v>
      </c>
      <c r="X618" s="80"/>
      <c r="Y618" s="80"/>
    </row>
    <row r="619" spans="1:25">
      <c r="A619" s="80">
        <f t="shared" si="9"/>
        <v>618</v>
      </c>
      <c r="B619" s="10">
        <v>45972.4391666667</v>
      </c>
      <c r="C619" s="13" t="s">
        <v>320</v>
      </c>
      <c r="D619" s="80" t="s">
        <v>3331</v>
      </c>
      <c r="E619" s="80" t="s">
        <v>3332</v>
      </c>
      <c r="F619" s="80" t="s">
        <v>3333</v>
      </c>
      <c r="G619" s="80" t="s">
        <v>3334</v>
      </c>
      <c r="H619" s="80" t="s">
        <v>174</v>
      </c>
      <c r="I619" s="80" t="s">
        <v>173</v>
      </c>
      <c r="J619" s="80" t="s">
        <v>149</v>
      </c>
      <c r="K619" s="80">
        <v>1</v>
      </c>
      <c r="L619" s="80" t="s">
        <v>3335</v>
      </c>
      <c r="M619" s="80" t="s">
        <v>3336</v>
      </c>
      <c r="N619" s="80" t="s">
        <v>120</v>
      </c>
      <c r="O619" s="80" t="s">
        <v>3337</v>
      </c>
      <c r="P619" s="80" t="s">
        <v>269</v>
      </c>
      <c r="Q619" s="80" t="s">
        <v>123</v>
      </c>
      <c r="R619" s="80" t="s">
        <v>174</v>
      </c>
      <c r="S619" s="80">
        <v>16</v>
      </c>
      <c r="T619" s="80">
        <v>18</v>
      </c>
      <c r="U619" s="80" t="s">
        <v>328</v>
      </c>
      <c r="V619" s="80" t="s">
        <v>126</v>
      </c>
      <c r="W619" s="80" t="s">
        <v>127</v>
      </c>
      <c r="X619" s="80"/>
      <c r="Y619" s="80"/>
    </row>
    <row r="620" spans="1:25">
      <c r="A620" s="80">
        <f t="shared" si="9"/>
        <v>619</v>
      </c>
      <c r="B620" s="10">
        <v>45972.450451388897</v>
      </c>
      <c r="C620" s="13" t="s">
        <v>297</v>
      </c>
      <c r="D620" s="80" t="s">
        <v>3338</v>
      </c>
      <c r="E620" s="80" t="s">
        <v>3339</v>
      </c>
      <c r="F620" s="80" t="s">
        <v>3340</v>
      </c>
      <c r="G620" s="80" t="s">
        <v>3341</v>
      </c>
      <c r="H620" s="80" t="s">
        <v>1490</v>
      </c>
      <c r="I620" s="80" t="s">
        <v>50</v>
      </c>
      <c r="J620" s="80" t="s">
        <v>149</v>
      </c>
      <c r="K620" s="80">
        <v>16</v>
      </c>
      <c r="L620" s="80" t="s">
        <v>3342</v>
      </c>
      <c r="M620" s="80" t="s">
        <v>3343</v>
      </c>
      <c r="N620" s="80" t="s">
        <v>120</v>
      </c>
      <c r="O620" s="80" t="s">
        <v>121</v>
      </c>
      <c r="P620" s="80" t="s">
        <v>135</v>
      </c>
      <c r="Q620" s="80" t="s">
        <v>123</v>
      </c>
      <c r="R620" s="80" t="s">
        <v>136</v>
      </c>
      <c r="S620" s="80">
        <v>13</v>
      </c>
      <c r="T620" s="80">
        <v>36</v>
      </c>
      <c r="U620" s="80" t="s">
        <v>305</v>
      </c>
      <c r="V620" s="80" t="s">
        <v>126</v>
      </c>
      <c r="W620" s="80" t="s">
        <v>137</v>
      </c>
      <c r="X620" s="80"/>
      <c r="Y620" s="80"/>
    </row>
    <row r="621" spans="1:25">
      <c r="A621" s="80">
        <f t="shared" si="9"/>
        <v>620</v>
      </c>
      <c r="B621" s="10">
        <v>45972.507222222201</v>
      </c>
      <c r="C621" s="13" t="s">
        <v>110</v>
      </c>
      <c r="D621" s="80" t="s">
        <v>3344</v>
      </c>
      <c r="E621" s="80" t="s">
        <v>3345</v>
      </c>
      <c r="F621" s="80" t="s">
        <v>3346</v>
      </c>
      <c r="G621" s="80" t="s">
        <v>3347</v>
      </c>
      <c r="H621" s="80" t="s">
        <v>115</v>
      </c>
      <c r="I621" s="80" t="s">
        <v>1207</v>
      </c>
      <c r="J621" s="80" t="s">
        <v>117</v>
      </c>
      <c r="K621" s="80">
        <v>6</v>
      </c>
      <c r="L621" s="80" t="s">
        <v>3348</v>
      </c>
      <c r="M621" s="80" t="s">
        <v>3349</v>
      </c>
      <c r="N621" s="80" t="s">
        <v>120</v>
      </c>
      <c r="O621" s="80" t="s">
        <v>572</v>
      </c>
      <c r="P621" s="80" t="s">
        <v>135</v>
      </c>
      <c r="Q621" s="80" t="s">
        <v>123</v>
      </c>
      <c r="R621" s="80" t="s">
        <v>174</v>
      </c>
      <c r="S621" s="80">
        <v>18</v>
      </c>
      <c r="T621" s="80">
        <v>24</v>
      </c>
      <c r="U621" s="80" t="s">
        <v>125</v>
      </c>
      <c r="V621" s="80" t="s">
        <v>126</v>
      </c>
      <c r="W621" s="80" t="s">
        <v>127</v>
      </c>
      <c r="X621" s="80"/>
      <c r="Y621" s="80"/>
    </row>
    <row r="622" spans="1:25">
      <c r="A622" s="80">
        <f t="shared" si="9"/>
        <v>621</v>
      </c>
      <c r="B622" s="10">
        <v>45972.510567129597</v>
      </c>
      <c r="C622" s="13" t="s">
        <v>110</v>
      </c>
      <c r="D622" s="80" t="s">
        <v>3350</v>
      </c>
      <c r="E622" s="80" t="s">
        <v>3351</v>
      </c>
      <c r="F622" s="80" t="e">
        <v>#N/A</v>
      </c>
      <c r="G622" s="80" t="e">
        <v>#N/A</v>
      </c>
      <c r="H622" s="80" t="e">
        <v>#N/A</v>
      </c>
      <c r="I622" s="80" t="e">
        <v>#N/A</v>
      </c>
      <c r="J622" s="80" t="e">
        <v>#N/A</v>
      </c>
      <c r="K622" s="80" t="e">
        <v>#N/A</v>
      </c>
      <c r="L622" s="80" t="e">
        <v>#N/A</v>
      </c>
      <c r="M622" s="80" t="e">
        <v>#N/A</v>
      </c>
      <c r="N622" s="80" t="e">
        <v>#N/A</v>
      </c>
      <c r="O622" s="80" t="e">
        <v>#N/A</v>
      </c>
      <c r="P622" s="80" t="e">
        <v>#N/A</v>
      </c>
      <c r="Q622" s="80" t="e">
        <v>#N/A</v>
      </c>
      <c r="R622" s="80" t="e">
        <v>#N/A</v>
      </c>
      <c r="S622" s="80" t="e">
        <v>#N/A</v>
      </c>
      <c r="T622" s="80" t="e">
        <v>#N/A</v>
      </c>
      <c r="U622" s="80" t="s">
        <v>125</v>
      </c>
      <c r="V622" s="80" t="s">
        <v>126</v>
      </c>
      <c r="W622" s="80" t="s">
        <v>127</v>
      </c>
      <c r="X622" s="80"/>
      <c r="Y622" s="80"/>
    </row>
    <row r="623" spans="1:25">
      <c r="A623" s="80">
        <f t="shared" si="9"/>
        <v>622</v>
      </c>
      <c r="B623" s="10">
        <v>45972.513587963003</v>
      </c>
      <c r="C623" s="13" t="s">
        <v>110</v>
      </c>
      <c r="D623" s="80" t="s">
        <v>3352</v>
      </c>
      <c r="E623" s="80" t="s">
        <v>1182</v>
      </c>
      <c r="F623" s="80" t="s">
        <v>1183</v>
      </c>
      <c r="G623" s="80" t="s">
        <v>1184</v>
      </c>
      <c r="H623" s="80" t="s">
        <v>1185</v>
      </c>
      <c r="I623" s="80" t="s">
        <v>1186</v>
      </c>
      <c r="J623" s="80" t="s">
        <v>149</v>
      </c>
      <c r="K623" s="80">
        <v>9</v>
      </c>
      <c r="L623" s="80" t="s">
        <v>1187</v>
      </c>
      <c r="M623" s="80" t="s">
        <v>1188</v>
      </c>
      <c r="N623" s="80" t="s">
        <v>120</v>
      </c>
      <c r="O623" s="80" t="s">
        <v>121</v>
      </c>
      <c r="P623" s="80" t="s">
        <v>1189</v>
      </c>
      <c r="Q623" s="80" t="s">
        <v>123</v>
      </c>
      <c r="R623" s="80" t="s">
        <v>136</v>
      </c>
      <c r="S623" s="80">
        <v>5</v>
      </c>
      <c r="T623" s="80">
        <v>18</v>
      </c>
      <c r="U623" s="80" t="s">
        <v>125</v>
      </c>
      <c r="V623" s="80" t="s">
        <v>126</v>
      </c>
      <c r="W623" s="80" t="s">
        <v>5333</v>
      </c>
      <c r="X623" s="80"/>
      <c r="Y623" s="80"/>
    </row>
    <row r="624" spans="1:25">
      <c r="A624" s="80">
        <f t="shared" si="9"/>
        <v>623</v>
      </c>
      <c r="B624" s="10">
        <v>45972.535601851901</v>
      </c>
      <c r="C624" s="13" t="s">
        <v>168</v>
      </c>
      <c r="D624" s="80" t="s">
        <v>3353</v>
      </c>
      <c r="E624" s="80" t="s">
        <v>3354</v>
      </c>
      <c r="F624" s="80" t="s">
        <v>3355</v>
      </c>
      <c r="G624" s="80" t="s">
        <v>3356</v>
      </c>
      <c r="H624" s="80" t="s">
        <v>115</v>
      </c>
      <c r="I624" s="80" t="s">
        <v>1410</v>
      </c>
      <c r="J624" s="80" t="s">
        <v>117</v>
      </c>
      <c r="K624" s="80">
        <v>26</v>
      </c>
      <c r="L624" s="80" t="s">
        <v>3357</v>
      </c>
      <c r="M624" s="80" t="s">
        <v>3358</v>
      </c>
      <c r="N624" s="80" t="s">
        <v>120</v>
      </c>
      <c r="O624" s="80" t="s">
        <v>240</v>
      </c>
      <c r="P624" s="80" t="s">
        <v>135</v>
      </c>
      <c r="Q624" s="80" t="s">
        <v>123</v>
      </c>
      <c r="R624" s="80" t="s">
        <v>174</v>
      </c>
      <c r="S624" s="80">
        <v>3</v>
      </c>
      <c r="T624" s="80">
        <v>18</v>
      </c>
      <c r="U624" s="80" t="s">
        <v>179</v>
      </c>
      <c r="V624" s="80" t="s">
        <v>126</v>
      </c>
      <c r="W624" s="80" t="s">
        <v>127</v>
      </c>
      <c r="X624" s="80"/>
      <c r="Y624" s="80"/>
    </row>
    <row r="625" spans="1:25">
      <c r="A625" s="80">
        <f t="shared" si="9"/>
        <v>624</v>
      </c>
      <c r="B625" s="10">
        <v>45972.556076388901</v>
      </c>
      <c r="C625" s="13" t="s">
        <v>320</v>
      </c>
      <c r="D625" s="80" t="s">
        <v>3359</v>
      </c>
      <c r="E625" s="80" t="s">
        <v>3242</v>
      </c>
      <c r="F625" s="80" t="s">
        <v>3243</v>
      </c>
      <c r="G625" s="80" t="s">
        <v>3244</v>
      </c>
      <c r="H625" s="80" t="s">
        <v>210</v>
      </c>
      <c r="I625" s="80" t="s">
        <v>35</v>
      </c>
      <c r="J625" s="80" t="s">
        <v>149</v>
      </c>
      <c r="K625" s="80">
        <v>13</v>
      </c>
      <c r="L625" s="80" t="s">
        <v>3245</v>
      </c>
      <c r="M625" s="80" t="s">
        <v>3246</v>
      </c>
      <c r="N625" s="80" t="s">
        <v>164</v>
      </c>
      <c r="O625" s="80" t="s">
        <v>3247</v>
      </c>
      <c r="P625" s="80" t="s">
        <v>465</v>
      </c>
      <c r="Q625" s="80" t="s">
        <v>123</v>
      </c>
      <c r="R625" s="80" t="s">
        <v>136</v>
      </c>
      <c r="S625" s="80">
        <v>5</v>
      </c>
      <c r="T625" s="80">
        <v>18</v>
      </c>
      <c r="U625" s="80" t="s">
        <v>328</v>
      </c>
      <c r="V625" s="80" t="s">
        <v>126</v>
      </c>
      <c r="W625" s="80" t="s">
        <v>1770</v>
      </c>
      <c r="X625" s="80"/>
      <c r="Y625" s="80"/>
    </row>
    <row r="626" spans="1:25">
      <c r="A626" s="80">
        <f t="shared" si="9"/>
        <v>625</v>
      </c>
      <c r="B626" s="10">
        <v>45972.562731481499</v>
      </c>
      <c r="C626" s="13" t="s">
        <v>222</v>
      </c>
      <c r="D626" s="80" t="s">
        <v>3360</v>
      </c>
      <c r="E626" s="80" t="s">
        <v>3361</v>
      </c>
      <c r="F626" s="80" t="s">
        <v>3362</v>
      </c>
      <c r="G626" s="80" t="s">
        <v>3363</v>
      </c>
      <c r="H626" s="80" t="s">
        <v>115</v>
      </c>
      <c r="I626" s="80" t="s">
        <v>865</v>
      </c>
      <c r="J626" s="80" t="s">
        <v>149</v>
      </c>
      <c r="K626" s="80">
        <v>15</v>
      </c>
      <c r="L626" s="80" t="s">
        <v>3364</v>
      </c>
      <c r="M626" s="80" t="s">
        <v>3365</v>
      </c>
      <c r="N626" s="80" t="s">
        <v>120</v>
      </c>
      <c r="O626" s="80" t="s">
        <v>2217</v>
      </c>
      <c r="P626" s="80" t="s">
        <v>269</v>
      </c>
      <c r="Q626" s="80" t="s">
        <v>123</v>
      </c>
      <c r="R626" s="80" t="s">
        <v>174</v>
      </c>
      <c r="S626" s="80">
        <v>1</v>
      </c>
      <c r="T626" s="80">
        <v>18</v>
      </c>
      <c r="U626" s="80" t="s">
        <v>232</v>
      </c>
      <c r="V626" s="80" t="s">
        <v>126</v>
      </c>
      <c r="W626" s="80" t="s">
        <v>127</v>
      </c>
      <c r="X626" s="80"/>
      <c r="Y626" s="80"/>
    </row>
    <row r="627" spans="1:25">
      <c r="A627" s="80">
        <f t="shared" si="9"/>
        <v>626</v>
      </c>
      <c r="B627" s="10">
        <v>45972.564421296302</v>
      </c>
      <c r="C627" s="13" t="s">
        <v>157</v>
      </c>
      <c r="D627" s="80" t="s">
        <v>3366</v>
      </c>
      <c r="E627" s="80" t="s">
        <v>3367</v>
      </c>
      <c r="F627" s="80" t="s">
        <v>3368</v>
      </c>
      <c r="G627" s="80" t="s">
        <v>3369</v>
      </c>
      <c r="H627" s="80" t="s">
        <v>174</v>
      </c>
      <c r="I627" s="80" t="s">
        <v>173</v>
      </c>
      <c r="J627" s="80" t="s">
        <v>149</v>
      </c>
      <c r="K627" s="80">
        <v>2</v>
      </c>
      <c r="L627" s="80" t="s">
        <v>3370</v>
      </c>
      <c r="M627" s="80" t="s">
        <v>3371</v>
      </c>
      <c r="N627" s="80" t="s">
        <v>120</v>
      </c>
      <c r="O627" s="80" t="s">
        <v>510</v>
      </c>
      <c r="P627" s="80" t="s">
        <v>546</v>
      </c>
      <c r="Q627" s="80" t="s">
        <v>123</v>
      </c>
      <c r="R627" s="80" t="s">
        <v>174</v>
      </c>
      <c r="S627" s="80">
        <v>8</v>
      </c>
      <c r="T627" s="80">
        <v>18</v>
      </c>
      <c r="U627" s="80" t="s">
        <v>167</v>
      </c>
      <c r="V627" s="80" t="s">
        <v>126</v>
      </c>
      <c r="W627" s="80" t="s">
        <v>127</v>
      </c>
      <c r="X627" s="80"/>
      <c r="Y627" s="80"/>
    </row>
    <row r="628" spans="1:25">
      <c r="A628" s="80">
        <f t="shared" si="9"/>
        <v>627</v>
      </c>
      <c r="B628" s="10">
        <v>45972.566307870402</v>
      </c>
      <c r="C628" s="13" t="s">
        <v>563</v>
      </c>
      <c r="D628" s="80" t="s">
        <v>3372</v>
      </c>
      <c r="E628" s="80" t="s">
        <v>3373</v>
      </c>
      <c r="F628" s="80" t="s">
        <v>3374</v>
      </c>
      <c r="G628" s="80" t="s">
        <v>3375</v>
      </c>
      <c r="H628" s="80" t="s">
        <v>115</v>
      </c>
      <c r="I628" s="80" t="s">
        <v>237</v>
      </c>
      <c r="J628" s="80" t="s">
        <v>117</v>
      </c>
      <c r="K628" s="80">
        <v>1</v>
      </c>
      <c r="L628" s="80" t="s">
        <v>3376</v>
      </c>
      <c r="M628" s="80" t="s">
        <v>3377</v>
      </c>
      <c r="N628" s="80" t="s">
        <v>120</v>
      </c>
      <c r="O628" s="80" t="s">
        <v>152</v>
      </c>
      <c r="P628" s="80" t="s">
        <v>135</v>
      </c>
      <c r="Q628" s="80" t="s">
        <v>123</v>
      </c>
      <c r="R628" s="80" t="s">
        <v>136</v>
      </c>
      <c r="S628" s="80">
        <v>3</v>
      </c>
      <c r="T628" s="80">
        <v>12</v>
      </c>
      <c r="U628" s="80" t="s">
        <v>565</v>
      </c>
      <c r="V628" s="80" t="s">
        <v>126</v>
      </c>
      <c r="W628" s="80" t="s">
        <v>127</v>
      </c>
      <c r="X628" s="80"/>
      <c r="Y628" s="80"/>
    </row>
    <row r="629" spans="1:25">
      <c r="A629" s="80">
        <f t="shared" si="9"/>
        <v>628</v>
      </c>
      <c r="B629" s="10">
        <v>45972.566400463002</v>
      </c>
      <c r="C629" s="13" t="s">
        <v>604</v>
      </c>
      <c r="D629" s="80" t="s">
        <v>3378</v>
      </c>
      <c r="E629" s="80" t="s">
        <v>3373</v>
      </c>
      <c r="F629" s="80" t="s">
        <v>3374</v>
      </c>
      <c r="G629" s="80" t="s">
        <v>3375</v>
      </c>
      <c r="H629" s="80" t="s">
        <v>115</v>
      </c>
      <c r="I629" s="80" t="s">
        <v>237</v>
      </c>
      <c r="J629" s="80" t="s">
        <v>117</v>
      </c>
      <c r="K629" s="80">
        <v>1</v>
      </c>
      <c r="L629" s="80" t="s">
        <v>3376</v>
      </c>
      <c r="M629" s="80" t="s">
        <v>3377</v>
      </c>
      <c r="N629" s="80" t="s">
        <v>120</v>
      </c>
      <c r="O629" s="80" t="s">
        <v>152</v>
      </c>
      <c r="P629" s="80" t="s">
        <v>135</v>
      </c>
      <c r="Q629" s="80" t="s">
        <v>123</v>
      </c>
      <c r="R629" s="80" t="s">
        <v>136</v>
      </c>
      <c r="S629" s="80">
        <v>3</v>
      </c>
      <c r="T629" s="80">
        <v>12</v>
      </c>
      <c r="U629" s="80" t="s">
        <v>613</v>
      </c>
      <c r="V629" s="80" t="s">
        <v>126</v>
      </c>
      <c r="W629" s="80" t="s">
        <v>127</v>
      </c>
      <c r="X629" s="80"/>
      <c r="Y629" s="80"/>
    </row>
    <row r="630" spans="1:25">
      <c r="A630" s="80">
        <f t="shared" si="9"/>
        <v>629</v>
      </c>
      <c r="B630" s="10">
        <v>45972.567152777803</v>
      </c>
      <c r="C630" s="13" t="s">
        <v>880</v>
      </c>
      <c r="D630" s="80" t="s">
        <v>3379</v>
      </c>
      <c r="E630" s="80" t="s">
        <v>3380</v>
      </c>
      <c r="F630" s="80" t="s">
        <v>3381</v>
      </c>
      <c r="G630" s="80" t="s">
        <v>3382</v>
      </c>
      <c r="H630" s="80" t="s">
        <v>115</v>
      </c>
      <c r="I630" s="80" t="s">
        <v>1410</v>
      </c>
      <c r="J630" s="80" t="s">
        <v>117</v>
      </c>
      <c r="K630" s="80">
        <v>12</v>
      </c>
      <c r="L630" s="80" t="s">
        <v>3383</v>
      </c>
      <c r="M630" s="80" t="s">
        <v>3384</v>
      </c>
      <c r="N630" s="80" t="s">
        <v>120</v>
      </c>
      <c r="O630" s="80" t="s">
        <v>152</v>
      </c>
      <c r="P630" s="80" t="s">
        <v>135</v>
      </c>
      <c r="Q630" s="80" t="s">
        <v>123</v>
      </c>
      <c r="R630" s="80" t="s">
        <v>174</v>
      </c>
      <c r="S630" s="80">
        <v>11</v>
      </c>
      <c r="T630" s="80">
        <v>12</v>
      </c>
      <c r="U630" s="80" t="s">
        <v>882</v>
      </c>
      <c r="V630" s="80" t="s">
        <v>126</v>
      </c>
      <c r="W630" s="80" t="s">
        <v>127</v>
      </c>
      <c r="X630" s="80"/>
      <c r="Y630" s="80"/>
    </row>
    <row r="631" spans="1:25">
      <c r="A631" s="80">
        <f t="shared" si="9"/>
        <v>630</v>
      </c>
      <c r="B631" s="10">
        <v>45972.573518518497</v>
      </c>
      <c r="C631" s="13" t="s">
        <v>456</v>
      </c>
      <c r="D631" s="80" t="s">
        <v>3385</v>
      </c>
      <c r="E631" s="80" t="s">
        <v>2265</v>
      </c>
      <c r="F631" s="80" t="s">
        <v>2266</v>
      </c>
      <c r="G631" s="80" t="s">
        <v>2267</v>
      </c>
      <c r="H631" s="80" t="s">
        <v>115</v>
      </c>
      <c r="I631" s="80" t="s">
        <v>275</v>
      </c>
      <c r="J631" s="80" t="s">
        <v>149</v>
      </c>
      <c r="K631" s="80">
        <v>12</v>
      </c>
      <c r="L631" s="80" t="s">
        <v>2268</v>
      </c>
      <c r="M631" s="80" t="s">
        <v>2269</v>
      </c>
      <c r="N631" s="80" t="s">
        <v>120</v>
      </c>
      <c r="O631" s="80" t="s">
        <v>152</v>
      </c>
      <c r="P631" s="80" t="s">
        <v>135</v>
      </c>
      <c r="Q631" s="80" t="s">
        <v>123</v>
      </c>
      <c r="R631" s="80" t="s">
        <v>174</v>
      </c>
      <c r="S631" s="80">
        <v>12</v>
      </c>
      <c r="T631" s="80">
        <v>18</v>
      </c>
      <c r="U631" s="80" t="s">
        <v>466</v>
      </c>
      <c r="V631" s="80" t="s">
        <v>126</v>
      </c>
      <c r="W631" s="80" t="s">
        <v>127</v>
      </c>
      <c r="X631" s="80"/>
      <c r="Y631" s="80"/>
    </row>
    <row r="632" spans="1:25">
      <c r="A632" s="80">
        <f t="shared" si="9"/>
        <v>631</v>
      </c>
      <c r="B632" s="10">
        <v>45972.574803240699</v>
      </c>
      <c r="C632" s="13" t="s">
        <v>280</v>
      </c>
      <c r="D632" s="80" t="s">
        <v>3386</v>
      </c>
      <c r="E632" s="80" t="s">
        <v>2265</v>
      </c>
      <c r="F632" s="80" t="s">
        <v>2266</v>
      </c>
      <c r="G632" s="80" t="s">
        <v>2267</v>
      </c>
      <c r="H632" s="80" t="s">
        <v>115</v>
      </c>
      <c r="I632" s="80" t="s">
        <v>275</v>
      </c>
      <c r="J632" s="80" t="s">
        <v>149</v>
      </c>
      <c r="K632" s="80">
        <v>12</v>
      </c>
      <c r="L632" s="80" t="s">
        <v>2268</v>
      </c>
      <c r="M632" s="80" t="s">
        <v>2269</v>
      </c>
      <c r="N632" s="80" t="s">
        <v>120</v>
      </c>
      <c r="O632" s="80" t="s">
        <v>152</v>
      </c>
      <c r="P632" s="80" t="s">
        <v>135</v>
      </c>
      <c r="Q632" s="80" t="s">
        <v>123</v>
      </c>
      <c r="R632" s="80" t="s">
        <v>174</v>
      </c>
      <c r="S632" s="80">
        <v>12</v>
      </c>
      <c r="T632" s="80">
        <v>18</v>
      </c>
      <c r="U632" s="80" t="s">
        <v>288</v>
      </c>
      <c r="V632" s="80" t="s">
        <v>126</v>
      </c>
      <c r="W632" s="80" t="s">
        <v>127</v>
      </c>
      <c r="X632" s="80"/>
      <c r="Y632" s="80"/>
    </row>
    <row r="633" spans="1:25">
      <c r="A633" s="80">
        <f t="shared" si="9"/>
        <v>632</v>
      </c>
      <c r="B633" s="10">
        <v>45972.578275462998</v>
      </c>
      <c r="C633" s="13" t="s">
        <v>222</v>
      </c>
      <c r="D633" s="80" t="s">
        <v>3387</v>
      </c>
      <c r="E633" s="80" t="s">
        <v>2183</v>
      </c>
      <c r="F633" s="80" t="s">
        <v>2184</v>
      </c>
      <c r="G633" s="80" t="s">
        <v>2185</v>
      </c>
      <c r="H633" s="80" t="s">
        <v>115</v>
      </c>
      <c r="I633" s="80" t="s">
        <v>918</v>
      </c>
      <c r="J633" s="80" t="s">
        <v>117</v>
      </c>
      <c r="K633" s="80">
        <v>9</v>
      </c>
      <c r="L633" s="80" t="s">
        <v>2186</v>
      </c>
      <c r="M633" s="80" t="s">
        <v>2187</v>
      </c>
      <c r="N633" s="80" t="s">
        <v>120</v>
      </c>
      <c r="O633" s="80" t="s">
        <v>121</v>
      </c>
      <c r="P633" s="80" t="s">
        <v>135</v>
      </c>
      <c r="Q633" s="80" t="s">
        <v>123</v>
      </c>
      <c r="R633" s="80" t="s">
        <v>174</v>
      </c>
      <c r="S633" s="80">
        <v>6</v>
      </c>
      <c r="T633" s="80">
        <v>18</v>
      </c>
      <c r="U633" s="80" t="s">
        <v>232</v>
      </c>
      <c r="V633" s="80" t="s">
        <v>126</v>
      </c>
      <c r="W633" s="80" t="s">
        <v>127</v>
      </c>
      <c r="X633" s="80"/>
      <c r="Y633" s="80"/>
    </row>
    <row r="634" spans="1:25">
      <c r="A634" s="80">
        <f t="shared" si="9"/>
        <v>633</v>
      </c>
      <c r="B634" s="10">
        <v>45972.578900462999</v>
      </c>
      <c r="C634" s="13" t="s">
        <v>359</v>
      </c>
      <c r="D634" s="80" t="s">
        <v>3388</v>
      </c>
      <c r="E634" s="80" t="s">
        <v>3389</v>
      </c>
      <c r="F634" s="80" t="s">
        <v>3390</v>
      </c>
      <c r="G634" s="80" t="s">
        <v>3391</v>
      </c>
      <c r="H634" s="80" t="s">
        <v>115</v>
      </c>
      <c r="I634" s="80" t="s">
        <v>865</v>
      </c>
      <c r="J634" s="80" t="s">
        <v>117</v>
      </c>
      <c r="K634" s="80">
        <v>13</v>
      </c>
      <c r="L634" s="80" t="s">
        <v>3392</v>
      </c>
      <c r="M634" s="80" t="s">
        <v>3393</v>
      </c>
      <c r="N634" s="80" t="s">
        <v>120</v>
      </c>
      <c r="O634" s="80" t="s">
        <v>152</v>
      </c>
      <c r="P634" s="80" t="s">
        <v>304</v>
      </c>
      <c r="Q634" s="80" t="s">
        <v>123</v>
      </c>
      <c r="R634" s="80" t="s">
        <v>124</v>
      </c>
      <c r="S634" s="80">
        <v>8</v>
      </c>
      <c r="T634" s="80">
        <v>12</v>
      </c>
      <c r="U634" s="80" t="s">
        <v>361</v>
      </c>
      <c r="V634" s="80" t="s">
        <v>126</v>
      </c>
      <c r="W634" s="80" t="s">
        <v>127</v>
      </c>
      <c r="X634" s="80"/>
      <c r="Y634" s="80"/>
    </row>
    <row r="635" spans="1:25">
      <c r="A635" s="80">
        <f t="shared" si="9"/>
        <v>634</v>
      </c>
      <c r="B635" s="10">
        <v>45972.583854166704</v>
      </c>
      <c r="C635" s="13" t="s">
        <v>329</v>
      </c>
      <c r="D635" s="80" t="s">
        <v>3394</v>
      </c>
      <c r="E635" s="80" t="s">
        <v>3395</v>
      </c>
      <c r="F635" s="80" t="s">
        <v>3396</v>
      </c>
      <c r="G635" s="80" t="s">
        <v>3397</v>
      </c>
      <c r="H635" s="80" t="s">
        <v>115</v>
      </c>
      <c r="I635" s="80" t="s">
        <v>865</v>
      </c>
      <c r="J635" s="80" t="s">
        <v>149</v>
      </c>
      <c r="K635" s="80">
        <v>16</v>
      </c>
      <c r="L635" s="80" t="s">
        <v>3398</v>
      </c>
      <c r="M635" s="80" t="s">
        <v>3399</v>
      </c>
      <c r="N635" s="80" t="s">
        <v>120</v>
      </c>
      <c r="O635" s="80" t="s">
        <v>247</v>
      </c>
      <c r="P635" s="80" t="s">
        <v>701</v>
      </c>
      <c r="Q635" s="80" t="s">
        <v>123</v>
      </c>
      <c r="R635" s="80" t="s">
        <v>174</v>
      </c>
      <c r="S635" s="80">
        <v>1</v>
      </c>
      <c r="T635" s="80">
        <v>12</v>
      </c>
      <c r="U635" s="80" t="s">
        <v>336</v>
      </c>
      <c r="V635" s="80" t="s">
        <v>126</v>
      </c>
      <c r="W635" s="80" t="s">
        <v>127</v>
      </c>
      <c r="X635" s="80"/>
      <c r="Y635" s="80"/>
    </row>
    <row r="636" spans="1:25">
      <c r="A636" s="80">
        <f t="shared" si="9"/>
        <v>635</v>
      </c>
      <c r="B636" s="10">
        <v>45972.584513888898</v>
      </c>
      <c r="C636" s="13" t="s">
        <v>222</v>
      </c>
      <c r="D636" s="80" t="s">
        <v>3400</v>
      </c>
      <c r="E636" s="80" t="s">
        <v>3401</v>
      </c>
      <c r="F636" s="80" t="s">
        <v>3402</v>
      </c>
      <c r="G636" s="80" t="s">
        <v>3403</v>
      </c>
      <c r="H636" s="80" t="s">
        <v>184</v>
      </c>
      <c r="I636" s="80" t="s">
        <v>49</v>
      </c>
      <c r="J636" s="80" t="s">
        <v>149</v>
      </c>
      <c r="K636" s="80">
        <v>18</v>
      </c>
      <c r="L636" s="80" t="s">
        <v>3404</v>
      </c>
      <c r="M636" s="80" t="s">
        <v>3405</v>
      </c>
      <c r="N636" s="80" t="s">
        <v>120</v>
      </c>
      <c r="O636" s="80" t="s">
        <v>121</v>
      </c>
      <c r="P636" s="80" t="s">
        <v>178</v>
      </c>
      <c r="Q636" s="80" t="s">
        <v>123</v>
      </c>
      <c r="R636" s="80" t="s">
        <v>136</v>
      </c>
      <c r="S636" s="80">
        <v>3</v>
      </c>
      <c r="T636" s="80">
        <v>18</v>
      </c>
      <c r="U636" s="80" t="s">
        <v>232</v>
      </c>
      <c r="V636" s="80" t="s">
        <v>126</v>
      </c>
      <c r="W636" s="80" t="s">
        <v>1770</v>
      </c>
      <c r="X636" s="80"/>
      <c r="Y636" s="80"/>
    </row>
    <row r="637" spans="1:25">
      <c r="A637" s="80">
        <f t="shared" si="9"/>
        <v>636</v>
      </c>
      <c r="B637" s="10">
        <v>45972.5851736111</v>
      </c>
      <c r="C637" s="13" t="s">
        <v>359</v>
      </c>
      <c r="D637" s="80" t="s">
        <v>3406</v>
      </c>
      <c r="E637" s="80" t="s">
        <v>3407</v>
      </c>
      <c r="F637" s="80" t="s">
        <v>3408</v>
      </c>
      <c r="G637" s="80" t="s">
        <v>3409</v>
      </c>
      <c r="H637" s="80" t="s">
        <v>115</v>
      </c>
      <c r="I637" s="80" t="s">
        <v>275</v>
      </c>
      <c r="J637" s="80" t="s">
        <v>117</v>
      </c>
      <c r="K637" s="80">
        <v>24</v>
      </c>
      <c r="L637" s="80" t="s">
        <v>3410</v>
      </c>
      <c r="M637" s="80" t="s">
        <v>3411</v>
      </c>
      <c r="N637" s="80" t="s">
        <v>164</v>
      </c>
      <c r="O637" s="80" t="s">
        <v>3412</v>
      </c>
      <c r="P637" s="80" t="s">
        <v>135</v>
      </c>
      <c r="Q637" s="80" t="s">
        <v>123</v>
      </c>
      <c r="R637" s="80" t="s">
        <v>174</v>
      </c>
      <c r="S637" s="80">
        <v>6</v>
      </c>
      <c r="T637" s="80">
        <v>24</v>
      </c>
      <c r="U637" s="80" t="s">
        <v>361</v>
      </c>
      <c r="V637" s="80" t="s">
        <v>126</v>
      </c>
      <c r="W637" s="80" t="s">
        <v>127</v>
      </c>
      <c r="X637" s="80"/>
      <c r="Y637" s="80"/>
    </row>
    <row r="638" spans="1:25">
      <c r="A638" s="80">
        <f t="shared" si="9"/>
        <v>637</v>
      </c>
      <c r="B638" s="10">
        <v>45972.585243055597</v>
      </c>
      <c r="C638" s="13" t="s">
        <v>840</v>
      </c>
      <c r="D638" s="80" t="s">
        <v>3413</v>
      </c>
      <c r="E638" s="80" t="s">
        <v>3414</v>
      </c>
      <c r="F638" s="80" t="s">
        <v>3415</v>
      </c>
      <c r="G638" s="80" t="s">
        <v>3416</v>
      </c>
      <c r="H638" s="80" t="s">
        <v>115</v>
      </c>
      <c r="I638" s="80" t="s">
        <v>865</v>
      </c>
      <c r="J638" s="80" t="s">
        <v>117</v>
      </c>
      <c r="K638" s="80">
        <v>8</v>
      </c>
      <c r="L638" s="80" t="s">
        <v>3417</v>
      </c>
      <c r="M638" s="80" t="s">
        <v>3418</v>
      </c>
      <c r="N638" s="80" t="s">
        <v>120</v>
      </c>
      <c r="O638" s="80" t="s">
        <v>152</v>
      </c>
      <c r="P638" s="80" t="s">
        <v>135</v>
      </c>
      <c r="Q638" s="80" t="s">
        <v>123</v>
      </c>
      <c r="R638" s="80" t="s">
        <v>174</v>
      </c>
      <c r="S638" s="80">
        <v>19</v>
      </c>
      <c r="T638" s="80">
        <v>24</v>
      </c>
      <c r="U638" s="80" t="s">
        <v>843</v>
      </c>
      <c r="V638" s="80" t="s">
        <v>126</v>
      </c>
      <c r="W638" s="80" t="s">
        <v>127</v>
      </c>
      <c r="X638" s="80"/>
      <c r="Y638" s="80"/>
    </row>
    <row r="639" spans="1:25">
      <c r="A639" s="80">
        <f t="shared" si="9"/>
        <v>638</v>
      </c>
      <c r="B639" s="10">
        <v>45972.585335648102</v>
      </c>
      <c r="C639" s="13" t="s">
        <v>362</v>
      </c>
      <c r="D639" s="80" t="s">
        <v>3419</v>
      </c>
      <c r="E639" s="80" t="s">
        <v>3389</v>
      </c>
      <c r="F639" s="80" t="s">
        <v>3390</v>
      </c>
      <c r="G639" s="80" t="s">
        <v>3391</v>
      </c>
      <c r="H639" s="80" t="s">
        <v>115</v>
      </c>
      <c r="I639" s="80" t="s">
        <v>865</v>
      </c>
      <c r="J639" s="80" t="s">
        <v>117</v>
      </c>
      <c r="K639" s="80">
        <v>13</v>
      </c>
      <c r="L639" s="80" t="s">
        <v>3392</v>
      </c>
      <c r="M639" s="80" t="s">
        <v>3393</v>
      </c>
      <c r="N639" s="80" t="s">
        <v>120</v>
      </c>
      <c r="O639" s="80" t="s">
        <v>152</v>
      </c>
      <c r="P639" s="80" t="s">
        <v>304</v>
      </c>
      <c r="Q639" s="80" t="s">
        <v>123</v>
      </c>
      <c r="R639" s="80" t="s">
        <v>124</v>
      </c>
      <c r="S639" s="80">
        <v>8</v>
      </c>
      <c r="T639" s="80">
        <v>12</v>
      </c>
      <c r="U639" s="80" t="s">
        <v>364</v>
      </c>
      <c r="V639" s="80" t="s">
        <v>126</v>
      </c>
      <c r="W639" s="80" t="s">
        <v>127</v>
      </c>
      <c r="X639" s="80"/>
      <c r="Y639" s="80"/>
    </row>
    <row r="640" spans="1:25">
      <c r="A640" s="80">
        <f t="shared" si="9"/>
        <v>639</v>
      </c>
      <c r="B640" s="10">
        <v>45972.585347222201</v>
      </c>
      <c r="C640" s="13" t="s">
        <v>563</v>
      </c>
      <c r="D640" s="80" t="s">
        <v>3420</v>
      </c>
      <c r="E640" s="80" t="s">
        <v>3389</v>
      </c>
      <c r="F640" s="80" t="s">
        <v>3390</v>
      </c>
      <c r="G640" s="80" t="s">
        <v>3391</v>
      </c>
      <c r="H640" s="80" t="s">
        <v>115</v>
      </c>
      <c r="I640" s="80" t="s">
        <v>865</v>
      </c>
      <c r="J640" s="80" t="s">
        <v>117</v>
      </c>
      <c r="K640" s="80">
        <v>13</v>
      </c>
      <c r="L640" s="80" t="s">
        <v>3392</v>
      </c>
      <c r="M640" s="80" t="s">
        <v>3393</v>
      </c>
      <c r="N640" s="80" t="s">
        <v>120</v>
      </c>
      <c r="O640" s="80" t="s">
        <v>152</v>
      </c>
      <c r="P640" s="80" t="s">
        <v>304</v>
      </c>
      <c r="Q640" s="80" t="s">
        <v>123</v>
      </c>
      <c r="R640" s="80" t="s">
        <v>124</v>
      </c>
      <c r="S640" s="80">
        <v>8</v>
      </c>
      <c r="T640" s="80">
        <v>12</v>
      </c>
      <c r="U640" s="80" t="s">
        <v>565</v>
      </c>
      <c r="V640" s="80" t="s">
        <v>126</v>
      </c>
      <c r="W640" s="80" t="s">
        <v>127</v>
      </c>
      <c r="X640" s="80"/>
      <c r="Y640" s="80"/>
    </row>
    <row r="641" spans="1:25">
      <c r="A641" s="80">
        <f t="shared" si="9"/>
        <v>640</v>
      </c>
      <c r="B641" s="10">
        <v>45972.5870138889</v>
      </c>
      <c r="C641" s="13" t="s">
        <v>157</v>
      </c>
      <c r="D641" s="80" t="s">
        <v>3421</v>
      </c>
      <c r="E641" s="80" t="s">
        <v>3422</v>
      </c>
      <c r="F641" s="80" t="s">
        <v>3423</v>
      </c>
      <c r="G641" s="80" t="s">
        <v>3424</v>
      </c>
      <c r="H641" s="80" t="s">
        <v>210</v>
      </c>
      <c r="I641" s="80" t="s">
        <v>44</v>
      </c>
      <c r="J641" s="80" t="s">
        <v>149</v>
      </c>
      <c r="K641" s="80">
        <v>7</v>
      </c>
      <c r="L641" s="80" t="s">
        <v>3425</v>
      </c>
      <c r="M641" s="80" t="s">
        <v>3426</v>
      </c>
      <c r="N641" s="80" t="s">
        <v>120</v>
      </c>
      <c r="O641" s="80" t="s">
        <v>152</v>
      </c>
      <c r="P641" s="80" t="s">
        <v>135</v>
      </c>
      <c r="Q641" s="80" t="s">
        <v>123</v>
      </c>
      <c r="R641" s="80" t="s">
        <v>215</v>
      </c>
      <c r="S641" s="80">
        <v>16</v>
      </c>
      <c r="T641" s="80">
        <v>18</v>
      </c>
      <c r="U641" s="80" t="s">
        <v>167</v>
      </c>
      <c r="V641" s="80" t="s">
        <v>126</v>
      </c>
      <c r="W641" s="80" t="s">
        <v>127</v>
      </c>
      <c r="X641" s="80"/>
      <c r="Y641" s="80"/>
    </row>
    <row r="642" spans="1:25">
      <c r="A642" s="80">
        <f t="shared" si="9"/>
        <v>641</v>
      </c>
      <c r="B642" s="10">
        <v>45972.587731481501</v>
      </c>
      <c r="C642" s="13" t="s">
        <v>840</v>
      </c>
      <c r="D642" s="80" t="s">
        <v>3427</v>
      </c>
      <c r="E642" s="80" t="s">
        <v>3428</v>
      </c>
      <c r="F642" s="80" t="s">
        <v>3429</v>
      </c>
      <c r="G642" s="80" t="s">
        <v>3430</v>
      </c>
      <c r="H642" s="80" t="s">
        <v>174</v>
      </c>
      <c r="I642" s="80" t="s">
        <v>173</v>
      </c>
      <c r="J642" s="80" t="s">
        <v>149</v>
      </c>
      <c r="K642" s="80">
        <v>1</v>
      </c>
      <c r="L642" s="80" t="s">
        <v>3431</v>
      </c>
      <c r="M642" s="80" t="s">
        <v>3432</v>
      </c>
      <c r="N642" s="80" t="s">
        <v>164</v>
      </c>
      <c r="O642" s="80" t="s">
        <v>202</v>
      </c>
      <c r="P642" s="80" t="s">
        <v>178</v>
      </c>
      <c r="Q642" s="80" t="s">
        <v>123</v>
      </c>
      <c r="R642" s="80" t="s">
        <v>174</v>
      </c>
      <c r="S642" s="80">
        <v>1</v>
      </c>
      <c r="T642" s="80">
        <v>24</v>
      </c>
      <c r="U642" s="80" t="s">
        <v>843</v>
      </c>
      <c r="V642" s="80" t="s">
        <v>126</v>
      </c>
      <c r="W642" s="80" t="s">
        <v>127</v>
      </c>
      <c r="X642" s="80"/>
      <c r="Y642" s="80"/>
    </row>
    <row r="643" spans="1:25">
      <c r="A643" s="80">
        <f t="shared" si="9"/>
        <v>642</v>
      </c>
      <c r="B643" s="10">
        <v>45972.589317129597</v>
      </c>
      <c r="C643" s="13" t="s">
        <v>840</v>
      </c>
      <c r="D643" s="80" t="s">
        <v>3433</v>
      </c>
      <c r="E643" s="80" t="s">
        <v>3434</v>
      </c>
      <c r="F643" s="80" t="s">
        <v>3435</v>
      </c>
      <c r="G643" s="80" t="s">
        <v>3436</v>
      </c>
      <c r="H643" s="80" t="s">
        <v>115</v>
      </c>
      <c r="I643" s="80" t="s">
        <v>1069</v>
      </c>
      <c r="J643" s="80" t="s">
        <v>149</v>
      </c>
      <c r="K643" s="80">
        <v>25</v>
      </c>
      <c r="L643" s="80" t="s">
        <v>3437</v>
      </c>
      <c r="M643" s="80" t="s">
        <v>3438</v>
      </c>
      <c r="N643" s="80" t="s">
        <v>120</v>
      </c>
      <c r="O643" s="80" t="s">
        <v>240</v>
      </c>
      <c r="P643" s="80" t="s">
        <v>295</v>
      </c>
      <c r="Q643" s="80" t="s">
        <v>123</v>
      </c>
      <c r="R643" s="80" t="s">
        <v>174</v>
      </c>
      <c r="S643" s="80">
        <v>2</v>
      </c>
      <c r="T643" s="80">
        <v>24</v>
      </c>
      <c r="U643" s="80" t="s">
        <v>843</v>
      </c>
      <c r="V643" s="80" t="s">
        <v>126</v>
      </c>
      <c r="W643" s="80" t="s">
        <v>127</v>
      </c>
      <c r="X643" s="80"/>
      <c r="Y643" s="80"/>
    </row>
    <row r="644" spans="1:25">
      <c r="A644" s="80">
        <f t="shared" ref="A644:A707" si="10">A643+1</f>
        <v>643</v>
      </c>
      <c r="B644" s="10">
        <v>45972.589398148099</v>
      </c>
      <c r="C644" s="13" t="s">
        <v>2004</v>
      </c>
      <c r="D644" s="80" t="s">
        <v>3439</v>
      </c>
      <c r="E644" s="80" t="s">
        <v>3021</v>
      </c>
      <c r="F644" s="80" t="s">
        <v>3022</v>
      </c>
      <c r="G644" s="80" t="s">
        <v>3023</v>
      </c>
      <c r="H644" s="80" t="s">
        <v>115</v>
      </c>
      <c r="I644" s="80" t="s">
        <v>955</v>
      </c>
      <c r="J644" s="80" t="s">
        <v>117</v>
      </c>
      <c r="K644" s="80">
        <v>7</v>
      </c>
      <c r="L644" s="80" t="s">
        <v>3024</v>
      </c>
      <c r="M644" s="80" t="s">
        <v>3025</v>
      </c>
      <c r="N644" s="80" t="s">
        <v>120</v>
      </c>
      <c r="O644" s="80" t="s">
        <v>247</v>
      </c>
      <c r="P644" s="80" t="s">
        <v>612</v>
      </c>
      <c r="Q644" s="80" t="s">
        <v>123</v>
      </c>
      <c r="R644" s="80" t="s">
        <v>174</v>
      </c>
      <c r="S644" s="80">
        <v>4</v>
      </c>
      <c r="T644" s="80">
        <v>12</v>
      </c>
      <c r="U644" s="80" t="s">
        <v>2011</v>
      </c>
      <c r="V644" s="80" t="s">
        <v>126</v>
      </c>
      <c r="W644" s="80" t="s">
        <v>127</v>
      </c>
      <c r="X644" s="80"/>
      <c r="Y644" s="80"/>
    </row>
    <row r="645" spans="1:25">
      <c r="A645" s="80">
        <f t="shared" si="10"/>
        <v>644</v>
      </c>
      <c r="B645" s="10">
        <v>45972.590092592603</v>
      </c>
      <c r="C645" s="13" t="s">
        <v>362</v>
      </c>
      <c r="D645" s="80" t="s">
        <v>3440</v>
      </c>
      <c r="E645" s="80" t="s">
        <v>3441</v>
      </c>
      <c r="F645" s="80" t="s">
        <v>3442</v>
      </c>
      <c r="G645" s="80" t="s">
        <v>3443</v>
      </c>
      <c r="H645" s="80" t="s">
        <v>115</v>
      </c>
      <c r="I645" s="80" t="s">
        <v>842</v>
      </c>
      <c r="J645" s="80" t="s">
        <v>461</v>
      </c>
      <c r="K645" s="80">
        <v>16</v>
      </c>
      <c r="L645" s="80" t="s">
        <v>3444</v>
      </c>
      <c r="M645" s="80" t="s">
        <v>3445</v>
      </c>
      <c r="N645" s="80" t="s">
        <v>120</v>
      </c>
      <c r="O645" s="80" t="s">
        <v>213</v>
      </c>
      <c r="P645" s="80" t="s">
        <v>269</v>
      </c>
      <c r="Q645" s="80" t="s">
        <v>123</v>
      </c>
      <c r="R645" s="80" t="s">
        <v>174</v>
      </c>
      <c r="S645" s="80">
        <v>12</v>
      </c>
      <c r="T645" s="80">
        <v>18</v>
      </c>
      <c r="U645" s="80" t="s">
        <v>364</v>
      </c>
      <c r="V645" s="80" t="s">
        <v>126</v>
      </c>
      <c r="W645" s="80" t="s">
        <v>127</v>
      </c>
      <c r="X645" s="80"/>
      <c r="Y645" s="80"/>
    </row>
    <row r="646" spans="1:25">
      <c r="A646" s="80">
        <f t="shared" si="10"/>
        <v>645</v>
      </c>
      <c r="B646" s="10">
        <v>45972.590138888903</v>
      </c>
      <c r="C646" s="13" t="s">
        <v>563</v>
      </c>
      <c r="D646" s="80" t="s">
        <v>3446</v>
      </c>
      <c r="E646" s="80" t="s">
        <v>3441</v>
      </c>
      <c r="F646" s="80" t="s">
        <v>3442</v>
      </c>
      <c r="G646" s="80" t="s">
        <v>3443</v>
      </c>
      <c r="H646" s="80" t="s">
        <v>115</v>
      </c>
      <c r="I646" s="80" t="s">
        <v>842</v>
      </c>
      <c r="J646" s="80" t="s">
        <v>461</v>
      </c>
      <c r="K646" s="80">
        <v>16</v>
      </c>
      <c r="L646" s="80" t="s">
        <v>3444</v>
      </c>
      <c r="M646" s="80" t="s">
        <v>3445</v>
      </c>
      <c r="N646" s="80" t="s">
        <v>120</v>
      </c>
      <c r="O646" s="80" t="s">
        <v>213</v>
      </c>
      <c r="P646" s="80" t="s">
        <v>269</v>
      </c>
      <c r="Q646" s="80" t="s">
        <v>123</v>
      </c>
      <c r="R646" s="80" t="s">
        <v>174</v>
      </c>
      <c r="S646" s="80">
        <v>12</v>
      </c>
      <c r="T646" s="80">
        <v>18</v>
      </c>
      <c r="U646" s="80" t="s">
        <v>565</v>
      </c>
      <c r="V646" s="80" t="s">
        <v>126</v>
      </c>
      <c r="W646" s="80" t="s">
        <v>127</v>
      </c>
      <c r="X646" s="80"/>
      <c r="Y646" s="80"/>
    </row>
    <row r="647" spans="1:25">
      <c r="A647" s="80">
        <f t="shared" si="10"/>
        <v>646</v>
      </c>
      <c r="B647" s="10">
        <v>45972.594432870399</v>
      </c>
      <c r="C647" s="13" t="s">
        <v>840</v>
      </c>
      <c r="D647" s="80" t="s">
        <v>3447</v>
      </c>
      <c r="E647" s="80" t="s">
        <v>3448</v>
      </c>
      <c r="F647" s="80" t="s">
        <v>3449</v>
      </c>
      <c r="G647" s="80" t="s">
        <v>3450</v>
      </c>
      <c r="H647" s="80" t="s">
        <v>115</v>
      </c>
      <c r="I647" s="80" t="s">
        <v>865</v>
      </c>
      <c r="J647" s="80" t="s">
        <v>117</v>
      </c>
      <c r="K647" s="80">
        <v>18</v>
      </c>
      <c r="L647" s="80" t="s">
        <v>3451</v>
      </c>
      <c r="M647" s="80" t="s">
        <v>3452</v>
      </c>
      <c r="N647" s="80" t="s">
        <v>120</v>
      </c>
      <c r="O647" s="80" t="s">
        <v>572</v>
      </c>
      <c r="P647" s="80" t="s">
        <v>287</v>
      </c>
      <c r="Q647" s="80" t="s">
        <v>123</v>
      </c>
      <c r="R647" s="80" t="s">
        <v>174</v>
      </c>
      <c r="S647" s="80">
        <v>5</v>
      </c>
      <c r="T647" s="80">
        <v>12</v>
      </c>
      <c r="U647" s="80" t="s">
        <v>843</v>
      </c>
      <c r="V647" s="80" t="s">
        <v>126</v>
      </c>
      <c r="W647" s="80" t="s">
        <v>127</v>
      </c>
      <c r="X647" s="80"/>
      <c r="Y647" s="80"/>
    </row>
    <row r="648" spans="1:25">
      <c r="A648" s="80">
        <f t="shared" si="10"/>
        <v>647</v>
      </c>
      <c r="B648" s="10">
        <v>45972.597824074102</v>
      </c>
      <c r="C648" s="13" t="s">
        <v>604</v>
      </c>
      <c r="D648" s="80" t="s">
        <v>3453</v>
      </c>
      <c r="E648" s="80" t="s">
        <v>2656</v>
      </c>
      <c r="F648" s="80" t="s">
        <v>2657</v>
      </c>
      <c r="G648" s="80" t="s">
        <v>2658</v>
      </c>
      <c r="H648" s="80" t="s">
        <v>115</v>
      </c>
      <c r="I648" s="80" t="s">
        <v>865</v>
      </c>
      <c r="J648" s="80" t="s">
        <v>149</v>
      </c>
      <c r="K648" s="80">
        <v>11</v>
      </c>
      <c r="L648" s="80" t="s">
        <v>2659</v>
      </c>
      <c r="M648" s="80" t="s">
        <v>2660</v>
      </c>
      <c r="N648" s="80" t="s">
        <v>120</v>
      </c>
      <c r="O648" s="80" t="s">
        <v>240</v>
      </c>
      <c r="P648" s="80" t="s">
        <v>135</v>
      </c>
      <c r="Q648" s="80" t="s">
        <v>123</v>
      </c>
      <c r="R648" s="80" t="s">
        <v>174</v>
      </c>
      <c r="S648" s="80">
        <v>1</v>
      </c>
      <c r="T648" s="80">
        <v>18</v>
      </c>
      <c r="U648" s="80" t="s">
        <v>613</v>
      </c>
      <c r="V648" s="80" t="s">
        <v>126</v>
      </c>
      <c r="W648" s="80" t="s">
        <v>127</v>
      </c>
      <c r="X648" s="80"/>
      <c r="Y648" s="80"/>
    </row>
    <row r="649" spans="1:25">
      <c r="A649" s="80">
        <f t="shared" si="10"/>
        <v>648</v>
      </c>
      <c r="B649" s="10">
        <v>45972.6004861111</v>
      </c>
      <c r="C649" s="13" t="s">
        <v>280</v>
      </c>
      <c r="D649" s="80" t="s">
        <v>3454</v>
      </c>
      <c r="E649" s="80" t="s">
        <v>3455</v>
      </c>
      <c r="F649" s="80" t="s">
        <v>3456</v>
      </c>
      <c r="G649" s="80" t="s">
        <v>3457</v>
      </c>
      <c r="H649" s="80" t="s">
        <v>115</v>
      </c>
      <c r="I649" s="80" t="s">
        <v>865</v>
      </c>
      <c r="J649" s="80" t="s">
        <v>149</v>
      </c>
      <c r="K649" s="80">
        <v>20</v>
      </c>
      <c r="L649" s="80" t="s">
        <v>3458</v>
      </c>
      <c r="M649" s="80" t="s">
        <v>3459</v>
      </c>
      <c r="N649" s="80" t="s">
        <v>164</v>
      </c>
      <c r="O649" s="80" t="s">
        <v>3141</v>
      </c>
      <c r="P649" s="80" t="s">
        <v>214</v>
      </c>
      <c r="Q649" s="80" t="s">
        <v>123</v>
      </c>
      <c r="R649" s="80" t="s">
        <v>124</v>
      </c>
      <c r="S649" s="80">
        <v>1</v>
      </c>
      <c r="T649" s="80">
        <v>18</v>
      </c>
      <c r="U649" s="80" t="s">
        <v>288</v>
      </c>
      <c r="V649" s="80" t="s">
        <v>126</v>
      </c>
      <c r="W649" s="80" t="s">
        <v>127</v>
      </c>
      <c r="X649" s="80"/>
      <c r="Y649" s="80"/>
    </row>
    <row r="650" spans="1:25">
      <c r="A650" s="80">
        <f t="shared" si="10"/>
        <v>649</v>
      </c>
      <c r="B650" s="10">
        <v>45972.601053240702</v>
      </c>
      <c r="C650" s="13" t="s">
        <v>604</v>
      </c>
      <c r="D650" s="80" t="s">
        <v>3460</v>
      </c>
      <c r="E650" s="80" t="s">
        <v>3461</v>
      </c>
      <c r="F650" s="80" t="s">
        <v>19</v>
      </c>
      <c r="G650" s="80" t="s">
        <v>3462</v>
      </c>
      <c r="H650" s="80" t="s">
        <v>174</v>
      </c>
      <c r="I650" s="80" t="s">
        <v>173</v>
      </c>
      <c r="J650" s="80" t="s">
        <v>149</v>
      </c>
      <c r="K650" s="80">
        <v>5</v>
      </c>
      <c r="L650" s="80" t="s">
        <v>3463</v>
      </c>
      <c r="M650" s="80" t="s">
        <v>3464</v>
      </c>
      <c r="N650" s="80" t="s">
        <v>120</v>
      </c>
      <c r="O650" s="80" t="s">
        <v>327</v>
      </c>
      <c r="P650" s="80" t="s">
        <v>135</v>
      </c>
      <c r="Q650" s="80" t="s">
        <v>123</v>
      </c>
      <c r="R650" s="80" t="s">
        <v>174</v>
      </c>
      <c r="S650" s="80">
        <v>1</v>
      </c>
      <c r="T650" s="80">
        <v>12</v>
      </c>
      <c r="U650" s="80" t="s">
        <v>613</v>
      </c>
      <c r="V650" s="80" t="s">
        <v>126</v>
      </c>
      <c r="W650" s="80" t="s">
        <v>127</v>
      </c>
      <c r="X650" s="80"/>
      <c r="Y650" s="80"/>
    </row>
    <row r="651" spans="1:25">
      <c r="A651" s="80">
        <f t="shared" si="10"/>
        <v>650</v>
      </c>
      <c r="B651" s="10">
        <v>45972.610486111102</v>
      </c>
      <c r="C651" s="13" t="s">
        <v>840</v>
      </c>
      <c r="D651" s="80" t="s">
        <v>3465</v>
      </c>
      <c r="E651" s="80" t="s">
        <v>2285</v>
      </c>
      <c r="F651" s="80" t="s">
        <v>2286</v>
      </c>
      <c r="G651" s="80" t="s">
        <v>2287</v>
      </c>
      <c r="H651" s="80" t="s">
        <v>174</v>
      </c>
      <c r="I651" s="80" t="s">
        <v>173</v>
      </c>
      <c r="J651" s="80" t="s">
        <v>149</v>
      </c>
      <c r="K651" s="80">
        <v>14</v>
      </c>
      <c r="L651" s="80" t="s">
        <v>2288</v>
      </c>
      <c r="M651" s="80" t="s">
        <v>2289</v>
      </c>
      <c r="N651" s="80" t="s">
        <v>120</v>
      </c>
      <c r="O651" s="80" t="s">
        <v>121</v>
      </c>
      <c r="P651" s="80" t="s">
        <v>2290</v>
      </c>
      <c r="Q651" s="80" t="s">
        <v>123</v>
      </c>
      <c r="R651" s="80" t="s">
        <v>174</v>
      </c>
      <c r="S651" s="80">
        <v>6</v>
      </c>
      <c r="T651" s="80">
        <v>12</v>
      </c>
      <c r="U651" s="80" t="s">
        <v>843</v>
      </c>
      <c r="V651" s="80" t="s">
        <v>126</v>
      </c>
      <c r="W651" s="80" t="s">
        <v>127</v>
      </c>
      <c r="X651" s="80"/>
      <c r="Y651" s="80"/>
    </row>
    <row r="652" spans="1:25">
      <c r="A652" s="80">
        <f t="shared" si="10"/>
        <v>651</v>
      </c>
      <c r="B652" s="10">
        <v>45972.611527777801</v>
      </c>
      <c r="C652" s="13" t="s">
        <v>880</v>
      </c>
      <c r="D652" s="80" t="s">
        <v>3466</v>
      </c>
      <c r="E652" s="80" t="s">
        <v>3467</v>
      </c>
      <c r="F652" s="80" t="s">
        <v>3468</v>
      </c>
      <c r="G652" s="80" t="s">
        <v>3469</v>
      </c>
      <c r="H652" s="80" t="s">
        <v>115</v>
      </c>
      <c r="I652" s="80" t="s">
        <v>1069</v>
      </c>
      <c r="J652" s="80" t="s">
        <v>117</v>
      </c>
      <c r="K652" s="80">
        <v>26</v>
      </c>
      <c r="L652" s="80" t="s">
        <v>3470</v>
      </c>
      <c r="M652" s="80" t="s">
        <v>3471</v>
      </c>
      <c r="N652" s="80" t="s">
        <v>164</v>
      </c>
      <c r="O652" s="80" t="s">
        <v>406</v>
      </c>
      <c r="P652" s="80" t="s">
        <v>135</v>
      </c>
      <c r="Q652" s="80" t="s">
        <v>123</v>
      </c>
      <c r="R652" s="80" t="s">
        <v>174</v>
      </c>
      <c r="S652" s="80">
        <v>22</v>
      </c>
      <c r="T652" s="80">
        <v>24</v>
      </c>
      <c r="U652" s="80" t="s">
        <v>882</v>
      </c>
      <c r="V652" s="80" t="s">
        <v>126</v>
      </c>
      <c r="W652" s="80" t="s">
        <v>127</v>
      </c>
      <c r="X652" s="80"/>
      <c r="Y652" s="80"/>
    </row>
    <row r="653" spans="1:25">
      <c r="A653" s="80">
        <f t="shared" si="10"/>
        <v>652</v>
      </c>
      <c r="B653" s="10">
        <v>45972.611550925903</v>
      </c>
      <c r="C653" s="13" t="s">
        <v>604</v>
      </c>
      <c r="D653" s="80" t="s">
        <v>3472</v>
      </c>
      <c r="E653" s="80" t="s">
        <v>3467</v>
      </c>
      <c r="F653" s="80" t="s">
        <v>3468</v>
      </c>
      <c r="G653" s="80" t="s">
        <v>3469</v>
      </c>
      <c r="H653" s="80" t="s">
        <v>115</v>
      </c>
      <c r="I653" s="80" t="s">
        <v>1069</v>
      </c>
      <c r="J653" s="80" t="s">
        <v>117</v>
      </c>
      <c r="K653" s="80">
        <v>26</v>
      </c>
      <c r="L653" s="80" t="s">
        <v>3470</v>
      </c>
      <c r="M653" s="80" t="s">
        <v>3471</v>
      </c>
      <c r="N653" s="80" t="s">
        <v>164</v>
      </c>
      <c r="O653" s="80" t="s">
        <v>406</v>
      </c>
      <c r="P653" s="80" t="s">
        <v>135</v>
      </c>
      <c r="Q653" s="80" t="s">
        <v>123</v>
      </c>
      <c r="R653" s="80" t="s">
        <v>174</v>
      </c>
      <c r="S653" s="80">
        <v>22</v>
      </c>
      <c r="T653" s="80">
        <v>24</v>
      </c>
      <c r="U653" s="80" t="s">
        <v>613</v>
      </c>
      <c r="V653" s="80" t="s">
        <v>126</v>
      </c>
      <c r="W653" s="80" t="s">
        <v>127</v>
      </c>
      <c r="X653" s="80"/>
      <c r="Y653" s="80"/>
    </row>
    <row r="654" spans="1:25">
      <c r="A654" s="80">
        <f t="shared" si="10"/>
        <v>653</v>
      </c>
      <c r="B654" s="10">
        <v>45972.612337963001</v>
      </c>
      <c r="C654" s="13" t="s">
        <v>840</v>
      </c>
      <c r="D654" s="80" t="s">
        <v>3473</v>
      </c>
      <c r="E654" s="80" t="s">
        <v>3474</v>
      </c>
      <c r="F654" s="80" t="s">
        <v>3475</v>
      </c>
      <c r="G654" s="80" t="s">
        <v>3476</v>
      </c>
      <c r="H654" s="80" t="s">
        <v>115</v>
      </c>
      <c r="I654" s="80" t="s">
        <v>1410</v>
      </c>
      <c r="J654" s="80" t="s">
        <v>117</v>
      </c>
      <c r="K654" s="80">
        <v>25</v>
      </c>
      <c r="L654" s="80" t="s">
        <v>3477</v>
      </c>
      <c r="M654" s="80" t="s">
        <v>3478</v>
      </c>
      <c r="N654" s="80" t="s">
        <v>517</v>
      </c>
      <c r="O654" s="80" t="s">
        <v>518</v>
      </c>
      <c r="P654" s="80" t="s">
        <v>135</v>
      </c>
      <c r="Q654" s="80" t="s">
        <v>123</v>
      </c>
      <c r="R654" s="80" t="s">
        <v>174</v>
      </c>
      <c r="S654" s="80">
        <v>4</v>
      </c>
      <c r="T654" s="80">
        <v>12</v>
      </c>
      <c r="U654" s="80" t="s">
        <v>843</v>
      </c>
      <c r="V654" s="80" t="s">
        <v>126</v>
      </c>
      <c r="W654" s="80" t="s">
        <v>127</v>
      </c>
      <c r="X654" s="80"/>
      <c r="Y654" s="80"/>
    </row>
    <row r="655" spans="1:25">
      <c r="A655" s="80">
        <f t="shared" si="10"/>
        <v>654</v>
      </c>
      <c r="B655" s="10">
        <v>45972.6124305556</v>
      </c>
      <c r="C655" s="13" t="s">
        <v>563</v>
      </c>
      <c r="D655" s="80" t="s">
        <v>3479</v>
      </c>
      <c r="E655" s="80" t="s">
        <v>3480</v>
      </c>
      <c r="F655" s="80" t="s">
        <v>3481</v>
      </c>
      <c r="G655" s="80" t="s">
        <v>3482</v>
      </c>
      <c r="H655" s="80" t="s">
        <v>1185</v>
      </c>
      <c r="I655" s="80" t="s">
        <v>1186</v>
      </c>
      <c r="J655" s="80" t="s">
        <v>149</v>
      </c>
      <c r="K655" s="80">
        <v>25</v>
      </c>
      <c r="L655" s="80" t="s">
        <v>3483</v>
      </c>
      <c r="M655" s="80" t="s">
        <v>3484</v>
      </c>
      <c r="N655" s="80" t="s">
        <v>120</v>
      </c>
      <c r="O655" s="80" t="s">
        <v>3485</v>
      </c>
      <c r="P655" s="80" t="s">
        <v>3486</v>
      </c>
      <c r="Q655" s="80" t="s">
        <v>123</v>
      </c>
      <c r="R655" s="80" t="s">
        <v>136</v>
      </c>
      <c r="S655" s="80">
        <v>7</v>
      </c>
      <c r="T655" s="80">
        <v>12</v>
      </c>
      <c r="U655" s="80" t="s">
        <v>565</v>
      </c>
      <c r="V655" s="80" t="s">
        <v>126</v>
      </c>
      <c r="W655" s="80" t="s">
        <v>5333</v>
      </c>
      <c r="X655" s="80"/>
      <c r="Y655" s="80"/>
    </row>
    <row r="656" spans="1:25">
      <c r="A656" s="80">
        <f t="shared" si="10"/>
        <v>655</v>
      </c>
      <c r="B656" s="10">
        <v>45972.617627314801</v>
      </c>
      <c r="C656" s="13" t="s">
        <v>320</v>
      </c>
      <c r="D656" s="80" t="s">
        <v>3487</v>
      </c>
      <c r="E656" s="80" t="s">
        <v>3488</v>
      </c>
      <c r="F656" s="80" t="s">
        <v>3489</v>
      </c>
      <c r="G656" s="80" t="s">
        <v>3490</v>
      </c>
      <c r="H656" s="80" t="s">
        <v>115</v>
      </c>
      <c r="I656" s="80" t="s">
        <v>1069</v>
      </c>
      <c r="J656" s="80" t="s">
        <v>117</v>
      </c>
      <c r="K656" s="80">
        <v>25</v>
      </c>
      <c r="L656" s="80" t="s">
        <v>3491</v>
      </c>
      <c r="M656" s="80" t="s">
        <v>3492</v>
      </c>
      <c r="N656" s="80" t="s">
        <v>164</v>
      </c>
      <c r="O656" s="80" t="s">
        <v>1559</v>
      </c>
      <c r="P656" s="80" t="s">
        <v>135</v>
      </c>
      <c r="Q656" s="80" t="s">
        <v>123</v>
      </c>
      <c r="R656" s="80" t="s">
        <v>174</v>
      </c>
      <c r="S656" s="80">
        <v>8</v>
      </c>
      <c r="T656" s="80">
        <v>12</v>
      </c>
      <c r="U656" s="80" t="s">
        <v>328</v>
      </c>
      <c r="V656" s="80" t="s">
        <v>126</v>
      </c>
      <c r="W656" s="80" t="s">
        <v>127</v>
      </c>
      <c r="X656" s="80"/>
      <c r="Y656" s="80"/>
    </row>
    <row r="657" spans="1:25">
      <c r="A657" s="80">
        <f t="shared" si="10"/>
        <v>656</v>
      </c>
      <c r="B657" s="10">
        <v>45972.618425925903</v>
      </c>
      <c r="C657" s="13" t="s">
        <v>143</v>
      </c>
      <c r="D657" s="80" t="s">
        <v>3493</v>
      </c>
      <c r="E657" s="80" t="s">
        <v>3494</v>
      </c>
      <c r="F657" s="80" t="s">
        <v>3495</v>
      </c>
      <c r="G657" s="80" t="s">
        <v>3496</v>
      </c>
      <c r="H657" s="80" t="s">
        <v>148</v>
      </c>
      <c r="I657" s="80" t="s">
        <v>44</v>
      </c>
      <c r="J657" s="80" t="s">
        <v>149</v>
      </c>
      <c r="K657" s="80">
        <v>15</v>
      </c>
      <c r="L657" s="80" t="s">
        <v>3497</v>
      </c>
      <c r="M657" s="80" t="s">
        <v>3498</v>
      </c>
      <c r="N657" s="80" t="s">
        <v>517</v>
      </c>
      <c r="O657" s="80" t="s">
        <v>518</v>
      </c>
      <c r="P657" s="80" t="s">
        <v>135</v>
      </c>
      <c r="Q657" s="80" t="s">
        <v>123</v>
      </c>
      <c r="R657" s="80" t="s">
        <v>136</v>
      </c>
      <c r="S657" s="80">
        <v>2</v>
      </c>
      <c r="T657" s="80">
        <v>24</v>
      </c>
      <c r="U657" s="80" t="s">
        <v>153</v>
      </c>
      <c r="V657" s="80" t="s">
        <v>126</v>
      </c>
      <c r="W657" s="80" t="s">
        <v>137</v>
      </c>
      <c r="X657" s="80"/>
      <c r="Y657" s="80"/>
    </row>
    <row r="658" spans="1:25">
      <c r="A658" s="80">
        <f t="shared" si="10"/>
        <v>657</v>
      </c>
      <c r="B658" s="10">
        <v>45972.624618055597</v>
      </c>
      <c r="C658" s="13" t="s">
        <v>157</v>
      </c>
      <c r="D658" s="80" t="s">
        <v>3499</v>
      </c>
      <c r="E658" s="80" t="s">
        <v>3500</v>
      </c>
      <c r="F658" s="80" t="s">
        <v>3501</v>
      </c>
      <c r="G658" s="80" t="s">
        <v>3502</v>
      </c>
      <c r="H658" s="80" t="s">
        <v>115</v>
      </c>
      <c r="I658" s="80" t="s">
        <v>955</v>
      </c>
      <c r="J658" s="80" t="s">
        <v>117</v>
      </c>
      <c r="K658" s="80">
        <v>14</v>
      </c>
      <c r="L658" s="80" t="s">
        <v>3503</v>
      </c>
      <c r="M658" s="80" t="s">
        <v>3504</v>
      </c>
      <c r="N658" s="80" t="s">
        <v>120</v>
      </c>
      <c r="O658" s="80" t="s">
        <v>572</v>
      </c>
      <c r="P658" s="80" t="s">
        <v>178</v>
      </c>
      <c r="Q658" s="80" t="s">
        <v>123</v>
      </c>
      <c r="R658" s="80" t="s">
        <v>174</v>
      </c>
      <c r="S658" s="80">
        <v>11</v>
      </c>
      <c r="T658" s="80">
        <v>12</v>
      </c>
      <c r="U658" s="80" t="s">
        <v>167</v>
      </c>
      <c r="V658" s="80" t="s">
        <v>126</v>
      </c>
      <c r="W658" s="80" t="s">
        <v>127</v>
      </c>
      <c r="X658" s="80"/>
      <c r="Y658" s="80"/>
    </row>
    <row r="659" spans="1:25">
      <c r="A659" s="80">
        <f t="shared" si="10"/>
        <v>658</v>
      </c>
      <c r="B659" s="10">
        <v>45972.625057870398</v>
      </c>
      <c r="C659" s="13" t="s">
        <v>456</v>
      </c>
      <c r="D659" s="80" t="s">
        <v>3505</v>
      </c>
      <c r="E659" s="80" t="s">
        <v>3395</v>
      </c>
      <c r="F659" s="80" t="s">
        <v>3396</v>
      </c>
      <c r="G659" s="80" t="s">
        <v>3397</v>
      </c>
      <c r="H659" s="80" t="s">
        <v>115</v>
      </c>
      <c r="I659" s="80" t="s">
        <v>865</v>
      </c>
      <c r="J659" s="80" t="s">
        <v>149</v>
      </c>
      <c r="K659" s="80">
        <v>16</v>
      </c>
      <c r="L659" s="80" t="s">
        <v>3398</v>
      </c>
      <c r="M659" s="80" t="s">
        <v>3399</v>
      </c>
      <c r="N659" s="80" t="s">
        <v>120</v>
      </c>
      <c r="O659" s="80" t="s">
        <v>247</v>
      </c>
      <c r="P659" s="80" t="s">
        <v>701</v>
      </c>
      <c r="Q659" s="80" t="s">
        <v>123</v>
      </c>
      <c r="R659" s="80" t="s">
        <v>174</v>
      </c>
      <c r="S659" s="80">
        <v>1</v>
      </c>
      <c r="T659" s="80">
        <v>12</v>
      </c>
      <c r="U659" s="80" t="s">
        <v>466</v>
      </c>
      <c r="V659" s="80" t="s">
        <v>126</v>
      </c>
      <c r="W659" s="80" t="s">
        <v>127</v>
      </c>
      <c r="X659" s="80"/>
      <c r="Y659" s="80"/>
    </row>
    <row r="660" spans="1:25">
      <c r="A660" s="80">
        <f t="shared" si="10"/>
        <v>659</v>
      </c>
      <c r="B660" s="10">
        <v>45972.642222222203</v>
      </c>
      <c r="C660" s="13" t="s">
        <v>456</v>
      </c>
      <c r="D660" s="80" t="s">
        <v>3506</v>
      </c>
      <c r="E660" s="80" t="s">
        <v>3507</v>
      </c>
      <c r="F660" s="80" t="s">
        <v>3508</v>
      </c>
      <c r="G660" s="80" t="s">
        <v>3509</v>
      </c>
      <c r="H660" s="80" t="s">
        <v>115</v>
      </c>
      <c r="I660" s="80" t="s">
        <v>1069</v>
      </c>
      <c r="J660" s="80" t="s">
        <v>117</v>
      </c>
      <c r="K660" s="80">
        <v>5</v>
      </c>
      <c r="L660" s="80" t="s">
        <v>3510</v>
      </c>
      <c r="M660" s="80" t="s">
        <v>3511</v>
      </c>
      <c r="N660" s="80" t="s">
        <v>120</v>
      </c>
      <c r="O660" s="80" t="s">
        <v>152</v>
      </c>
      <c r="P660" s="80" t="s">
        <v>135</v>
      </c>
      <c r="Q660" s="80" t="s">
        <v>123</v>
      </c>
      <c r="R660" s="80" t="s">
        <v>124</v>
      </c>
      <c r="S660" s="80">
        <v>4</v>
      </c>
      <c r="T660" s="80">
        <v>18</v>
      </c>
      <c r="U660" s="80" t="s">
        <v>466</v>
      </c>
      <c r="V660" s="80" t="s">
        <v>126</v>
      </c>
      <c r="W660" s="80" t="s">
        <v>127</v>
      </c>
      <c r="X660" s="80"/>
      <c r="Y660" s="80"/>
    </row>
    <row r="661" spans="1:25">
      <c r="A661" s="80">
        <f t="shared" si="10"/>
        <v>660</v>
      </c>
      <c r="B661" s="10">
        <v>45972.6422916667</v>
      </c>
      <c r="C661" s="13" t="s">
        <v>222</v>
      </c>
      <c r="D661" s="80" t="s">
        <v>3512</v>
      </c>
      <c r="E661" s="80" t="s">
        <v>3507</v>
      </c>
      <c r="F661" s="80" t="s">
        <v>3508</v>
      </c>
      <c r="G661" s="80" t="s">
        <v>3509</v>
      </c>
      <c r="H661" s="80" t="s">
        <v>115</v>
      </c>
      <c r="I661" s="80" t="s">
        <v>1069</v>
      </c>
      <c r="J661" s="80" t="s">
        <v>117</v>
      </c>
      <c r="K661" s="80">
        <v>5</v>
      </c>
      <c r="L661" s="80" t="s">
        <v>3510</v>
      </c>
      <c r="M661" s="80" t="s">
        <v>3511</v>
      </c>
      <c r="N661" s="80" t="s">
        <v>120</v>
      </c>
      <c r="O661" s="80" t="s">
        <v>152</v>
      </c>
      <c r="P661" s="80" t="s">
        <v>135</v>
      </c>
      <c r="Q661" s="80" t="s">
        <v>123</v>
      </c>
      <c r="R661" s="80" t="s">
        <v>124</v>
      </c>
      <c r="S661" s="80">
        <v>4</v>
      </c>
      <c r="T661" s="80">
        <v>18</v>
      </c>
      <c r="U661" s="80" t="s">
        <v>232</v>
      </c>
      <c r="V661" s="80" t="s">
        <v>126</v>
      </c>
      <c r="W661" s="80" t="s">
        <v>127</v>
      </c>
      <c r="X661" s="80"/>
      <c r="Y661" s="80"/>
    </row>
    <row r="662" spans="1:25">
      <c r="A662" s="80">
        <f t="shared" si="10"/>
        <v>661</v>
      </c>
      <c r="B662" s="10">
        <v>45972.645011574103</v>
      </c>
      <c r="C662" s="13" t="s">
        <v>297</v>
      </c>
      <c r="D662" s="80" t="s">
        <v>3513</v>
      </c>
      <c r="E662" s="80" t="s">
        <v>3514</v>
      </c>
      <c r="F662" s="80" t="s">
        <v>3515</v>
      </c>
      <c r="G662" s="80" t="s">
        <v>3516</v>
      </c>
      <c r="H662" s="80" t="s">
        <v>3517</v>
      </c>
      <c r="I662" s="80" t="s">
        <v>44</v>
      </c>
      <c r="J662" s="80" t="s">
        <v>149</v>
      </c>
      <c r="K662" s="80">
        <v>24</v>
      </c>
      <c r="L662" s="80" t="s">
        <v>3518</v>
      </c>
      <c r="M662" s="80" t="s">
        <v>3519</v>
      </c>
      <c r="N662" s="80" t="s">
        <v>164</v>
      </c>
      <c r="O662" s="80" t="s">
        <v>2262</v>
      </c>
      <c r="P662" s="80" t="s">
        <v>269</v>
      </c>
      <c r="Q662" s="80" t="s">
        <v>123</v>
      </c>
      <c r="R662" s="80" t="s">
        <v>136</v>
      </c>
      <c r="S662" s="80">
        <v>6</v>
      </c>
      <c r="T662" s="80">
        <v>12</v>
      </c>
      <c r="U662" s="80" t="s">
        <v>305</v>
      </c>
      <c r="V662" s="80" t="s">
        <v>126</v>
      </c>
      <c r="W662" s="80" t="s">
        <v>137</v>
      </c>
      <c r="X662" s="80"/>
      <c r="Y662" s="80"/>
    </row>
    <row r="663" spans="1:25">
      <c r="A663" s="80">
        <f t="shared" si="10"/>
        <v>662</v>
      </c>
      <c r="B663" s="10">
        <v>45972.6461458333</v>
      </c>
      <c r="C663" s="13" t="s">
        <v>2188</v>
      </c>
      <c r="D663" s="80" t="s">
        <v>3520</v>
      </c>
      <c r="E663" s="80" t="s">
        <v>3521</v>
      </c>
      <c r="F663" s="80" t="s">
        <v>3522</v>
      </c>
      <c r="G663" s="80" t="s">
        <v>3523</v>
      </c>
      <c r="H663" s="80" t="s">
        <v>148</v>
      </c>
      <c r="I663" s="80" t="s">
        <v>46</v>
      </c>
      <c r="J663" s="80" t="s">
        <v>149</v>
      </c>
      <c r="K663" s="80">
        <v>22</v>
      </c>
      <c r="L663" s="80" t="s">
        <v>3524</v>
      </c>
      <c r="M663" s="80" t="s">
        <v>3525</v>
      </c>
      <c r="N663" s="80" t="s">
        <v>120</v>
      </c>
      <c r="O663" s="80" t="s">
        <v>3526</v>
      </c>
      <c r="P663" s="80" t="s">
        <v>135</v>
      </c>
      <c r="Q663" s="80" t="s">
        <v>123</v>
      </c>
      <c r="R663" s="80" t="s">
        <v>136</v>
      </c>
      <c r="S663" s="80">
        <v>8</v>
      </c>
      <c r="T663" s="80">
        <v>12</v>
      </c>
      <c r="U663" s="80" t="s">
        <v>2195</v>
      </c>
      <c r="V663" s="80" t="s">
        <v>126</v>
      </c>
      <c r="W663" s="80" t="s">
        <v>1770</v>
      </c>
      <c r="X663" s="80"/>
      <c r="Y663" s="80"/>
    </row>
    <row r="664" spans="1:25">
      <c r="A664" s="80">
        <f t="shared" si="10"/>
        <v>663</v>
      </c>
      <c r="B664" s="10">
        <v>45972.6715625</v>
      </c>
      <c r="C664" s="13" t="s">
        <v>261</v>
      </c>
      <c r="D664" s="80" t="s">
        <v>3527</v>
      </c>
      <c r="E664" s="80" t="s">
        <v>3528</v>
      </c>
      <c r="F664" s="80" t="s">
        <v>3529</v>
      </c>
      <c r="G664" s="80" t="s">
        <v>3530</v>
      </c>
      <c r="H664" s="80" t="s">
        <v>115</v>
      </c>
      <c r="I664" s="80" t="s">
        <v>237</v>
      </c>
      <c r="J664" s="80" t="s">
        <v>117</v>
      </c>
      <c r="K664" s="80">
        <v>1</v>
      </c>
      <c r="L664" s="80" t="s">
        <v>3531</v>
      </c>
      <c r="M664" s="80" t="s">
        <v>3532</v>
      </c>
      <c r="N664" s="80" t="s">
        <v>517</v>
      </c>
      <c r="O664" s="80" t="s">
        <v>518</v>
      </c>
      <c r="P664" s="80" t="s">
        <v>135</v>
      </c>
      <c r="Q664" s="80" t="s">
        <v>123</v>
      </c>
      <c r="R664" s="80" t="s">
        <v>136</v>
      </c>
      <c r="S664" s="80">
        <v>8</v>
      </c>
      <c r="T664" s="80">
        <v>12</v>
      </c>
      <c r="U664" s="80" t="s">
        <v>270</v>
      </c>
      <c r="V664" s="80" t="s">
        <v>126</v>
      </c>
      <c r="W664" s="80" t="s">
        <v>127</v>
      </c>
      <c r="X664" s="80"/>
      <c r="Y664" s="80"/>
    </row>
    <row r="665" spans="1:25">
      <c r="A665" s="80">
        <f t="shared" si="10"/>
        <v>664</v>
      </c>
      <c r="B665" s="10">
        <v>45972.6945023148</v>
      </c>
      <c r="C665" s="13" t="s">
        <v>297</v>
      </c>
      <c r="D665" s="80" t="s">
        <v>3533</v>
      </c>
      <c r="E665" s="80" t="s">
        <v>3494</v>
      </c>
      <c r="F665" s="80" t="s">
        <v>3495</v>
      </c>
      <c r="G665" s="80" t="s">
        <v>3496</v>
      </c>
      <c r="H665" s="80" t="s">
        <v>148</v>
      </c>
      <c r="I665" s="80" t="s">
        <v>44</v>
      </c>
      <c r="J665" s="80" t="s">
        <v>149</v>
      </c>
      <c r="K665" s="80">
        <v>15</v>
      </c>
      <c r="L665" s="80" t="s">
        <v>3497</v>
      </c>
      <c r="M665" s="80" t="s">
        <v>3498</v>
      </c>
      <c r="N665" s="80" t="s">
        <v>517</v>
      </c>
      <c r="O665" s="80" t="s">
        <v>518</v>
      </c>
      <c r="P665" s="80" t="s">
        <v>135</v>
      </c>
      <c r="Q665" s="80" t="s">
        <v>123</v>
      </c>
      <c r="R665" s="80" t="s">
        <v>136</v>
      </c>
      <c r="S665" s="80">
        <v>2</v>
      </c>
      <c r="T665" s="80">
        <v>24</v>
      </c>
      <c r="U665" s="80" t="s">
        <v>305</v>
      </c>
      <c r="V665" s="80" t="s">
        <v>126</v>
      </c>
      <c r="W665" s="80" t="s">
        <v>137</v>
      </c>
      <c r="X665" s="80"/>
      <c r="Y665" s="80"/>
    </row>
    <row r="666" spans="1:25">
      <c r="A666" s="80">
        <f t="shared" si="10"/>
        <v>665</v>
      </c>
      <c r="B666" s="10">
        <v>45972.700729166703</v>
      </c>
      <c r="C666" s="13" t="s">
        <v>553</v>
      </c>
      <c r="D666" s="80" t="s">
        <v>3534</v>
      </c>
      <c r="E666" s="80" t="s">
        <v>3514</v>
      </c>
      <c r="F666" s="80" t="s">
        <v>3515</v>
      </c>
      <c r="G666" s="80" t="s">
        <v>3516</v>
      </c>
      <c r="H666" s="80" t="s">
        <v>3517</v>
      </c>
      <c r="I666" s="80" t="s">
        <v>44</v>
      </c>
      <c r="J666" s="80" t="s">
        <v>149</v>
      </c>
      <c r="K666" s="80">
        <v>24</v>
      </c>
      <c r="L666" s="80" t="s">
        <v>3518</v>
      </c>
      <c r="M666" s="80" t="s">
        <v>3519</v>
      </c>
      <c r="N666" s="80" t="s">
        <v>164</v>
      </c>
      <c r="O666" s="80" t="s">
        <v>2262</v>
      </c>
      <c r="P666" s="80" t="s">
        <v>269</v>
      </c>
      <c r="Q666" s="80" t="s">
        <v>123</v>
      </c>
      <c r="R666" s="80" t="s">
        <v>136</v>
      </c>
      <c r="S666" s="80">
        <v>6</v>
      </c>
      <c r="T666" s="80">
        <v>12</v>
      </c>
      <c r="U666" s="80" t="s">
        <v>562</v>
      </c>
      <c r="V666" s="80" t="s">
        <v>126</v>
      </c>
      <c r="W666" s="80" t="s">
        <v>1770</v>
      </c>
      <c r="X666" s="80"/>
      <c r="Y666" s="80"/>
    </row>
    <row r="667" spans="1:25">
      <c r="A667" s="80">
        <f t="shared" si="10"/>
        <v>666</v>
      </c>
      <c r="B667" s="10">
        <v>45972.709189814799</v>
      </c>
      <c r="C667" s="13" t="s">
        <v>2004</v>
      </c>
      <c r="D667" s="80" t="s">
        <v>3535</v>
      </c>
      <c r="E667" s="80" t="s">
        <v>3536</v>
      </c>
      <c r="F667" s="80" t="s">
        <v>3537</v>
      </c>
      <c r="G667" s="80" t="s">
        <v>3538</v>
      </c>
      <c r="H667" s="80" t="s">
        <v>115</v>
      </c>
      <c r="I667" s="80" t="s">
        <v>842</v>
      </c>
      <c r="J667" s="80" t="s">
        <v>117</v>
      </c>
      <c r="K667" s="80">
        <v>1</v>
      </c>
      <c r="L667" s="80" t="s">
        <v>3539</v>
      </c>
      <c r="M667" s="80" t="s">
        <v>3540</v>
      </c>
      <c r="N667" s="80" t="s">
        <v>120</v>
      </c>
      <c r="O667" s="80" t="s">
        <v>152</v>
      </c>
      <c r="P667" s="80" t="s">
        <v>135</v>
      </c>
      <c r="Q667" s="80" t="s">
        <v>123</v>
      </c>
      <c r="R667" s="80" t="s">
        <v>124</v>
      </c>
      <c r="S667" s="80">
        <v>3</v>
      </c>
      <c r="T667" s="80">
        <v>24</v>
      </c>
      <c r="U667" s="80" t="s">
        <v>2011</v>
      </c>
      <c r="V667" s="80" t="s">
        <v>126</v>
      </c>
      <c r="W667" s="80" t="s">
        <v>127</v>
      </c>
      <c r="X667" s="80"/>
      <c r="Y667" s="80"/>
    </row>
    <row r="668" spans="1:25">
      <c r="A668" s="80">
        <f t="shared" si="10"/>
        <v>667</v>
      </c>
      <c r="B668" s="10">
        <v>45972.719884259299</v>
      </c>
      <c r="C668" s="13" t="s">
        <v>604</v>
      </c>
      <c r="D668" s="80" t="s">
        <v>3541</v>
      </c>
      <c r="E668" s="80" t="s">
        <v>3542</v>
      </c>
      <c r="F668" s="80" t="s">
        <v>3543</v>
      </c>
      <c r="G668" s="80" t="s">
        <v>3544</v>
      </c>
      <c r="H668" s="80" t="s">
        <v>115</v>
      </c>
      <c r="I668" s="80" t="s">
        <v>244</v>
      </c>
      <c r="J668" s="80" t="s">
        <v>117</v>
      </c>
      <c r="K668" s="80">
        <v>15</v>
      </c>
      <c r="L668" s="80" t="s">
        <v>3545</v>
      </c>
      <c r="M668" s="80" t="s">
        <v>3546</v>
      </c>
      <c r="N668" s="80" t="s">
        <v>120</v>
      </c>
      <c r="O668" s="80" t="s">
        <v>152</v>
      </c>
      <c r="P668" s="80" t="s">
        <v>135</v>
      </c>
      <c r="Q668" s="80" t="s">
        <v>123</v>
      </c>
      <c r="R668" s="80" t="s">
        <v>174</v>
      </c>
      <c r="S668" s="80">
        <v>4</v>
      </c>
      <c r="T668" s="80">
        <v>18</v>
      </c>
      <c r="U668" s="80" t="s">
        <v>613</v>
      </c>
      <c r="V668" s="80" t="s">
        <v>126</v>
      </c>
      <c r="W668" s="80" t="s">
        <v>127</v>
      </c>
      <c r="X668" s="80"/>
      <c r="Y668" s="80"/>
    </row>
    <row r="669" spans="1:25">
      <c r="A669" s="80">
        <f t="shared" si="10"/>
        <v>668</v>
      </c>
      <c r="B669" s="10">
        <v>45972.720162037003</v>
      </c>
      <c r="C669" s="13" t="s">
        <v>1305</v>
      </c>
      <c r="D669" s="80" t="s">
        <v>3547</v>
      </c>
      <c r="E669" s="80" t="s">
        <v>3548</v>
      </c>
      <c r="F669" s="80" t="s">
        <v>3549</v>
      </c>
      <c r="G669" s="80" t="s">
        <v>3550</v>
      </c>
      <c r="H669" s="80" t="s">
        <v>115</v>
      </c>
      <c r="I669" s="80" t="s">
        <v>918</v>
      </c>
      <c r="J669" s="80" t="s">
        <v>117</v>
      </c>
      <c r="K669" s="80">
        <v>4</v>
      </c>
      <c r="L669" s="80" t="s">
        <v>3551</v>
      </c>
      <c r="M669" s="80" t="s">
        <v>3552</v>
      </c>
      <c r="N669" s="80" t="s">
        <v>120</v>
      </c>
      <c r="O669" s="80" t="s">
        <v>152</v>
      </c>
      <c r="P669" s="80" t="s">
        <v>135</v>
      </c>
      <c r="Q669" s="80" t="s">
        <v>123</v>
      </c>
      <c r="R669" s="80" t="s">
        <v>124</v>
      </c>
      <c r="S669" s="80">
        <v>3</v>
      </c>
      <c r="T669" s="80">
        <v>12</v>
      </c>
      <c r="U669" s="80" t="s">
        <v>1312</v>
      </c>
      <c r="V669" s="80" t="s">
        <v>126</v>
      </c>
      <c r="W669" s="80" t="s">
        <v>127</v>
      </c>
      <c r="X669" s="80"/>
      <c r="Y669" s="80"/>
    </row>
    <row r="670" spans="1:25">
      <c r="A670" s="80">
        <f t="shared" si="10"/>
        <v>669</v>
      </c>
      <c r="B670" s="10">
        <v>45972.723263888904</v>
      </c>
      <c r="C670" s="13" t="s">
        <v>553</v>
      </c>
      <c r="D670" s="80" t="s">
        <v>3553</v>
      </c>
      <c r="E670" s="80" t="s">
        <v>3542</v>
      </c>
      <c r="F670" s="80" t="s">
        <v>3543</v>
      </c>
      <c r="G670" s="80" t="s">
        <v>3544</v>
      </c>
      <c r="H670" s="80" t="s">
        <v>115</v>
      </c>
      <c r="I670" s="80" t="s">
        <v>244</v>
      </c>
      <c r="J670" s="80" t="s">
        <v>117</v>
      </c>
      <c r="K670" s="80">
        <v>15</v>
      </c>
      <c r="L670" s="80" t="s">
        <v>3545</v>
      </c>
      <c r="M670" s="80" t="s">
        <v>3546</v>
      </c>
      <c r="N670" s="80" t="s">
        <v>120</v>
      </c>
      <c r="O670" s="80" t="s">
        <v>152</v>
      </c>
      <c r="P670" s="80" t="s">
        <v>135</v>
      </c>
      <c r="Q670" s="80" t="s">
        <v>123</v>
      </c>
      <c r="R670" s="80" t="s">
        <v>174</v>
      </c>
      <c r="S670" s="80">
        <v>4</v>
      </c>
      <c r="T670" s="80">
        <v>18</v>
      </c>
      <c r="U670" s="80" t="s">
        <v>562</v>
      </c>
      <c r="V670" s="80" t="s">
        <v>126</v>
      </c>
      <c r="W670" s="80" t="s">
        <v>127</v>
      </c>
      <c r="X670" s="80"/>
      <c r="Y670" s="80"/>
    </row>
    <row r="671" spans="1:25">
      <c r="A671" s="80">
        <f t="shared" si="10"/>
        <v>670</v>
      </c>
      <c r="B671" s="10">
        <v>45972.723449074103</v>
      </c>
      <c r="C671" s="13" t="s">
        <v>143</v>
      </c>
      <c r="D671" s="80" t="s">
        <v>3554</v>
      </c>
      <c r="E671" s="80" t="s">
        <v>3555</v>
      </c>
      <c r="F671" s="80" t="s">
        <v>3556</v>
      </c>
      <c r="G671" s="80" t="s">
        <v>3557</v>
      </c>
      <c r="H671" s="80" t="s">
        <v>115</v>
      </c>
      <c r="I671" s="80" t="s">
        <v>1207</v>
      </c>
      <c r="J671" s="80" t="s">
        <v>117</v>
      </c>
      <c r="K671" s="80">
        <v>25</v>
      </c>
      <c r="L671" s="80" t="s">
        <v>3558</v>
      </c>
      <c r="M671" s="80" t="s">
        <v>3559</v>
      </c>
      <c r="N671" s="80" t="s">
        <v>120</v>
      </c>
      <c r="O671" s="80" t="s">
        <v>3560</v>
      </c>
      <c r="P671" s="80" t="s">
        <v>135</v>
      </c>
      <c r="Q671" s="80" t="s">
        <v>123</v>
      </c>
      <c r="R671" s="80" t="s">
        <v>174</v>
      </c>
      <c r="S671" s="80">
        <v>18</v>
      </c>
      <c r="T671" s="80">
        <v>36</v>
      </c>
      <c r="U671" s="80" t="s">
        <v>153</v>
      </c>
      <c r="V671" s="80" t="s">
        <v>126</v>
      </c>
      <c r="W671" s="80" t="s">
        <v>137</v>
      </c>
      <c r="X671" s="80"/>
      <c r="Y671" s="80"/>
    </row>
    <row r="672" spans="1:25">
      <c r="A672" s="80">
        <f t="shared" si="10"/>
        <v>671</v>
      </c>
      <c r="B672" s="10">
        <v>45972.723611111098</v>
      </c>
      <c r="C672" s="13" t="s">
        <v>297</v>
      </c>
      <c r="D672" s="80" t="s">
        <v>3561</v>
      </c>
      <c r="E672" s="80" t="s">
        <v>3555</v>
      </c>
      <c r="F672" s="80" t="s">
        <v>3556</v>
      </c>
      <c r="G672" s="80" t="s">
        <v>3557</v>
      </c>
      <c r="H672" s="80" t="s">
        <v>115</v>
      </c>
      <c r="I672" s="80" t="s">
        <v>1207</v>
      </c>
      <c r="J672" s="80" t="s">
        <v>117</v>
      </c>
      <c r="K672" s="80">
        <v>25</v>
      </c>
      <c r="L672" s="80" t="s">
        <v>3558</v>
      </c>
      <c r="M672" s="80" t="s">
        <v>3559</v>
      </c>
      <c r="N672" s="80" t="s">
        <v>120</v>
      </c>
      <c r="O672" s="80" t="s">
        <v>3560</v>
      </c>
      <c r="P672" s="80" t="s">
        <v>135</v>
      </c>
      <c r="Q672" s="80" t="s">
        <v>123</v>
      </c>
      <c r="R672" s="80" t="s">
        <v>174</v>
      </c>
      <c r="S672" s="80">
        <v>18</v>
      </c>
      <c r="T672" s="80">
        <v>36</v>
      </c>
      <c r="U672" s="80" t="s">
        <v>305</v>
      </c>
      <c r="V672" s="80" t="s">
        <v>126</v>
      </c>
      <c r="W672" s="80" t="s">
        <v>137</v>
      </c>
      <c r="X672" s="80"/>
      <c r="Y672" s="80"/>
    </row>
    <row r="673" spans="1:25">
      <c r="A673" s="80">
        <f t="shared" si="10"/>
        <v>672</v>
      </c>
      <c r="B673" s="10">
        <v>45972.7249421296</v>
      </c>
      <c r="C673" s="13" t="s">
        <v>110</v>
      </c>
      <c r="D673" s="80" t="s">
        <v>3562</v>
      </c>
      <c r="E673" s="80" t="s">
        <v>3563</v>
      </c>
      <c r="F673" s="80" t="e">
        <v>#N/A</v>
      </c>
      <c r="G673" s="80" t="e">
        <v>#N/A</v>
      </c>
      <c r="H673" s="80" t="e">
        <v>#N/A</v>
      </c>
      <c r="I673" s="80" t="e">
        <v>#N/A</v>
      </c>
      <c r="J673" s="80" t="e">
        <v>#N/A</v>
      </c>
      <c r="K673" s="80" t="e">
        <v>#N/A</v>
      </c>
      <c r="L673" s="80" t="e">
        <v>#N/A</v>
      </c>
      <c r="M673" s="80" t="e">
        <v>#N/A</v>
      </c>
      <c r="N673" s="80" t="e">
        <v>#N/A</v>
      </c>
      <c r="O673" s="80" t="e">
        <v>#N/A</v>
      </c>
      <c r="P673" s="80" t="e">
        <v>#N/A</v>
      </c>
      <c r="Q673" s="80" t="e">
        <v>#N/A</v>
      </c>
      <c r="R673" s="80" t="e">
        <v>#N/A</v>
      </c>
      <c r="S673" s="80" t="e">
        <v>#N/A</v>
      </c>
      <c r="T673" s="80" t="e">
        <v>#N/A</v>
      </c>
      <c r="U673" s="80" t="s">
        <v>125</v>
      </c>
      <c r="V673" s="80" t="s">
        <v>126</v>
      </c>
      <c r="W673" s="80" t="s">
        <v>127</v>
      </c>
      <c r="X673" s="80"/>
      <c r="Y673" s="80"/>
    </row>
    <row r="674" spans="1:25">
      <c r="A674" s="80">
        <f t="shared" si="10"/>
        <v>673</v>
      </c>
      <c r="B674" s="10">
        <v>45972.727592592601</v>
      </c>
      <c r="C674" s="13" t="s">
        <v>604</v>
      </c>
      <c r="D674" s="80" t="s">
        <v>3564</v>
      </c>
      <c r="E674" s="80" t="s">
        <v>3565</v>
      </c>
      <c r="F674" s="80" t="s">
        <v>3566</v>
      </c>
      <c r="G674" s="80" t="s">
        <v>3567</v>
      </c>
      <c r="H674" s="80" t="s">
        <v>174</v>
      </c>
      <c r="I674" s="80" t="s">
        <v>173</v>
      </c>
      <c r="J674" s="80" t="s">
        <v>149</v>
      </c>
      <c r="K674" s="80">
        <v>1</v>
      </c>
      <c r="L674" s="80" t="s">
        <v>3568</v>
      </c>
      <c r="M674" s="80" t="s">
        <v>3569</v>
      </c>
      <c r="N674" s="80" t="s">
        <v>120</v>
      </c>
      <c r="O674" s="80" t="s">
        <v>152</v>
      </c>
      <c r="P674" s="80" t="s">
        <v>279</v>
      </c>
      <c r="Q674" s="80" t="s">
        <v>123</v>
      </c>
      <c r="R674" s="80" t="s">
        <v>174</v>
      </c>
      <c r="S674" s="80">
        <v>1</v>
      </c>
      <c r="T674" s="80">
        <v>6</v>
      </c>
      <c r="U674" s="80" t="s">
        <v>613</v>
      </c>
      <c r="V674" s="80" t="s">
        <v>126</v>
      </c>
      <c r="W674" s="80" t="s">
        <v>127</v>
      </c>
      <c r="X674" s="80"/>
      <c r="Y674" s="80"/>
    </row>
    <row r="675" spans="1:25">
      <c r="A675" s="80">
        <f t="shared" si="10"/>
        <v>674</v>
      </c>
      <c r="B675" s="10">
        <v>45972.732523148101</v>
      </c>
      <c r="C675" s="13" t="s">
        <v>222</v>
      </c>
      <c r="D675" s="80" t="s">
        <v>3570</v>
      </c>
      <c r="E675" s="80" t="s">
        <v>3571</v>
      </c>
      <c r="F675" s="80" t="s">
        <v>3572</v>
      </c>
      <c r="G675" s="80" t="s">
        <v>3573</v>
      </c>
      <c r="H675" s="80" t="s">
        <v>115</v>
      </c>
      <c r="I675" s="80" t="s">
        <v>865</v>
      </c>
      <c r="J675" s="80" t="s">
        <v>117</v>
      </c>
      <c r="K675" s="80">
        <v>9</v>
      </c>
      <c r="L675" s="80" t="s">
        <v>3574</v>
      </c>
      <c r="M675" s="80" t="s">
        <v>3575</v>
      </c>
      <c r="N675" s="80" t="s">
        <v>120</v>
      </c>
      <c r="O675" s="80" t="s">
        <v>2405</v>
      </c>
      <c r="P675" s="80" t="s">
        <v>279</v>
      </c>
      <c r="Q675" s="80" t="s">
        <v>123</v>
      </c>
      <c r="R675" s="80" t="s">
        <v>124</v>
      </c>
      <c r="S675" s="80">
        <v>5</v>
      </c>
      <c r="T675" s="80">
        <v>24</v>
      </c>
      <c r="U675" s="80" t="s">
        <v>232</v>
      </c>
      <c r="V675" s="80" t="s">
        <v>126</v>
      </c>
      <c r="W675" s="80" t="s">
        <v>127</v>
      </c>
      <c r="X675" s="80"/>
      <c r="Y675" s="80"/>
    </row>
    <row r="676" spans="1:25">
      <c r="A676" s="80">
        <f t="shared" si="10"/>
        <v>675</v>
      </c>
      <c r="B676" s="10">
        <v>45972.734618055598</v>
      </c>
      <c r="C676" s="13" t="s">
        <v>329</v>
      </c>
      <c r="D676" s="80" t="s">
        <v>3576</v>
      </c>
      <c r="E676" s="80" t="s">
        <v>241</v>
      </c>
      <c r="F676" s="80" t="s">
        <v>242</v>
      </c>
      <c r="G676" s="80" t="s">
        <v>243</v>
      </c>
      <c r="H676" s="80" t="s">
        <v>115</v>
      </c>
      <c r="I676" s="80" t="s">
        <v>244</v>
      </c>
      <c r="J676" s="80" t="s">
        <v>117</v>
      </c>
      <c r="K676" s="80">
        <v>21</v>
      </c>
      <c r="L676" s="80" t="s">
        <v>245</v>
      </c>
      <c r="M676" s="80" t="s">
        <v>246</v>
      </c>
      <c r="N676" s="80" t="s">
        <v>120</v>
      </c>
      <c r="O676" s="80" t="s">
        <v>247</v>
      </c>
      <c r="P676" s="80" t="s">
        <v>135</v>
      </c>
      <c r="Q676" s="80" t="s">
        <v>123</v>
      </c>
      <c r="R676" s="80" t="s">
        <v>174</v>
      </c>
      <c r="S676" s="80">
        <v>11</v>
      </c>
      <c r="T676" s="80">
        <v>12</v>
      </c>
      <c r="U676" s="80" t="s">
        <v>336</v>
      </c>
      <c r="V676" s="80" t="s">
        <v>126</v>
      </c>
      <c r="W676" s="80" t="s">
        <v>127</v>
      </c>
      <c r="X676" s="80"/>
      <c r="Y676" s="80"/>
    </row>
    <row r="677" spans="1:25">
      <c r="A677" s="80">
        <f t="shared" si="10"/>
        <v>676</v>
      </c>
      <c r="B677" s="10">
        <v>45972.742118055598</v>
      </c>
      <c r="C677" s="13" t="s">
        <v>329</v>
      </c>
      <c r="D677" s="80" t="s">
        <v>3577</v>
      </c>
      <c r="E677" s="80" t="s">
        <v>451</v>
      </c>
      <c r="F677" s="80" t="s">
        <v>452</v>
      </c>
      <c r="G677" s="80" t="s">
        <v>453</v>
      </c>
      <c r="H677" s="80" t="s">
        <v>115</v>
      </c>
      <c r="I677" s="80" t="s">
        <v>842</v>
      </c>
      <c r="J677" s="80" t="s">
        <v>117</v>
      </c>
      <c r="K677" s="80">
        <v>1</v>
      </c>
      <c r="L677" s="80" t="s">
        <v>454</v>
      </c>
      <c r="M677" s="80" t="s">
        <v>455</v>
      </c>
      <c r="N677" s="80" t="s">
        <v>120</v>
      </c>
      <c r="O677" s="80" t="s">
        <v>230</v>
      </c>
      <c r="P677" s="80" t="s">
        <v>178</v>
      </c>
      <c r="Q677" s="80" t="s">
        <v>123</v>
      </c>
      <c r="R677" s="80" t="s">
        <v>124</v>
      </c>
      <c r="S677" s="80">
        <v>2</v>
      </c>
      <c r="T677" s="80">
        <v>18</v>
      </c>
      <c r="U677" s="80" t="s">
        <v>336</v>
      </c>
      <c r="V677" s="80" t="s">
        <v>126</v>
      </c>
      <c r="W677" s="80" t="s">
        <v>127</v>
      </c>
      <c r="X677" s="80"/>
      <c r="Y677" s="80"/>
    </row>
    <row r="678" spans="1:25">
      <c r="A678" s="80">
        <f t="shared" si="10"/>
        <v>677</v>
      </c>
      <c r="B678" s="10">
        <v>45972.777418981503</v>
      </c>
      <c r="C678" s="13" t="s">
        <v>297</v>
      </c>
      <c r="D678" s="80" t="s">
        <v>3578</v>
      </c>
      <c r="E678" s="80" t="s">
        <v>3579</v>
      </c>
      <c r="F678" s="80" t="s">
        <v>3580</v>
      </c>
      <c r="G678" s="80" t="s">
        <v>3581</v>
      </c>
      <c r="H678" s="80" t="s">
        <v>148</v>
      </c>
      <c r="I678" s="80" t="s">
        <v>46</v>
      </c>
      <c r="J678" s="80" t="s">
        <v>149</v>
      </c>
      <c r="K678" s="80">
        <v>21</v>
      </c>
      <c r="L678" s="80" t="s">
        <v>3582</v>
      </c>
      <c r="M678" s="80" t="s">
        <v>3583</v>
      </c>
      <c r="N678" s="80" t="s">
        <v>120</v>
      </c>
      <c r="O678" s="80" t="s">
        <v>152</v>
      </c>
      <c r="P678" s="80" t="s">
        <v>135</v>
      </c>
      <c r="Q678" s="80" t="s">
        <v>123</v>
      </c>
      <c r="R678" s="80" t="s">
        <v>136</v>
      </c>
      <c r="S678" s="80">
        <v>4</v>
      </c>
      <c r="T678" s="80">
        <v>18</v>
      </c>
      <c r="U678" s="80" t="s">
        <v>305</v>
      </c>
      <c r="V678" s="80" t="s">
        <v>126</v>
      </c>
      <c r="W678" s="80" t="s">
        <v>137</v>
      </c>
      <c r="X678" s="80"/>
      <c r="Y678" s="80"/>
    </row>
    <row r="679" spans="1:25">
      <c r="A679" s="80">
        <f t="shared" si="10"/>
        <v>678</v>
      </c>
      <c r="B679" s="10">
        <v>45972.827824074098</v>
      </c>
      <c r="C679" s="13" t="s">
        <v>329</v>
      </c>
      <c r="D679" s="80" t="s">
        <v>3584</v>
      </c>
      <c r="E679" s="80" t="s">
        <v>2027</v>
      </c>
      <c r="F679" s="80" t="s">
        <v>2028</v>
      </c>
      <c r="G679" s="80" t="s">
        <v>2029</v>
      </c>
      <c r="H679" s="80" t="s">
        <v>115</v>
      </c>
      <c r="I679" s="80" t="s">
        <v>244</v>
      </c>
      <c r="J679" s="80" t="s">
        <v>117</v>
      </c>
      <c r="K679" s="80">
        <v>22</v>
      </c>
      <c r="L679" s="80" t="s">
        <v>2030</v>
      </c>
      <c r="M679" s="80" t="s">
        <v>2031</v>
      </c>
      <c r="N679" s="80" t="s">
        <v>120</v>
      </c>
      <c r="O679" s="80" t="s">
        <v>152</v>
      </c>
      <c r="P679" s="80" t="s">
        <v>581</v>
      </c>
      <c r="Q679" s="80" t="s">
        <v>123</v>
      </c>
      <c r="R679" s="80" t="s">
        <v>174</v>
      </c>
      <c r="S679" s="80">
        <v>9</v>
      </c>
      <c r="T679" s="80">
        <v>12</v>
      </c>
      <c r="U679" s="80" t="s">
        <v>336</v>
      </c>
      <c r="V679" s="80" t="s">
        <v>126</v>
      </c>
      <c r="W679" s="80" t="s">
        <v>127</v>
      </c>
      <c r="X679" s="80"/>
      <c r="Y679" s="80"/>
    </row>
    <row r="680" spans="1:25">
      <c r="A680" s="80">
        <f t="shared" si="10"/>
        <v>679</v>
      </c>
      <c r="B680" s="10">
        <v>45973.366666666698</v>
      </c>
      <c r="C680" s="13" t="s">
        <v>168</v>
      </c>
      <c r="D680" s="80" t="s">
        <v>3585</v>
      </c>
      <c r="E680" s="80" t="s">
        <v>3586</v>
      </c>
      <c r="F680" s="80" t="s">
        <v>3587</v>
      </c>
      <c r="G680" s="80" t="s">
        <v>3588</v>
      </c>
      <c r="H680" s="80" t="s">
        <v>115</v>
      </c>
      <c r="I680" s="80" t="s">
        <v>1069</v>
      </c>
      <c r="J680" s="80" t="s">
        <v>149</v>
      </c>
      <c r="K680" s="80">
        <v>15</v>
      </c>
      <c r="L680" s="80" t="s">
        <v>3589</v>
      </c>
      <c r="M680" s="80" t="s">
        <v>3590</v>
      </c>
      <c r="N680" s="80" t="s">
        <v>120</v>
      </c>
      <c r="O680" s="80" t="s">
        <v>121</v>
      </c>
      <c r="P680" s="80" t="s">
        <v>304</v>
      </c>
      <c r="Q680" s="80" t="s">
        <v>123</v>
      </c>
      <c r="R680" s="80" t="s">
        <v>174</v>
      </c>
      <c r="S680" s="80">
        <v>2</v>
      </c>
      <c r="T680" s="80">
        <v>24</v>
      </c>
      <c r="U680" s="80" t="s">
        <v>179</v>
      </c>
      <c r="V680" s="80" t="s">
        <v>126</v>
      </c>
      <c r="W680" s="80" t="s">
        <v>127</v>
      </c>
      <c r="X680" s="80"/>
      <c r="Y680" s="80"/>
    </row>
    <row r="681" spans="1:25">
      <c r="A681" s="80">
        <f t="shared" si="10"/>
        <v>680</v>
      </c>
      <c r="B681" s="10">
        <v>45973.388935185198</v>
      </c>
      <c r="C681" s="13" t="s">
        <v>157</v>
      </c>
      <c r="D681" s="80" t="s">
        <v>3591</v>
      </c>
      <c r="E681" s="80" t="s">
        <v>1787</v>
      </c>
      <c r="F681" s="80" t="s">
        <v>45</v>
      </c>
      <c r="G681" s="80" t="s">
        <v>1788</v>
      </c>
      <c r="H681" s="80" t="s">
        <v>115</v>
      </c>
      <c r="I681" s="80" t="s">
        <v>842</v>
      </c>
      <c r="J681" s="80" t="s">
        <v>117</v>
      </c>
      <c r="K681" s="80">
        <v>10</v>
      </c>
      <c r="L681" s="80" t="s">
        <v>1789</v>
      </c>
      <c r="M681" s="80" t="s">
        <v>1790</v>
      </c>
      <c r="N681" s="80" t="s">
        <v>164</v>
      </c>
      <c r="O681" s="80" t="s">
        <v>406</v>
      </c>
      <c r="P681" s="80" t="s">
        <v>1791</v>
      </c>
      <c r="Q681" s="80" t="s">
        <v>123</v>
      </c>
      <c r="R681" s="80" t="s">
        <v>174</v>
      </c>
      <c r="S681" s="80">
        <v>16</v>
      </c>
      <c r="T681" s="80">
        <v>24</v>
      </c>
      <c r="U681" s="80" t="s">
        <v>167</v>
      </c>
      <c r="V681" s="80" t="s">
        <v>126</v>
      </c>
      <c r="W681" s="80" t="s">
        <v>127</v>
      </c>
      <c r="X681" s="80"/>
      <c r="Y681" s="80"/>
    </row>
    <row r="682" spans="1:25">
      <c r="A682" s="80">
        <f t="shared" si="10"/>
        <v>681</v>
      </c>
      <c r="B682" s="10">
        <v>45973.404687499999</v>
      </c>
      <c r="C682" s="13" t="s">
        <v>1465</v>
      </c>
      <c r="D682" s="80" t="s">
        <v>3592</v>
      </c>
      <c r="E682" s="80" t="s">
        <v>3593</v>
      </c>
      <c r="F682" s="80" t="s">
        <v>3594</v>
      </c>
      <c r="G682" s="80" t="s">
        <v>3595</v>
      </c>
      <c r="H682" s="80" t="s">
        <v>115</v>
      </c>
      <c r="I682" s="80" t="s">
        <v>244</v>
      </c>
      <c r="J682" s="80" t="s">
        <v>117</v>
      </c>
      <c r="K682" s="80">
        <v>1</v>
      </c>
      <c r="L682" s="80" t="s">
        <v>3596</v>
      </c>
      <c r="M682" s="80" t="s">
        <v>3597</v>
      </c>
      <c r="N682" s="80" t="s">
        <v>120</v>
      </c>
      <c r="O682" s="80" t="s">
        <v>572</v>
      </c>
      <c r="P682" s="80" t="s">
        <v>178</v>
      </c>
      <c r="Q682" s="80" t="s">
        <v>123</v>
      </c>
      <c r="R682" s="80" t="s">
        <v>136</v>
      </c>
      <c r="S682" s="80">
        <v>5</v>
      </c>
      <c r="T682" s="80">
        <v>12</v>
      </c>
      <c r="U682" s="80" t="s">
        <v>1473</v>
      </c>
      <c r="V682" s="80" t="s">
        <v>126</v>
      </c>
      <c r="W682" s="80" t="s">
        <v>127</v>
      </c>
      <c r="X682" s="80"/>
      <c r="Y682" s="80"/>
    </row>
    <row r="683" spans="1:25">
      <c r="A683" s="80">
        <f t="shared" si="10"/>
        <v>682</v>
      </c>
      <c r="B683" s="10">
        <v>45973.4281597222</v>
      </c>
      <c r="C683" s="13" t="s">
        <v>1785</v>
      </c>
      <c r="D683" s="80" t="s">
        <v>3598</v>
      </c>
      <c r="E683" s="80" t="s">
        <v>3599</v>
      </c>
      <c r="F683" s="80" t="s">
        <v>3600</v>
      </c>
      <c r="G683" s="80" t="s">
        <v>3601</v>
      </c>
      <c r="H683" s="80" t="s">
        <v>210</v>
      </c>
      <c r="I683" s="80" t="s">
        <v>1165</v>
      </c>
      <c r="J683" s="80" t="s">
        <v>149</v>
      </c>
      <c r="K683" s="80">
        <v>14</v>
      </c>
      <c r="L683" s="80" t="s">
        <v>3602</v>
      </c>
      <c r="M683" s="80" t="s">
        <v>3603</v>
      </c>
      <c r="N683" s="80" t="s">
        <v>120</v>
      </c>
      <c r="O683" s="80" t="s">
        <v>213</v>
      </c>
      <c r="P683" s="80" t="s">
        <v>214</v>
      </c>
      <c r="Q683" s="80" t="s">
        <v>123</v>
      </c>
      <c r="R683" s="80" t="s">
        <v>136</v>
      </c>
      <c r="S683" s="80">
        <v>11</v>
      </c>
      <c r="T683" s="80">
        <v>24</v>
      </c>
      <c r="U683" s="80" t="s">
        <v>1792</v>
      </c>
      <c r="V683" s="80" t="s">
        <v>126</v>
      </c>
      <c r="W683" s="80" t="s">
        <v>137</v>
      </c>
      <c r="X683" s="80"/>
      <c r="Y683" s="80"/>
    </row>
    <row r="684" spans="1:25">
      <c r="A684" s="80">
        <f t="shared" si="10"/>
        <v>683</v>
      </c>
      <c r="B684" s="10">
        <v>45973.441724536999</v>
      </c>
      <c r="C684" s="13" t="s">
        <v>1465</v>
      </c>
      <c r="D684" s="80" t="s">
        <v>3604</v>
      </c>
      <c r="E684" s="80" t="s">
        <v>3605</v>
      </c>
      <c r="F684" s="80" t="s">
        <v>3606</v>
      </c>
      <c r="G684" s="80" t="s">
        <v>3607</v>
      </c>
      <c r="H684" s="80" t="s">
        <v>115</v>
      </c>
      <c r="I684" s="80" t="s">
        <v>918</v>
      </c>
      <c r="J684" s="80" t="s">
        <v>117</v>
      </c>
      <c r="K684" s="80">
        <v>1</v>
      </c>
      <c r="L684" s="80" t="s">
        <v>3608</v>
      </c>
      <c r="M684" s="80" t="s">
        <v>3609</v>
      </c>
      <c r="N684" s="80" t="s">
        <v>120</v>
      </c>
      <c r="O684" s="80" t="s">
        <v>121</v>
      </c>
      <c r="P684" s="80" t="s">
        <v>231</v>
      </c>
      <c r="Q684" s="80" t="s">
        <v>123</v>
      </c>
      <c r="R684" s="80" t="s">
        <v>136</v>
      </c>
      <c r="S684" s="80">
        <v>8</v>
      </c>
      <c r="T684" s="80">
        <v>18</v>
      </c>
      <c r="U684" s="80" t="s">
        <v>1473</v>
      </c>
      <c r="V684" s="80" t="s">
        <v>126</v>
      </c>
      <c r="W684" s="80" t="s">
        <v>127</v>
      </c>
      <c r="X684" s="80"/>
      <c r="Y684" s="80"/>
    </row>
    <row r="685" spans="1:25">
      <c r="A685" s="80">
        <f t="shared" si="10"/>
        <v>684</v>
      </c>
      <c r="B685" s="10">
        <v>45973.443217592598</v>
      </c>
      <c r="C685" s="13" t="s">
        <v>880</v>
      </c>
      <c r="D685" s="80" t="s">
        <v>3610</v>
      </c>
      <c r="E685" s="80" t="s">
        <v>3611</v>
      </c>
      <c r="F685" s="80" t="s">
        <v>3612</v>
      </c>
      <c r="G685" s="80" t="s">
        <v>3613</v>
      </c>
      <c r="H685" s="80" t="s">
        <v>115</v>
      </c>
      <c r="I685" s="80" t="s">
        <v>227</v>
      </c>
      <c r="J685" s="80" t="s">
        <v>117</v>
      </c>
      <c r="K685" s="80">
        <v>6</v>
      </c>
      <c r="L685" s="80" t="s">
        <v>3614</v>
      </c>
      <c r="M685" s="80" t="s">
        <v>3615</v>
      </c>
      <c r="N685" s="80" t="s">
        <v>120</v>
      </c>
      <c r="O685" s="80" t="s">
        <v>3616</v>
      </c>
      <c r="P685" s="80" t="s">
        <v>2070</v>
      </c>
      <c r="Q685" s="80" t="s">
        <v>123</v>
      </c>
      <c r="R685" s="80" t="s">
        <v>174</v>
      </c>
      <c r="S685" s="80">
        <v>3</v>
      </c>
      <c r="T685" s="80">
        <v>18</v>
      </c>
      <c r="U685" s="80" t="s">
        <v>882</v>
      </c>
      <c r="V685" s="80" t="s">
        <v>126</v>
      </c>
      <c r="W685" s="80" t="s">
        <v>127</v>
      </c>
      <c r="X685" s="80"/>
      <c r="Y685" s="80"/>
    </row>
    <row r="686" spans="1:25">
      <c r="A686" s="80">
        <f t="shared" si="10"/>
        <v>685</v>
      </c>
      <c r="B686" s="10">
        <v>45973.446712962999</v>
      </c>
      <c r="C686" s="13" t="s">
        <v>222</v>
      </c>
      <c r="D686" s="80" t="s">
        <v>3617</v>
      </c>
      <c r="E686" s="80" t="s">
        <v>3618</v>
      </c>
      <c r="F686" s="80" t="s">
        <v>3619</v>
      </c>
      <c r="G686" s="80" t="s">
        <v>3620</v>
      </c>
      <c r="H686" s="80" t="s">
        <v>115</v>
      </c>
      <c r="I686" s="80" t="s">
        <v>237</v>
      </c>
      <c r="J686" s="80" t="s">
        <v>117</v>
      </c>
      <c r="K686" s="80">
        <v>1</v>
      </c>
      <c r="L686" s="80" t="s">
        <v>3621</v>
      </c>
      <c r="M686" s="80" t="s">
        <v>3622</v>
      </c>
      <c r="N686" s="80" t="s">
        <v>164</v>
      </c>
      <c r="O686" s="80" t="s">
        <v>202</v>
      </c>
      <c r="P686" s="80" t="s">
        <v>269</v>
      </c>
      <c r="Q686" s="80" t="s">
        <v>123</v>
      </c>
      <c r="R686" s="80" t="s">
        <v>124</v>
      </c>
      <c r="S686" s="80">
        <v>8</v>
      </c>
      <c r="T686" s="80">
        <v>24</v>
      </c>
      <c r="U686" s="80" t="s">
        <v>232</v>
      </c>
      <c r="V686" s="80" t="s">
        <v>126</v>
      </c>
      <c r="W686" s="80" t="s">
        <v>127</v>
      </c>
      <c r="X686" s="80"/>
      <c r="Y686" s="80"/>
    </row>
    <row r="687" spans="1:25">
      <c r="A687" s="80">
        <f t="shared" si="10"/>
        <v>686</v>
      </c>
      <c r="B687" s="10">
        <v>45973.447893518503</v>
      </c>
      <c r="C687" s="13" t="s">
        <v>362</v>
      </c>
      <c r="D687" s="80" t="s">
        <v>3623</v>
      </c>
      <c r="E687" s="80" t="s">
        <v>3624</v>
      </c>
      <c r="F687" s="80" t="s">
        <v>3625</v>
      </c>
      <c r="G687" s="80" t="s">
        <v>3626</v>
      </c>
      <c r="H687" s="80" t="s">
        <v>115</v>
      </c>
      <c r="I687" s="80" t="s">
        <v>865</v>
      </c>
      <c r="J687" s="80" t="s">
        <v>117</v>
      </c>
      <c r="K687" s="80">
        <v>5</v>
      </c>
      <c r="L687" s="80" t="s">
        <v>3627</v>
      </c>
      <c r="M687" s="80" t="s">
        <v>3628</v>
      </c>
      <c r="N687" s="80" t="s">
        <v>120</v>
      </c>
      <c r="O687" s="80" t="s">
        <v>230</v>
      </c>
      <c r="P687" s="80" t="s">
        <v>3032</v>
      </c>
      <c r="Q687" s="80" t="s">
        <v>123</v>
      </c>
      <c r="R687" s="80" t="s">
        <v>124</v>
      </c>
      <c r="S687" s="80">
        <v>6</v>
      </c>
      <c r="T687" s="80">
        <v>12</v>
      </c>
      <c r="U687" s="80" t="s">
        <v>364</v>
      </c>
      <c r="V687" s="80" t="s">
        <v>126</v>
      </c>
      <c r="W687" s="80" t="s">
        <v>127</v>
      </c>
      <c r="X687" s="80"/>
      <c r="Y687" s="80"/>
    </row>
    <row r="688" spans="1:25">
      <c r="A688" s="80">
        <f t="shared" si="10"/>
        <v>687</v>
      </c>
      <c r="B688" s="10">
        <v>45973.448750000003</v>
      </c>
      <c r="C688" s="13" t="s">
        <v>110</v>
      </c>
      <c r="D688" s="80" t="s">
        <v>3629</v>
      </c>
      <c r="E688" s="80" t="s">
        <v>3630</v>
      </c>
      <c r="F688" s="80" t="e">
        <v>#N/A</v>
      </c>
      <c r="G688" s="80" t="e">
        <v>#N/A</v>
      </c>
      <c r="H688" s="80" t="e">
        <v>#N/A</v>
      </c>
      <c r="I688" s="80" t="e">
        <v>#N/A</v>
      </c>
      <c r="J688" s="80" t="e">
        <v>#N/A</v>
      </c>
      <c r="K688" s="80" t="e">
        <v>#N/A</v>
      </c>
      <c r="L688" s="80" t="e">
        <v>#N/A</v>
      </c>
      <c r="M688" s="80" t="e">
        <v>#N/A</v>
      </c>
      <c r="N688" s="80" t="e">
        <v>#N/A</v>
      </c>
      <c r="O688" s="80" t="e">
        <v>#N/A</v>
      </c>
      <c r="P688" s="80" t="e">
        <v>#N/A</v>
      </c>
      <c r="Q688" s="80" t="e">
        <v>#N/A</v>
      </c>
      <c r="R688" s="80" t="e">
        <v>#N/A</v>
      </c>
      <c r="S688" s="80" t="e">
        <v>#N/A</v>
      </c>
      <c r="T688" s="80" t="e">
        <v>#N/A</v>
      </c>
      <c r="U688" s="80" t="s">
        <v>125</v>
      </c>
      <c r="V688" s="80" t="s">
        <v>126</v>
      </c>
      <c r="W688" s="80" t="s">
        <v>127</v>
      </c>
      <c r="X688" s="80"/>
      <c r="Y688" s="80"/>
    </row>
    <row r="689" spans="1:25">
      <c r="A689" s="80">
        <f t="shared" si="10"/>
        <v>688</v>
      </c>
      <c r="B689" s="10">
        <v>45973.450439814798</v>
      </c>
      <c r="C689" s="13" t="s">
        <v>222</v>
      </c>
      <c r="D689" s="80" t="s">
        <v>3631</v>
      </c>
      <c r="E689" s="80" t="s">
        <v>3632</v>
      </c>
      <c r="F689" s="80" t="s">
        <v>3633</v>
      </c>
      <c r="G689" s="80" t="s">
        <v>3634</v>
      </c>
      <c r="H689" s="80" t="s">
        <v>115</v>
      </c>
      <c r="I689" s="80" t="s">
        <v>227</v>
      </c>
      <c r="J689" s="80" t="s">
        <v>117</v>
      </c>
      <c r="K689" s="80">
        <v>1</v>
      </c>
      <c r="L689" s="80" t="s">
        <v>3635</v>
      </c>
      <c r="M689" s="80" t="s">
        <v>3636</v>
      </c>
      <c r="N689" s="80" t="s">
        <v>120</v>
      </c>
      <c r="O689" s="80" t="s">
        <v>121</v>
      </c>
      <c r="P689" s="80" t="s">
        <v>588</v>
      </c>
      <c r="Q689" s="80" t="s">
        <v>123</v>
      </c>
      <c r="R689" s="80" t="s">
        <v>136</v>
      </c>
      <c r="S689" s="80">
        <v>6</v>
      </c>
      <c r="T689" s="80">
        <v>18</v>
      </c>
      <c r="U689" s="80" t="s">
        <v>232</v>
      </c>
      <c r="V689" s="80" t="s">
        <v>126</v>
      </c>
      <c r="W689" s="80" t="s">
        <v>127</v>
      </c>
      <c r="X689" s="80"/>
      <c r="Y689" s="80"/>
    </row>
    <row r="690" spans="1:25">
      <c r="A690" s="80">
        <f t="shared" si="10"/>
        <v>689</v>
      </c>
      <c r="B690" s="10">
        <v>45973.450983796298</v>
      </c>
      <c r="C690" s="13" t="s">
        <v>320</v>
      </c>
      <c r="D690" s="80" t="s">
        <v>3637</v>
      </c>
      <c r="E690" s="80" t="s">
        <v>3638</v>
      </c>
      <c r="F690" s="80" t="s">
        <v>3639</v>
      </c>
      <c r="G690" s="80" t="s">
        <v>3640</v>
      </c>
      <c r="H690" s="80" t="s">
        <v>115</v>
      </c>
      <c r="I690" s="80" t="s">
        <v>865</v>
      </c>
      <c r="J690" s="80" t="s">
        <v>117</v>
      </c>
      <c r="K690" s="80">
        <v>9</v>
      </c>
      <c r="L690" s="80" t="s">
        <v>3641</v>
      </c>
      <c r="M690" s="80" t="s">
        <v>3642</v>
      </c>
      <c r="N690" s="80" t="s">
        <v>3643</v>
      </c>
      <c r="O690" s="80" t="s">
        <v>3644</v>
      </c>
      <c r="P690" s="80" t="s">
        <v>3645</v>
      </c>
      <c r="Q690" s="80" t="s">
        <v>123</v>
      </c>
      <c r="R690" s="80" t="s">
        <v>174</v>
      </c>
      <c r="S690" s="80">
        <v>7</v>
      </c>
      <c r="T690" s="80">
        <v>12</v>
      </c>
      <c r="U690" s="80" t="s">
        <v>328</v>
      </c>
      <c r="V690" s="80" t="s">
        <v>126</v>
      </c>
      <c r="W690" s="80" t="s">
        <v>127</v>
      </c>
      <c r="X690" s="80"/>
      <c r="Y690" s="80"/>
    </row>
    <row r="691" spans="1:25">
      <c r="A691" s="80">
        <f t="shared" si="10"/>
        <v>690</v>
      </c>
      <c r="B691" s="10">
        <v>45973.452384259297</v>
      </c>
      <c r="C691" s="13" t="s">
        <v>840</v>
      </c>
      <c r="D691" s="80" t="s">
        <v>3646</v>
      </c>
      <c r="E691" s="80" t="s">
        <v>3647</v>
      </c>
      <c r="F691" s="80" t="s">
        <v>3648</v>
      </c>
      <c r="G691" s="80" t="s">
        <v>3649</v>
      </c>
      <c r="H691" s="80" t="s">
        <v>115</v>
      </c>
      <c r="I691" s="80" t="s">
        <v>244</v>
      </c>
      <c r="J691" s="80" t="s">
        <v>117</v>
      </c>
      <c r="K691" s="80">
        <v>21</v>
      </c>
      <c r="L691" s="80" t="s">
        <v>3650</v>
      </c>
      <c r="M691" s="80" t="s">
        <v>3651</v>
      </c>
      <c r="N691" s="80" t="s">
        <v>120</v>
      </c>
      <c r="O691" s="80" t="s">
        <v>121</v>
      </c>
      <c r="P691" s="80" t="s">
        <v>178</v>
      </c>
      <c r="Q691" s="80" t="s">
        <v>123</v>
      </c>
      <c r="R691" s="80" t="s">
        <v>174</v>
      </c>
      <c r="S691" s="80">
        <v>6</v>
      </c>
      <c r="T691" s="80">
        <v>18</v>
      </c>
      <c r="U691" s="80" t="s">
        <v>843</v>
      </c>
      <c r="V691" s="80" t="s">
        <v>126</v>
      </c>
      <c r="W691" s="80" t="s">
        <v>127</v>
      </c>
      <c r="X691" s="80"/>
      <c r="Y691" s="80"/>
    </row>
    <row r="692" spans="1:25">
      <c r="A692" s="80">
        <f t="shared" si="10"/>
        <v>691</v>
      </c>
      <c r="B692" s="10">
        <v>45973.452928240702</v>
      </c>
      <c r="C692" s="13" t="s">
        <v>359</v>
      </c>
      <c r="D692" s="80" t="s">
        <v>3652</v>
      </c>
      <c r="E692" s="80" t="s">
        <v>3653</v>
      </c>
      <c r="F692" s="80" t="s">
        <v>3654</v>
      </c>
      <c r="G692" s="80" t="s">
        <v>3655</v>
      </c>
      <c r="H692" s="80" t="s">
        <v>174</v>
      </c>
      <c r="I692" s="80" t="s">
        <v>173</v>
      </c>
      <c r="J692" s="80" t="s">
        <v>149</v>
      </c>
      <c r="K692" s="80">
        <v>1</v>
      </c>
      <c r="L692" s="80" t="s">
        <v>3656</v>
      </c>
      <c r="M692" s="80" t="s">
        <v>3657</v>
      </c>
      <c r="N692" s="80" t="s">
        <v>120</v>
      </c>
      <c r="O692" s="80" t="s">
        <v>421</v>
      </c>
      <c r="P692" s="80" t="s">
        <v>269</v>
      </c>
      <c r="Q692" s="80" t="s">
        <v>123</v>
      </c>
      <c r="R692" s="80" t="s">
        <v>174</v>
      </c>
      <c r="S692" s="80">
        <v>3</v>
      </c>
      <c r="T692" s="80">
        <v>6</v>
      </c>
      <c r="U692" s="80" t="s">
        <v>361</v>
      </c>
      <c r="V692" s="80" t="s">
        <v>126</v>
      </c>
      <c r="W692" s="80" t="s">
        <v>127</v>
      </c>
      <c r="X692" s="80"/>
      <c r="Y692" s="80"/>
    </row>
    <row r="693" spans="1:25">
      <c r="A693" s="80">
        <f t="shared" si="10"/>
        <v>692</v>
      </c>
      <c r="B693" s="10">
        <v>45973.452939814801</v>
      </c>
      <c r="C693" s="13" t="s">
        <v>589</v>
      </c>
      <c r="D693" s="80" t="s">
        <v>3658</v>
      </c>
      <c r="E693" s="80" t="s">
        <v>3653</v>
      </c>
      <c r="F693" s="80" t="s">
        <v>3654</v>
      </c>
      <c r="G693" s="80" t="s">
        <v>3655</v>
      </c>
      <c r="H693" s="80" t="s">
        <v>174</v>
      </c>
      <c r="I693" s="80" t="s">
        <v>173</v>
      </c>
      <c r="J693" s="80" t="s">
        <v>149</v>
      </c>
      <c r="K693" s="80">
        <v>1</v>
      </c>
      <c r="L693" s="80" t="s">
        <v>3656</v>
      </c>
      <c r="M693" s="80" t="s">
        <v>3657</v>
      </c>
      <c r="N693" s="80" t="s">
        <v>120</v>
      </c>
      <c r="O693" s="80" t="s">
        <v>421</v>
      </c>
      <c r="P693" s="80" t="s">
        <v>269</v>
      </c>
      <c r="Q693" s="80" t="s">
        <v>123</v>
      </c>
      <c r="R693" s="80" t="s">
        <v>174</v>
      </c>
      <c r="S693" s="80">
        <v>3</v>
      </c>
      <c r="T693" s="80">
        <v>6</v>
      </c>
      <c r="U693" s="80" t="s">
        <v>596</v>
      </c>
      <c r="V693" s="80" t="s">
        <v>126</v>
      </c>
      <c r="W693" s="80" t="s">
        <v>127</v>
      </c>
      <c r="X693" s="80"/>
      <c r="Y693" s="80"/>
    </row>
    <row r="694" spans="1:25">
      <c r="A694" s="80">
        <f t="shared" si="10"/>
        <v>693</v>
      </c>
      <c r="B694" s="10">
        <v>45973.453113425901</v>
      </c>
      <c r="C694" s="13" t="s">
        <v>320</v>
      </c>
      <c r="D694" s="80" t="s">
        <v>3659</v>
      </c>
      <c r="E694" s="80" t="s">
        <v>3660</v>
      </c>
      <c r="F694" s="80" t="s">
        <v>3661</v>
      </c>
      <c r="G694" s="80" t="s">
        <v>3662</v>
      </c>
      <c r="H694" s="80" t="s">
        <v>115</v>
      </c>
      <c r="I694" s="80" t="s">
        <v>865</v>
      </c>
      <c r="J694" s="80" t="s">
        <v>117</v>
      </c>
      <c r="K694" s="80">
        <v>13</v>
      </c>
      <c r="L694" s="80" t="s">
        <v>3663</v>
      </c>
      <c r="M694" s="80" t="s">
        <v>3664</v>
      </c>
      <c r="N694" s="80" t="s">
        <v>120</v>
      </c>
      <c r="O694" s="80" t="s">
        <v>3274</v>
      </c>
      <c r="P694" s="80" t="s">
        <v>279</v>
      </c>
      <c r="Q694" s="80" t="s">
        <v>123</v>
      </c>
      <c r="R694" s="80" t="s">
        <v>174</v>
      </c>
      <c r="S694" s="80">
        <v>5</v>
      </c>
      <c r="T694" s="80">
        <v>12</v>
      </c>
      <c r="U694" s="80" t="s">
        <v>328</v>
      </c>
      <c r="V694" s="80" t="s">
        <v>126</v>
      </c>
      <c r="W694" s="80" t="s">
        <v>127</v>
      </c>
      <c r="X694" s="80"/>
      <c r="Y694" s="80"/>
    </row>
    <row r="695" spans="1:25">
      <c r="A695" s="80">
        <f t="shared" si="10"/>
        <v>694</v>
      </c>
      <c r="B695" s="10">
        <v>45973.453993055598</v>
      </c>
      <c r="C695" s="13" t="s">
        <v>3665</v>
      </c>
      <c r="D695" s="80" t="s">
        <v>3666</v>
      </c>
      <c r="E695" s="80" t="s">
        <v>1093</v>
      </c>
      <c r="F695" s="80" t="s">
        <v>1094</v>
      </c>
      <c r="G695" s="80" t="s">
        <v>1095</v>
      </c>
      <c r="H695" s="80" t="s">
        <v>115</v>
      </c>
      <c r="I695" s="80" t="s">
        <v>955</v>
      </c>
      <c r="J695" s="80" t="s">
        <v>117</v>
      </c>
      <c r="K695" s="80">
        <v>16</v>
      </c>
      <c r="L695" s="80" t="s">
        <v>1096</v>
      </c>
      <c r="M695" s="80" t="s">
        <v>1097</v>
      </c>
      <c r="N695" s="80" t="s">
        <v>120</v>
      </c>
      <c r="O695" s="80" t="s">
        <v>398</v>
      </c>
      <c r="P695" s="80" t="s">
        <v>178</v>
      </c>
      <c r="Q695" s="80" t="s">
        <v>123</v>
      </c>
      <c r="R695" s="80" t="s">
        <v>174</v>
      </c>
      <c r="S695" s="80">
        <v>3</v>
      </c>
      <c r="T695" s="80">
        <v>18</v>
      </c>
      <c r="U695" s="80" t="s">
        <v>3667</v>
      </c>
      <c r="V695" s="80" t="s">
        <v>126</v>
      </c>
      <c r="W695" s="80" t="s">
        <v>127</v>
      </c>
      <c r="X695" s="80"/>
      <c r="Y695" s="80"/>
    </row>
    <row r="696" spans="1:25">
      <c r="A696" s="80">
        <f t="shared" si="10"/>
        <v>695</v>
      </c>
      <c r="B696" s="10">
        <v>45973.454317129603</v>
      </c>
      <c r="C696" s="13" t="s">
        <v>320</v>
      </c>
      <c r="D696" s="80" t="s">
        <v>3668</v>
      </c>
      <c r="E696" s="80" t="s">
        <v>3669</v>
      </c>
      <c r="F696" s="80" t="s">
        <v>3670</v>
      </c>
      <c r="G696" s="80" t="s">
        <v>3671</v>
      </c>
      <c r="H696" s="80" t="s">
        <v>115</v>
      </c>
      <c r="I696" s="80" t="s">
        <v>237</v>
      </c>
      <c r="J696" s="80" t="s">
        <v>117</v>
      </c>
      <c r="K696" s="80">
        <v>1</v>
      </c>
      <c r="L696" s="80" t="s">
        <v>3672</v>
      </c>
      <c r="M696" s="80" t="s">
        <v>3673</v>
      </c>
      <c r="N696" s="80" t="s">
        <v>164</v>
      </c>
      <c r="O696" s="80" t="s">
        <v>2774</v>
      </c>
      <c r="P696" s="80" t="s">
        <v>3674</v>
      </c>
      <c r="Q696" s="80" t="s">
        <v>123</v>
      </c>
      <c r="R696" s="80" t="s">
        <v>124</v>
      </c>
      <c r="S696" s="80">
        <v>7</v>
      </c>
      <c r="T696" s="80">
        <v>24</v>
      </c>
      <c r="U696" s="80" t="s">
        <v>328</v>
      </c>
      <c r="V696" s="80" t="s">
        <v>126</v>
      </c>
      <c r="W696" s="80" t="s">
        <v>127</v>
      </c>
      <c r="X696" s="80"/>
      <c r="Y696" s="80"/>
    </row>
    <row r="697" spans="1:25">
      <c r="A697" s="80">
        <f t="shared" si="10"/>
        <v>696</v>
      </c>
      <c r="B697" s="10">
        <v>45973.456342592603</v>
      </c>
      <c r="C697" s="13" t="s">
        <v>320</v>
      </c>
      <c r="D697" s="80" t="s">
        <v>3675</v>
      </c>
      <c r="E697" s="80" t="s">
        <v>909</v>
      </c>
      <c r="F697" s="80" t="s">
        <v>910</v>
      </c>
      <c r="G697" s="80" t="s">
        <v>911</v>
      </c>
      <c r="H697" s="80" t="s">
        <v>115</v>
      </c>
      <c r="I697" s="80" t="s">
        <v>227</v>
      </c>
      <c r="J697" s="80" t="s">
        <v>117</v>
      </c>
      <c r="K697" s="80">
        <v>13</v>
      </c>
      <c r="L697" s="80" t="s">
        <v>912</v>
      </c>
      <c r="M697" s="80" t="s">
        <v>913</v>
      </c>
      <c r="N697" s="80" t="s">
        <v>120</v>
      </c>
      <c r="O697" s="80" t="s">
        <v>152</v>
      </c>
      <c r="P697" s="80" t="s">
        <v>135</v>
      </c>
      <c r="Q697" s="80" t="s">
        <v>123</v>
      </c>
      <c r="R697" s="80" t="s">
        <v>174</v>
      </c>
      <c r="S697" s="80">
        <v>14</v>
      </c>
      <c r="T697" s="80">
        <v>24</v>
      </c>
      <c r="U697" s="80" t="s">
        <v>328</v>
      </c>
      <c r="V697" s="80" t="s">
        <v>126</v>
      </c>
      <c r="W697" s="80" t="s">
        <v>127</v>
      </c>
      <c r="X697" s="80"/>
      <c r="Y697" s="80"/>
    </row>
    <row r="698" spans="1:25">
      <c r="A698" s="80">
        <f t="shared" si="10"/>
        <v>697</v>
      </c>
      <c r="B698" s="10">
        <v>45973.456840277802</v>
      </c>
      <c r="C698" s="13" t="s">
        <v>3665</v>
      </c>
      <c r="D698" s="80" t="s">
        <v>3666</v>
      </c>
      <c r="E698" s="80" t="s">
        <v>728</v>
      </c>
      <c r="F698" s="80" t="s">
        <v>729</v>
      </c>
      <c r="G698" s="80" t="s">
        <v>730</v>
      </c>
      <c r="H698" s="80" t="s">
        <v>115</v>
      </c>
      <c r="I698" s="80" t="s">
        <v>865</v>
      </c>
      <c r="J698" s="80" t="s">
        <v>117</v>
      </c>
      <c r="K698" s="80">
        <v>15</v>
      </c>
      <c r="L698" s="80" t="s">
        <v>731</v>
      </c>
      <c r="M698" s="80" t="s">
        <v>732</v>
      </c>
      <c r="N698" s="80" t="s">
        <v>120</v>
      </c>
      <c r="O698" s="80" t="s">
        <v>247</v>
      </c>
      <c r="P698" s="80" t="s">
        <v>122</v>
      </c>
      <c r="Q698" s="80" t="s">
        <v>123</v>
      </c>
      <c r="R698" s="80" t="s">
        <v>174</v>
      </c>
      <c r="S698" s="80">
        <v>4</v>
      </c>
      <c r="T698" s="80">
        <v>6</v>
      </c>
      <c r="U698" s="80" t="s">
        <v>3667</v>
      </c>
      <c r="V698" s="80" t="s">
        <v>126</v>
      </c>
      <c r="W698" s="80" t="s">
        <v>127</v>
      </c>
      <c r="X698" s="80"/>
      <c r="Y698" s="80"/>
    </row>
    <row r="699" spans="1:25">
      <c r="A699" s="80">
        <f t="shared" si="10"/>
        <v>698</v>
      </c>
      <c r="B699" s="10">
        <v>45973.458425925899</v>
      </c>
      <c r="C699" s="13" t="s">
        <v>553</v>
      </c>
      <c r="D699" s="80" t="s">
        <v>3676</v>
      </c>
      <c r="E699" s="80" t="s">
        <v>3647</v>
      </c>
      <c r="F699" s="80" t="s">
        <v>3648</v>
      </c>
      <c r="G699" s="80" t="s">
        <v>3649</v>
      </c>
      <c r="H699" s="80" t="s">
        <v>115</v>
      </c>
      <c r="I699" s="80" t="s">
        <v>244</v>
      </c>
      <c r="J699" s="80" t="s">
        <v>117</v>
      </c>
      <c r="K699" s="80">
        <v>21</v>
      </c>
      <c r="L699" s="80" t="s">
        <v>3650</v>
      </c>
      <c r="M699" s="80" t="s">
        <v>3651</v>
      </c>
      <c r="N699" s="80" t="s">
        <v>120</v>
      </c>
      <c r="O699" s="80" t="s">
        <v>121</v>
      </c>
      <c r="P699" s="80" t="s">
        <v>178</v>
      </c>
      <c r="Q699" s="80" t="s">
        <v>123</v>
      </c>
      <c r="R699" s="80" t="s">
        <v>174</v>
      </c>
      <c r="S699" s="80">
        <v>6</v>
      </c>
      <c r="T699" s="80">
        <v>18</v>
      </c>
      <c r="U699" s="80" t="s">
        <v>562</v>
      </c>
      <c r="V699" s="80" t="s">
        <v>126</v>
      </c>
      <c r="W699" s="80" t="s">
        <v>127</v>
      </c>
      <c r="X699" s="80"/>
      <c r="Y699" s="80"/>
    </row>
    <row r="700" spans="1:25">
      <c r="A700" s="80">
        <f t="shared" si="10"/>
        <v>699</v>
      </c>
      <c r="B700" s="10">
        <v>45973.4593171296</v>
      </c>
      <c r="C700" s="13" t="s">
        <v>359</v>
      </c>
      <c r="D700" s="80" t="s">
        <v>3677</v>
      </c>
      <c r="E700" s="80" t="s">
        <v>2913</v>
      </c>
      <c r="F700" s="80" t="s">
        <v>2914</v>
      </c>
      <c r="G700" s="80" t="s">
        <v>2915</v>
      </c>
      <c r="H700" s="80" t="s">
        <v>115</v>
      </c>
      <c r="I700" s="80" t="s">
        <v>865</v>
      </c>
      <c r="J700" s="80" t="s">
        <v>149</v>
      </c>
      <c r="K700" s="80">
        <v>6</v>
      </c>
      <c r="L700" s="80" t="s">
        <v>2916</v>
      </c>
      <c r="M700" s="80" t="s">
        <v>2917</v>
      </c>
      <c r="N700" s="80" t="s">
        <v>120</v>
      </c>
      <c r="O700" s="80" t="s">
        <v>449</v>
      </c>
      <c r="P700" s="80" t="s">
        <v>1180</v>
      </c>
      <c r="Q700" s="80" t="s">
        <v>123</v>
      </c>
      <c r="R700" s="80" t="s">
        <v>174</v>
      </c>
      <c r="S700" s="80">
        <v>1</v>
      </c>
      <c r="T700" s="80">
        <v>18</v>
      </c>
      <c r="U700" s="80" t="s">
        <v>361</v>
      </c>
      <c r="V700" s="80" t="s">
        <v>126</v>
      </c>
      <c r="W700" s="80" t="s">
        <v>127</v>
      </c>
      <c r="X700" s="80"/>
      <c r="Y700" s="80"/>
    </row>
    <row r="701" spans="1:25">
      <c r="A701" s="80">
        <f t="shared" si="10"/>
        <v>700</v>
      </c>
      <c r="B701" s="10">
        <v>45973.459386574097</v>
      </c>
      <c r="C701" s="13" t="s">
        <v>589</v>
      </c>
      <c r="D701" s="80" t="s">
        <v>3678</v>
      </c>
      <c r="E701" s="80" t="s">
        <v>2913</v>
      </c>
      <c r="F701" s="80" t="s">
        <v>2914</v>
      </c>
      <c r="G701" s="80" t="s">
        <v>2915</v>
      </c>
      <c r="H701" s="80" t="s">
        <v>115</v>
      </c>
      <c r="I701" s="80" t="s">
        <v>865</v>
      </c>
      <c r="J701" s="80" t="s">
        <v>149</v>
      </c>
      <c r="K701" s="80">
        <v>6</v>
      </c>
      <c r="L701" s="80" t="s">
        <v>2916</v>
      </c>
      <c r="M701" s="80" t="s">
        <v>2917</v>
      </c>
      <c r="N701" s="80" t="s">
        <v>120</v>
      </c>
      <c r="O701" s="80" t="s">
        <v>449</v>
      </c>
      <c r="P701" s="80" t="s">
        <v>1180</v>
      </c>
      <c r="Q701" s="80" t="s">
        <v>123</v>
      </c>
      <c r="R701" s="80" t="s">
        <v>174</v>
      </c>
      <c r="S701" s="80">
        <v>1</v>
      </c>
      <c r="T701" s="80">
        <v>18</v>
      </c>
      <c r="U701" s="80" t="s">
        <v>596</v>
      </c>
      <c r="V701" s="80" t="s">
        <v>126</v>
      </c>
      <c r="W701" s="80" t="s">
        <v>127</v>
      </c>
      <c r="X701" s="80"/>
      <c r="Y701" s="80"/>
    </row>
    <row r="702" spans="1:25">
      <c r="A702" s="80">
        <f t="shared" si="10"/>
        <v>701</v>
      </c>
      <c r="B702" s="10">
        <v>45973.461516203701</v>
      </c>
      <c r="C702" s="13" t="s">
        <v>320</v>
      </c>
      <c r="D702" s="80" t="s">
        <v>3679</v>
      </c>
      <c r="E702" s="80" t="s">
        <v>3680</v>
      </c>
      <c r="F702" s="80" t="s">
        <v>3681</v>
      </c>
      <c r="G702" s="80" t="s">
        <v>3682</v>
      </c>
      <c r="H702" s="80" t="s">
        <v>115</v>
      </c>
      <c r="I702" s="80" t="s">
        <v>237</v>
      </c>
      <c r="J702" s="80" t="s">
        <v>117</v>
      </c>
      <c r="K702" s="80">
        <v>25</v>
      </c>
      <c r="L702" s="80" t="s">
        <v>3683</v>
      </c>
      <c r="M702" s="80" t="s">
        <v>3684</v>
      </c>
      <c r="N702" s="80" t="s">
        <v>120</v>
      </c>
      <c r="O702" s="80" t="s">
        <v>230</v>
      </c>
      <c r="P702" s="80" t="s">
        <v>135</v>
      </c>
      <c r="Q702" s="80" t="s">
        <v>123</v>
      </c>
      <c r="R702" s="80" t="s">
        <v>174</v>
      </c>
      <c r="S702" s="80">
        <v>5</v>
      </c>
      <c r="T702" s="80">
        <v>12</v>
      </c>
      <c r="U702" s="80" t="s">
        <v>328</v>
      </c>
      <c r="V702" s="80" t="s">
        <v>126</v>
      </c>
      <c r="W702" s="80" t="s">
        <v>127</v>
      </c>
      <c r="X702" s="80"/>
      <c r="Y702" s="80"/>
    </row>
    <row r="703" spans="1:25">
      <c r="A703" s="80">
        <f t="shared" si="10"/>
        <v>702</v>
      </c>
      <c r="B703" s="10">
        <v>45973.470914351798</v>
      </c>
      <c r="C703" s="13" t="s">
        <v>589</v>
      </c>
      <c r="D703" s="80" t="s">
        <v>3685</v>
      </c>
      <c r="E703" s="80" t="s">
        <v>3686</v>
      </c>
      <c r="F703" s="80" t="s">
        <v>3687</v>
      </c>
      <c r="G703" s="80" t="s">
        <v>3688</v>
      </c>
      <c r="H703" s="80" t="s">
        <v>115</v>
      </c>
      <c r="I703" s="80" t="s">
        <v>955</v>
      </c>
      <c r="J703" s="80" t="s">
        <v>117</v>
      </c>
      <c r="K703" s="80">
        <v>22</v>
      </c>
      <c r="L703" s="80" t="s">
        <v>3689</v>
      </c>
      <c r="M703" s="80" t="s">
        <v>3690</v>
      </c>
      <c r="N703" s="80" t="s">
        <v>120</v>
      </c>
      <c r="O703" s="80" t="s">
        <v>3691</v>
      </c>
      <c r="P703" s="80" t="s">
        <v>135</v>
      </c>
      <c r="Q703" s="80" t="s">
        <v>123</v>
      </c>
      <c r="R703" s="80" t="s">
        <v>174</v>
      </c>
      <c r="S703" s="80">
        <v>4</v>
      </c>
      <c r="T703" s="80">
        <v>12</v>
      </c>
      <c r="U703" s="80" t="s">
        <v>596</v>
      </c>
      <c r="V703" s="80" t="s">
        <v>126</v>
      </c>
      <c r="W703" s="80" t="s">
        <v>127</v>
      </c>
      <c r="X703" s="80"/>
      <c r="Y703" s="80"/>
    </row>
    <row r="704" spans="1:25">
      <c r="A704" s="80">
        <f t="shared" si="10"/>
        <v>703</v>
      </c>
      <c r="B704" s="10">
        <v>45973.490312499998</v>
      </c>
      <c r="C704" s="13" t="s">
        <v>604</v>
      </c>
      <c r="D704" s="80" t="s">
        <v>3692</v>
      </c>
      <c r="E704" s="80" t="s">
        <v>3693</v>
      </c>
      <c r="F704" s="80" t="s">
        <v>3694</v>
      </c>
      <c r="G704" s="80" t="s">
        <v>3695</v>
      </c>
      <c r="H704" s="80" t="s">
        <v>148</v>
      </c>
      <c r="I704" s="80" t="s">
        <v>46</v>
      </c>
      <c r="J704" s="80" t="s">
        <v>149</v>
      </c>
      <c r="K704" s="80">
        <v>11</v>
      </c>
      <c r="L704" s="80" t="s">
        <v>3696</v>
      </c>
      <c r="M704" s="80" t="s">
        <v>3697</v>
      </c>
      <c r="N704" s="80" t="s">
        <v>120</v>
      </c>
      <c r="O704" s="80" t="s">
        <v>152</v>
      </c>
      <c r="P704" s="80" t="s">
        <v>1180</v>
      </c>
      <c r="Q704" s="80" t="s">
        <v>123</v>
      </c>
      <c r="R704" s="80" t="s">
        <v>136</v>
      </c>
      <c r="S704" s="80">
        <v>6</v>
      </c>
      <c r="T704" s="80">
        <v>24</v>
      </c>
      <c r="U704" s="80" t="s">
        <v>613</v>
      </c>
      <c r="V704" s="80" t="s">
        <v>126</v>
      </c>
      <c r="W704" s="80" t="s">
        <v>1770</v>
      </c>
      <c r="X704" s="80"/>
      <c r="Y704" s="80"/>
    </row>
    <row r="705" spans="1:25">
      <c r="A705" s="80">
        <f t="shared" si="10"/>
        <v>704</v>
      </c>
      <c r="B705" s="10">
        <v>45973.491909722201</v>
      </c>
      <c r="C705" s="13" t="s">
        <v>604</v>
      </c>
      <c r="D705" s="80" t="s">
        <v>3698</v>
      </c>
      <c r="E705" s="80" t="s">
        <v>3699</v>
      </c>
      <c r="F705" s="80" t="s">
        <v>3700</v>
      </c>
      <c r="G705" s="80" t="s">
        <v>3701</v>
      </c>
      <c r="H705" s="80" t="s">
        <v>115</v>
      </c>
      <c r="I705" s="80" t="s">
        <v>842</v>
      </c>
      <c r="J705" s="80" t="s">
        <v>149</v>
      </c>
      <c r="K705" s="80">
        <v>1</v>
      </c>
      <c r="L705" s="80" t="s">
        <v>3702</v>
      </c>
      <c r="M705" s="80" t="s">
        <v>3703</v>
      </c>
      <c r="N705" s="80" t="s">
        <v>120</v>
      </c>
      <c r="O705" s="80" t="s">
        <v>611</v>
      </c>
      <c r="P705" s="80" t="s">
        <v>135</v>
      </c>
      <c r="Q705" s="80" t="s">
        <v>123</v>
      </c>
      <c r="R705" s="80" t="s">
        <v>136</v>
      </c>
      <c r="S705" s="80">
        <v>1</v>
      </c>
      <c r="T705" s="80">
        <v>18</v>
      </c>
      <c r="U705" s="80" t="s">
        <v>613</v>
      </c>
      <c r="V705" s="80" t="s">
        <v>126</v>
      </c>
      <c r="W705" s="80" t="s">
        <v>127</v>
      </c>
      <c r="X705" s="80"/>
      <c r="Y705" s="80"/>
    </row>
    <row r="706" spans="1:25">
      <c r="A706" s="80">
        <f t="shared" si="10"/>
        <v>705</v>
      </c>
      <c r="B706" s="10">
        <v>45973.507685185199</v>
      </c>
      <c r="C706" s="13" t="s">
        <v>604</v>
      </c>
      <c r="D706" s="80" t="s">
        <v>3704</v>
      </c>
      <c r="E706" s="80" t="s">
        <v>3705</v>
      </c>
      <c r="F706" s="80" t="s">
        <v>3706</v>
      </c>
      <c r="G706" s="80" t="s">
        <v>3707</v>
      </c>
      <c r="H706" s="80" t="s">
        <v>148</v>
      </c>
      <c r="I706" s="80" t="s">
        <v>46</v>
      </c>
      <c r="J706" s="80" t="s">
        <v>149</v>
      </c>
      <c r="K706" s="80">
        <v>1</v>
      </c>
      <c r="L706" s="80" t="s">
        <v>3708</v>
      </c>
      <c r="M706" s="80" t="s">
        <v>3709</v>
      </c>
      <c r="N706" s="80" t="s">
        <v>120</v>
      </c>
      <c r="O706" s="80" t="s">
        <v>449</v>
      </c>
      <c r="P706" s="80" t="s">
        <v>135</v>
      </c>
      <c r="Q706" s="80" t="s">
        <v>123</v>
      </c>
      <c r="R706" s="80" t="s">
        <v>136</v>
      </c>
      <c r="S706" s="80">
        <v>11</v>
      </c>
      <c r="T706" s="80">
        <v>12</v>
      </c>
      <c r="U706" s="80" t="s">
        <v>613</v>
      </c>
      <c r="V706" s="80" t="s">
        <v>126</v>
      </c>
      <c r="W706" s="80" t="s">
        <v>5333</v>
      </c>
      <c r="X706" s="80"/>
      <c r="Y706" s="80"/>
    </row>
    <row r="707" spans="1:25">
      <c r="A707" s="80">
        <f t="shared" si="10"/>
        <v>706</v>
      </c>
      <c r="B707" s="10">
        <v>45973.519027777802</v>
      </c>
      <c r="C707" s="13" t="s">
        <v>553</v>
      </c>
      <c r="D707" s="80" t="s">
        <v>3710</v>
      </c>
      <c r="E707" s="80" t="s">
        <v>3579</v>
      </c>
      <c r="F707" s="80" t="s">
        <v>3580</v>
      </c>
      <c r="G707" s="80" t="s">
        <v>3581</v>
      </c>
      <c r="H707" s="80" t="s">
        <v>148</v>
      </c>
      <c r="I707" s="80" t="s">
        <v>46</v>
      </c>
      <c r="J707" s="80" t="s">
        <v>149</v>
      </c>
      <c r="K707" s="80">
        <v>21</v>
      </c>
      <c r="L707" s="80" t="s">
        <v>3582</v>
      </c>
      <c r="M707" s="80" t="s">
        <v>3583</v>
      </c>
      <c r="N707" s="80" t="s">
        <v>120</v>
      </c>
      <c r="O707" s="80" t="s">
        <v>152</v>
      </c>
      <c r="P707" s="80" t="s">
        <v>135</v>
      </c>
      <c r="Q707" s="80" t="s">
        <v>123</v>
      </c>
      <c r="R707" s="80" t="s">
        <v>136</v>
      </c>
      <c r="S707" s="80">
        <v>4</v>
      </c>
      <c r="T707" s="80">
        <v>18</v>
      </c>
      <c r="U707" s="80" t="s">
        <v>562</v>
      </c>
      <c r="V707" s="80" t="s">
        <v>126</v>
      </c>
      <c r="W707" s="80" t="s">
        <v>1770</v>
      </c>
      <c r="X707" s="80"/>
      <c r="Y707" s="80"/>
    </row>
    <row r="708" spans="1:25">
      <c r="A708" s="80">
        <f t="shared" ref="A708:A771" si="11">A707+1</f>
        <v>707</v>
      </c>
      <c r="B708" s="10">
        <v>45973.525902777801</v>
      </c>
      <c r="C708" s="13" t="s">
        <v>1305</v>
      </c>
      <c r="D708" s="80" t="s">
        <v>3711</v>
      </c>
      <c r="E708" s="80" t="s">
        <v>3712</v>
      </c>
      <c r="F708" s="80" t="s">
        <v>3713</v>
      </c>
      <c r="G708" s="80" t="s">
        <v>3714</v>
      </c>
      <c r="H708" s="80" t="s">
        <v>115</v>
      </c>
      <c r="I708" s="80" t="s">
        <v>865</v>
      </c>
      <c r="J708" s="80" t="s">
        <v>117</v>
      </c>
      <c r="K708" s="80">
        <v>16</v>
      </c>
      <c r="L708" s="80" t="s">
        <v>3715</v>
      </c>
      <c r="M708" s="80" t="s">
        <v>3716</v>
      </c>
      <c r="N708" s="80" t="s">
        <v>120</v>
      </c>
      <c r="O708" s="80" t="s">
        <v>213</v>
      </c>
      <c r="P708" s="80" t="s">
        <v>178</v>
      </c>
      <c r="Q708" s="80" t="s">
        <v>123</v>
      </c>
      <c r="R708" s="80" t="s">
        <v>174</v>
      </c>
      <c r="S708" s="80">
        <v>15</v>
      </c>
      <c r="T708" s="80">
        <v>24</v>
      </c>
      <c r="U708" s="80" t="s">
        <v>1312</v>
      </c>
      <c r="V708" s="80" t="s">
        <v>126</v>
      </c>
      <c r="W708" s="80" t="s">
        <v>127</v>
      </c>
      <c r="X708" s="80"/>
      <c r="Y708" s="80"/>
    </row>
    <row r="709" spans="1:25">
      <c r="A709" s="80">
        <f t="shared" si="11"/>
        <v>708</v>
      </c>
      <c r="B709" s="10">
        <v>45973.528668981497</v>
      </c>
      <c r="C709" s="13" t="s">
        <v>320</v>
      </c>
      <c r="D709" s="80" t="s">
        <v>3717</v>
      </c>
      <c r="E709" s="80" t="s">
        <v>3718</v>
      </c>
      <c r="F709" s="80" t="s">
        <v>3719</v>
      </c>
      <c r="G709" s="80" t="s">
        <v>3720</v>
      </c>
      <c r="H709" s="80" t="s">
        <v>115</v>
      </c>
      <c r="I709" s="80" t="s">
        <v>227</v>
      </c>
      <c r="J709" s="80" t="s">
        <v>149</v>
      </c>
      <c r="K709" s="80">
        <v>4</v>
      </c>
      <c r="L709" s="80" t="s">
        <v>3721</v>
      </c>
      <c r="M709" s="80" t="s">
        <v>3722</v>
      </c>
      <c r="N709" s="80" t="s">
        <v>120</v>
      </c>
      <c r="O709" s="80" t="s">
        <v>121</v>
      </c>
      <c r="P709" s="80" t="s">
        <v>2070</v>
      </c>
      <c r="Q709" s="80" t="s">
        <v>123</v>
      </c>
      <c r="R709" s="80" t="s">
        <v>136</v>
      </c>
      <c r="S709" s="80">
        <v>2</v>
      </c>
      <c r="T709" s="80">
        <v>12</v>
      </c>
      <c r="U709" s="80" t="s">
        <v>328</v>
      </c>
      <c r="V709" s="80" t="s">
        <v>126</v>
      </c>
      <c r="W709" s="80" t="s">
        <v>127</v>
      </c>
      <c r="X709" s="80"/>
      <c r="Y709" s="80"/>
    </row>
    <row r="710" spans="1:25">
      <c r="A710" s="80">
        <f t="shared" si="11"/>
        <v>709</v>
      </c>
      <c r="B710" s="10">
        <v>45973.528900463003</v>
      </c>
      <c r="C710" s="13" t="s">
        <v>604</v>
      </c>
      <c r="D710" s="80" t="s">
        <v>3723</v>
      </c>
      <c r="E710" s="80" t="s">
        <v>3724</v>
      </c>
      <c r="F710" s="80" t="s">
        <v>3725</v>
      </c>
      <c r="G710" s="80" t="s">
        <v>3726</v>
      </c>
      <c r="H710" s="80" t="s">
        <v>174</v>
      </c>
      <c r="I710" s="80" t="s">
        <v>173</v>
      </c>
      <c r="J710" s="80" t="s">
        <v>149</v>
      </c>
      <c r="K710" s="80">
        <v>3</v>
      </c>
      <c r="L710" s="80" t="s">
        <v>3727</v>
      </c>
      <c r="M710" s="80" t="s">
        <v>3728</v>
      </c>
      <c r="N710" s="80" t="s">
        <v>120</v>
      </c>
      <c r="O710" s="80" t="s">
        <v>121</v>
      </c>
      <c r="P710" s="80" t="s">
        <v>122</v>
      </c>
      <c r="Q710" s="80" t="s">
        <v>123</v>
      </c>
      <c r="R710" s="80" t="s">
        <v>174</v>
      </c>
      <c r="S710" s="80">
        <v>3</v>
      </c>
      <c r="T710" s="80">
        <v>12</v>
      </c>
      <c r="U710" s="80" t="s">
        <v>613</v>
      </c>
      <c r="V710" s="80" t="s">
        <v>126</v>
      </c>
      <c r="W710" s="80" t="s">
        <v>127</v>
      </c>
      <c r="X710" s="80"/>
      <c r="Y710" s="80"/>
    </row>
    <row r="711" spans="1:25">
      <c r="A711" s="80">
        <f t="shared" si="11"/>
        <v>710</v>
      </c>
      <c r="B711" s="10">
        <v>45973.534756944398</v>
      </c>
      <c r="C711" s="13" t="s">
        <v>589</v>
      </c>
      <c r="D711" s="80" t="s">
        <v>3729</v>
      </c>
      <c r="E711" s="80" t="s">
        <v>2862</v>
      </c>
      <c r="F711" s="80" t="s">
        <v>2863</v>
      </c>
      <c r="G711" s="80" t="s">
        <v>2864</v>
      </c>
      <c r="H711" s="80" t="s">
        <v>115</v>
      </c>
      <c r="I711" s="80" t="s">
        <v>244</v>
      </c>
      <c r="J711" s="80" t="s">
        <v>117</v>
      </c>
      <c r="K711" s="80">
        <v>10</v>
      </c>
      <c r="L711" s="80" t="s">
        <v>2865</v>
      </c>
      <c r="M711" s="80" t="s">
        <v>2866</v>
      </c>
      <c r="N711" s="80" t="s">
        <v>120</v>
      </c>
      <c r="O711" s="80" t="s">
        <v>152</v>
      </c>
      <c r="P711" s="80" t="s">
        <v>135</v>
      </c>
      <c r="Q711" s="80" t="s">
        <v>123</v>
      </c>
      <c r="R711" s="80" t="s">
        <v>174</v>
      </c>
      <c r="S711" s="80">
        <v>6</v>
      </c>
      <c r="T711" s="80">
        <v>18</v>
      </c>
      <c r="U711" s="80" t="s">
        <v>596</v>
      </c>
      <c r="V711" s="80" t="s">
        <v>126</v>
      </c>
      <c r="W711" s="80" t="s">
        <v>127</v>
      </c>
      <c r="X711" s="80"/>
      <c r="Y711" s="80"/>
    </row>
    <row r="712" spans="1:25">
      <c r="A712" s="80">
        <f t="shared" si="11"/>
        <v>711</v>
      </c>
      <c r="B712" s="10">
        <v>45973.534907407397</v>
      </c>
      <c r="C712" s="13" t="s">
        <v>320</v>
      </c>
      <c r="D712" s="80" t="s">
        <v>3730</v>
      </c>
      <c r="E712" s="80" t="s">
        <v>3731</v>
      </c>
      <c r="F712" s="80" t="s">
        <v>3732</v>
      </c>
      <c r="G712" s="80" t="s">
        <v>3733</v>
      </c>
      <c r="H712" s="80" t="s">
        <v>115</v>
      </c>
      <c r="I712" s="80" t="s">
        <v>865</v>
      </c>
      <c r="J712" s="80" t="s">
        <v>117</v>
      </c>
      <c r="K712" s="80">
        <v>22</v>
      </c>
      <c r="L712" s="80" t="s">
        <v>3734</v>
      </c>
      <c r="M712" s="80" t="s">
        <v>3735</v>
      </c>
      <c r="N712" s="80" t="s">
        <v>120</v>
      </c>
      <c r="O712" s="80" t="s">
        <v>240</v>
      </c>
      <c r="P712" s="80" t="s">
        <v>135</v>
      </c>
      <c r="Q712" s="80" t="s">
        <v>123</v>
      </c>
      <c r="R712" s="80" t="s">
        <v>174</v>
      </c>
      <c r="S712" s="80">
        <v>3</v>
      </c>
      <c r="T712" s="80">
        <v>18</v>
      </c>
      <c r="U712" s="80" t="s">
        <v>328</v>
      </c>
      <c r="V712" s="80" t="s">
        <v>126</v>
      </c>
      <c r="W712" s="80" t="s">
        <v>127</v>
      </c>
      <c r="X712" s="80"/>
      <c r="Y712" s="80"/>
    </row>
    <row r="713" spans="1:25">
      <c r="A713" s="80">
        <f t="shared" si="11"/>
        <v>712</v>
      </c>
      <c r="B713" s="10">
        <v>45973.535312499997</v>
      </c>
      <c r="C713" s="13" t="s">
        <v>320</v>
      </c>
      <c r="D713" s="80" t="s">
        <v>3736</v>
      </c>
      <c r="E713" s="80" t="s">
        <v>3737</v>
      </c>
      <c r="F713" s="80" t="s">
        <v>3738</v>
      </c>
      <c r="G713" s="80" t="s">
        <v>3739</v>
      </c>
      <c r="H713" s="80" t="s">
        <v>115</v>
      </c>
      <c r="I713" s="80" t="s">
        <v>244</v>
      </c>
      <c r="J713" s="80" t="s">
        <v>117</v>
      </c>
      <c r="K713" s="80">
        <v>9</v>
      </c>
      <c r="L713" s="80" t="s">
        <v>3740</v>
      </c>
      <c r="M713" s="80" t="s">
        <v>3741</v>
      </c>
      <c r="N713" s="80" t="s">
        <v>120</v>
      </c>
      <c r="O713" s="80" t="s">
        <v>327</v>
      </c>
      <c r="P713" s="80" t="s">
        <v>135</v>
      </c>
      <c r="Q713" s="80" t="s">
        <v>123</v>
      </c>
      <c r="R713" s="80" t="s">
        <v>174</v>
      </c>
      <c r="S713" s="80">
        <v>10</v>
      </c>
      <c r="T713" s="80">
        <v>12</v>
      </c>
      <c r="U713" s="80" t="s">
        <v>328</v>
      </c>
      <c r="V713" s="80" t="s">
        <v>126</v>
      </c>
      <c r="W713" s="80" t="s">
        <v>127</v>
      </c>
      <c r="X713" s="80"/>
      <c r="Y713" s="80"/>
    </row>
    <row r="714" spans="1:25">
      <c r="A714" s="80">
        <f t="shared" si="11"/>
        <v>713</v>
      </c>
      <c r="B714" s="10">
        <v>45973.541562500002</v>
      </c>
      <c r="C714" s="13" t="s">
        <v>840</v>
      </c>
      <c r="D714" s="80" t="s">
        <v>3742</v>
      </c>
      <c r="E714" s="80" t="s">
        <v>3743</v>
      </c>
      <c r="F714" s="80" t="s">
        <v>3744</v>
      </c>
      <c r="G714" s="80" t="s">
        <v>3745</v>
      </c>
      <c r="H714" s="80" t="s">
        <v>115</v>
      </c>
      <c r="I714" s="80" t="s">
        <v>1383</v>
      </c>
      <c r="J714" s="80" t="s">
        <v>117</v>
      </c>
      <c r="K714" s="80">
        <v>7</v>
      </c>
      <c r="L714" s="80" t="s">
        <v>3746</v>
      </c>
      <c r="M714" s="80" t="s">
        <v>3747</v>
      </c>
      <c r="N714" s="80" t="s">
        <v>120</v>
      </c>
      <c r="O714" s="80" t="s">
        <v>152</v>
      </c>
      <c r="P714" s="80" t="s">
        <v>135</v>
      </c>
      <c r="Q714" s="80" t="s">
        <v>123</v>
      </c>
      <c r="R714" s="80" t="s">
        <v>174</v>
      </c>
      <c r="S714" s="80">
        <v>3</v>
      </c>
      <c r="T714" s="80">
        <v>18</v>
      </c>
      <c r="U714" s="80" t="s">
        <v>843</v>
      </c>
      <c r="V714" s="80" t="s">
        <v>126</v>
      </c>
      <c r="W714" s="80" t="s">
        <v>127</v>
      </c>
      <c r="X714" s="80"/>
      <c r="Y714" s="80"/>
    </row>
    <row r="715" spans="1:25">
      <c r="A715" s="80">
        <f t="shared" si="11"/>
        <v>714</v>
      </c>
      <c r="B715" s="10">
        <v>45973.542430555601</v>
      </c>
      <c r="C715" s="13" t="s">
        <v>2077</v>
      </c>
      <c r="D715" s="80" t="s">
        <v>3748</v>
      </c>
      <c r="E715" s="80" t="s">
        <v>3749</v>
      </c>
      <c r="F715" s="80" t="s">
        <v>3750</v>
      </c>
      <c r="G715" s="80" t="s">
        <v>3751</v>
      </c>
      <c r="H715" s="80" t="s">
        <v>115</v>
      </c>
      <c r="I715" s="80" t="s">
        <v>865</v>
      </c>
      <c r="J715" s="80" t="s">
        <v>117</v>
      </c>
      <c r="K715" s="80">
        <v>23</v>
      </c>
      <c r="L715" s="80" t="s">
        <v>3752</v>
      </c>
      <c r="M715" s="80" t="s">
        <v>3753</v>
      </c>
      <c r="N715" s="80" t="s">
        <v>120</v>
      </c>
      <c r="O715" s="80" t="s">
        <v>152</v>
      </c>
      <c r="P715" s="80" t="s">
        <v>135</v>
      </c>
      <c r="Q715" s="80" t="s">
        <v>123</v>
      </c>
      <c r="R715" s="80" t="s">
        <v>174</v>
      </c>
      <c r="S715" s="80">
        <v>16</v>
      </c>
      <c r="T715" s="80">
        <v>24</v>
      </c>
      <c r="U715" s="80" t="s">
        <v>2084</v>
      </c>
      <c r="V715" s="80" t="s">
        <v>126</v>
      </c>
      <c r="W715" s="80" t="s">
        <v>127</v>
      </c>
      <c r="X715" s="80"/>
      <c r="Y715" s="80"/>
    </row>
    <row r="716" spans="1:25">
      <c r="A716" s="80">
        <f t="shared" si="11"/>
        <v>715</v>
      </c>
      <c r="B716" s="10">
        <v>45973.543622685203</v>
      </c>
      <c r="C716" s="13" t="s">
        <v>840</v>
      </c>
      <c r="D716" s="80" t="s">
        <v>3754</v>
      </c>
      <c r="E716" s="80" t="s">
        <v>3755</v>
      </c>
      <c r="F716" s="80" t="s">
        <v>3756</v>
      </c>
      <c r="G716" s="80" t="s">
        <v>3757</v>
      </c>
      <c r="H716" s="80" t="s">
        <v>115</v>
      </c>
      <c r="I716" s="80" t="s">
        <v>865</v>
      </c>
      <c r="J716" s="80" t="s">
        <v>149</v>
      </c>
      <c r="K716" s="80">
        <v>22</v>
      </c>
      <c r="L716" s="80" t="s">
        <v>3758</v>
      </c>
      <c r="M716" s="80" t="s">
        <v>3759</v>
      </c>
      <c r="N716" s="80" t="s">
        <v>120</v>
      </c>
      <c r="O716" s="80" t="s">
        <v>976</v>
      </c>
      <c r="P716" s="80" t="s">
        <v>1148</v>
      </c>
      <c r="Q716" s="80" t="s">
        <v>123</v>
      </c>
      <c r="R716" s="80" t="s">
        <v>174</v>
      </c>
      <c r="S716" s="80">
        <v>2</v>
      </c>
      <c r="T716" s="80">
        <v>24</v>
      </c>
      <c r="U716" s="80" t="s">
        <v>843</v>
      </c>
      <c r="V716" s="80" t="s">
        <v>126</v>
      </c>
      <c r="W716" s="80" t="s">
        <v>127</v>
      </c>
      <c r="X716" s="80"/>
      <c r="Y716" s="80"/>
    </row>
    <row r="717" spans="1:25">
      <c r="A717" s="80">
        <f t="shared" si="11"/>
        <v>716</v>
      </c>
      <c r="B717" s="10">
        <v>45973.544976851903</v>
      </c>
      <c r="C717" s="13" t="s">
        <v>563</v>
      </c>
      <c r="D717" s="80" t="s">
        <v>3760</v>
      </c>
      <c r="E717" s="80" t="s">
        <v>3761</v>
      </c>
      <c r="F717" s="80" t="s">
        <v>3762</v>
      </c>
      <c r="G717" s="80" t="s">
        <v>3763</v>
      </c>
      <c r="H717" s="80" t="s">
        <v>115</v>
      </c>
      <c r="I717" s="80" t="s">
        <v>227</v>
      </c>
      <c r="J717" s="80" t="s">
        <v>149</v>
      </c>
      <c r="K717" s="80">
        <v>10</v>
      </c>
      <c r="L717" s="80" t="s">
        <v>3764</v>
      </c>
      <c r="M717" s="80" t="s">
        <v>3765</v>
      </c>
      <c r="N717" s="80" t="s">
        <v>120</v>
      </c>
      <c r="O717" s="80" t="s">
        <v>152</v>
      </c>
      <c r="P717" s="80" t="s">
        <v>214</v>
      </c>
      <c r="Q717" s="80" t="s">
        <v>123</v>
      </c>
      <c r="R717" s="80" t="s">
        <v>174</v>
      </c>
      <c r="S717" s="80">
        <v>13</v>
      </c>
      <c r="T717" s="80">
        <v>18</v>
      </c>
      <c r="U717" s="80" t="s">
        <v>565</v>
      </c>
      <c r="V717" s="80" t="s">
        <v>126</v>
      </c>
      <c r="W717" s="80" t="s">
        <v>127</v>
      </c>
      <c r="X717" s="80"/>
      <c r="Y717" s="80"/>
    </row>
    <row r="718" spans="1:25">
      <c r="A718" s="80">
        <f t="shared" si="11"/>
        <v>717</v>
      </c>
      <c r="B718" s="10">
        <v>45973.546053240701</v>
      </c>
      <c r="C718" s="13" t="s">
        <v>563</v>
      </c>
      <c r="D718" s="80" t="s">
        <v>3766</v>
      </c>
      <c r="E718" s="80" t="s">
        <v>3755</v>
      </c>
      <c r="F718" s="80" t="s">
        <v>3756</v>
      </c>
      <c r="G718" s="80" t="s">
        <v>3757</v>
      </c>
      <c r="H718" s="80" t="s">
        <v>115</v>
      </c>
      <c r="I718" s="80" t="s">
        <v>865</v>
      </c>
      <c r="J718" s="80" t="s">
        <v>149</v>
      </c>
      <c r="K718" s="80">
        <v>22</v>
      </c>
      <c r="L718" s="80" t="s">
        <v>3758</v>
      </c>
      <c r="M718" s="80" t="s">
        <v>3759</v>
      </c>
      <c r="N718" s="80" t="s">
        <v>120</v>
      </c>
      <c r="O718" s="80" t="s">
        <v>976</v>
      </c>
      <c r="P718" s="80" t="s">
        <v>1148</v>
      </c>
      <c r="Q718" s="80" t="s">
        <v>123</v>
      </c>
      <c r="R718" s="80" t="s">
        <v>174</v>
      </c>
      <c r="S718" s="80">
        <v>2</v>
      </c>
      <c r="T718" s="80">
        <v>24</v>
      </c>
      <c r="U718" s="80" t="s">
        <v>565</v>
      </c>
      <c r="V718" s="80" t="s">
        <v>126</v>
      </c>
      <c r="W718" s="80" t="s">
        <v>127</v>
      </c>
      <c r="X718" s="80"/>
      <c r="Y718" s="80"/>
    </row>
    <row r="719" spans="1:25">
      <c r="A719" s="80">
        <f t="shared" si="11"/>
        <v>718</v>
      </c>
      <c r="B719" s="10">
        <v>45973.546134259297</v>
      </c>
      <c r="C719" s="13" t="s">
        <v>362</v>
      </c>
      <c r="D719" s="80" t="s">
        <v>3767</v>
      </c>
      <c r="E719" s="80" t="s">
        <v>3755</v>
      </c>
      <c r="F719" s="80" t="s">
        <v>3756</v>
      </c>
      <c r="G719" s="80" t="s">
        <v>3757</v>
      </c>
      <c r="H719" s="80" t="s">
        <v>115</v>
      </c>
      <c r="I719" s="80" t="s">
        <v>865</v>
      </c>
      <c r="J719" s="80" t="s">
        <v>149</v>
      </c>
      <c r="K719" s="80">
        <v>22</v>
      </c>
      <c r="L719" s="80" t="s">
        <v>3758</v>
      </c>
      <c r="M719" s="80" t="s">
        <v>3759</v>
      </c>
      <c r="N719" s="80" t="s">
        <v>120</v>
      </c>
      <c r="O719" s="80" t="s">
        <v>976</v>
      </c>
      <c r="P719" s="80" t="s">
        <v>1148</v>
      </c>
      <c r="Q719" s="80" t="s">
        <v>123</v>
      </c>
      <c r="R719" s="80" t="s">
        <v>174</v>
      </c>
      <c r="S719" s="80">
        <v>2</v>
      </c>
      <c r="T719" s="80">
        <v>24</v>
      </c>
      <c r="U719" s="80" t="s">
        <v>364</v>
      </c>
      <c r="V719" s="80" t="s">
        <v>126</v>
      </c>
      <c r="W719" s="80" t="s">
        <v>127</v>
      </c>
      <c r="X719" s="80"/>
      <c r="Y719" s="80"/>
    </row>
    <row r="720" spans="1:25">
      <c r="A720" s="80">
        <f t="shared" si="11"/>
        <v>719</v>
      </c>
      <c r="B720" s="10">
        <v>45973.552106481497</v>
      </c>
      <c r="C720" s="13" t="s">
        <v>157</v>
      </c>
      <c r="D720" s="80" t="s">
        <v>3768</v>
      </c>
      <c r="E720" s="80" t="s">
        <v>3669</v>
      </c>
      <c r="F720" s="80" t="s">
        <v>3670</v>
      </c>
      <c r="G720" s="80" t="s">
        <v>3671</v>
      </c>
      <c r="H720" s="80" t="s">
        <v>115</v>
      </c>
      <c r="I720" s="80" t="s">
        <v>237</v>
      </c>
      <c r="J720" s="80" t="s">
        <v>117</v>
      </c>
      <c r="K720" s="80">
        <v>1</v>
      </c>
      <c r="L720" s="80" t="s">
        <v>3672</v>
      </c>
      <c r="M720" s="80" t="s">
        <v>3673</v>
      </c>
      <c r="N720" s="80" t="s">
        <v>164</v>
      </c>
      <c r="O720" s="80" t="s">
        <v>2774</v>
      </c>
      <c r="P720" s="80" t="s">
        <v>3674</v>
      </c>
      <c r="Q720" s="80" t="s">
        <v>123</v>
      </c>
      <c r="R720" s="80" t="s">
        <v>124</v>
      </c>
      <c r="S720" s="80">
        <v>7</v>
      </c>
      <c r="T720" s="80">
        <v>24</v>
      </c>
      <c r="U720" s="80" t="s">
        <v>167</v>
      </c>
      <c r="V720" s="80" t="s">
        <v>126</v>
      </c>
      <c r="W720" s="80" t="s">
        <v>127</v>
      </c>
      <c r="X720" s="80"/>
      <c r="Y720" s="80"/>
    </row>
    <row r="721" spans="1:25">
      <c r="A721" s="80">
        <f t="shared" si="11"/>
        <v>720</v>
      </c>
      <c r="B721" s="10">
        <v>45973.5522569444</v>
      </c>
      <c r="C721" s="13" t="s">
        <v>840</v>
      </c>
      <c r="D721" s="80" t="s">
        <v>3769</v>
      </c>
      <c r="E721" s="80" t="s">
        <v>3770</v>
      </c>
      <c r="F721" s="80" t="s">
        <v>3771</v>
      </c>
      <c r="G721" s="80" t="s">
        <v>3772</v>
      </c>
      <c r="H721" s="80" t="s">
        <v>115</v>
      </c>
      <c r="I721" s="80" t="s">
        <v>865</v>
      </c>
      <c r="J721" s="80" t="s">
        <v>149</v>
      </c>
      <c r="K721" s="80">
        <v>19</v>
      </c>
      <c r="L721" s="80" t="s">
        <v>3773</v>
      </c>
      <c r="M721" s="80" t="s">
        <v>3774</v>
      </c>
      <c r="N721" s="80" t="s">
        <v>120</v>
      </c>
      <c r="O721" s="80" t="s">
        <v>943</v>
      </c>
      <c r="P721" s="80" t="s">
        <v>612</v>
      </c>
      <c r="Q721" s="80" t="s">
        <v>123</v>
      </c>
      <c r="R721" s="80" t="s">
        <v>174</v>
      </c>
      <c r="S721" s="80">
        <v>2</v>
      </c>
      <c r="T721" s="80">
        <v>24</v>
      </c>
      <c r="U721" s="80" t="s">
        <v>843</v>
      </c>
      <c r="V721" s="80" t="s">
        <v>126</v>
      </c>
      <c r="W721" s="80" t="s">
        <v>127</v>
      </c>
      <c r="X721" s="80"/>
      <c r="Y721" s="80"/>
    </row>
    <row r="722" spans="1:25">
      <c r="A722" s="80">
        <f t="shared" si="11"/>
        <v>721</v>
      </c>
      <c r="B722" s="10">
        <v>45973.552662037</v>
      </c>
      <c r="C722" s="13" t="s">
        <v>604</v>
      </c>
      <c r="D722" s="80" t="s">
        <v>3775</v>
      </c>
      <c r="E722" s="80" t="s">
        <v>3776</v>
      </c>
      <c r="F722" s="80" t="s">
        <v>3777</v>
      </c>
      <c r="G722" s="80" t="s">
        <v>3778</v>
      </c>
      <c r="H722" s="80" t="s">
        <v>115</v>
      </c>
      <c r="I722" s="80" t="s">
        <v>865</v>
      </c>
      <c r="J722" s="80" t="s">
        <v>149</v>
      </c>
      <c r="K722" s="80">
        <v>17</v>
      </c>
      <c r="L722" s="80" t="s">
        <v>3779</v>
      </c>
      <c r="M722" s="80" t="s">
        <v>3780</v>
      </c>
      <c r="N722" s="80" t="s">
        <v>120</v>
      </c>
      <c r="O722" s="80" t="s">
        <v>230</v>
      </c>
      <c r="P722" s="80" t="s">
        <v>178</v>
      </c>
      <c r="Q722" s="80" t="s">
        <v>123</v>
      </c>
      <c r="R722" s="80" t="s">
        <v>174</v>
      </c>
      <c r="S722" s="80">
        <v>2</v>
      </c>
      <c r="T722" s="80">
        <v>18</v>
      </c>
      <c r="U722" s="80" t="s">
        <v>613</v>
      </c>
      <c r="V722" s="80" t="s">
        <v>126</v>
      </c>
      <c r="W722" s="80" t="s">
        <v>127</v>
      </c>
      <c r="X722" s="80"/>
      <c r="Y722" s="80"/>
    </row>
    <row r="723" spans="1:25">
      <c r="A723" s="80">
        <f t="shared" si="11"/>
        <v>722</v>
      </c>
      <c r="B723" s="10">
        <v>45973.554629629602</v>
      </c>
      <c r="C723" s="13" t="s">
        <v>840</v>
      </c>
      <c r="D723" s="80" t="s">
        <v>3781</v>
      </c>
      <c r="E723" s="80" t="s">
        <v>1093</v>
      </c>
      <c r="F723" s="80" t="s">
        <v>1094</v>
      </c>
      <c r="G723" s="80" t="s">
        <v>1095</v>
      </c>
      <c r="H723" s="80" t="s">
        <v>115</v>
      </c>
      <c r="I723" s="80" t="s">
        <v>955</v>
      </c>
      <c r="J723" s="80" t="s">
        <v>117</v>
      </c>
      <c r="K723" s="80">
        <v>16</v>
      </c>
      <c r="L723" s="80" t="s">
        <v>1096</v>
      </c>
      <c r="M723" s="80" t="s">
        <v>1097</v>
      </c>
      <c r="N723" s="80" t="s">
        <v>120</v>
      </c>
      <c r="O723" s="80" t="s">
        <v>398</v>
      </c>
      <c r="P723" s="80" t="s">
        <v>178</v>
      </c>
      <c r="Q723" s="80" t="s">
        <v>123</v>
      </c>
      <c r="R723" s="80" t="s">
        <v>174</v>
      </c>
      <c r="S723" s="80">
        <v>3</v>
      </c>
      <c r="T723" s="80">
        <v>18</v>
      </c>
      <c r="U723" s="80" t="s">
        <v>843</v>
      </c>
      <c r="V723" s="80" t="s">
        <v>126</v>
      </c>
      <c r="W723" s="80" t="s">
        <v>127</v>
      </c>
      <c r="X723" s="80"/>
      <c r="Y723" s="80"/>
    </row>
    <row r="724" spans="1:25">
      <c r="A724" s="80">
        <f t="shared" si="11"/>
        <v>723</v>
      </c>
      <c r="B724" s="10">
        <v>45973.557858796303</v>
      </c>
      <c r="C724" s="13" t="s">
        <v>604</v>
      </c>
      <c r="D724" s="80" t="s">
        <v>3782</v>
      </c>
      <c r="E724" s="80" t="s">
        <v>3783</v>
      </c>
      <c r="F724" s="80" t="s">
        <v>3784</v>
      </c>
      <c r="G724" s="80" t="s">
        <v>3785</v>
      </c>
      <c r="H724" s="80" t="s">
        <v>115</v>
      </c>
      <c r="I724" s="80" t="s">
        <v>244</v>
      </c>
      <c r="J724" s="80" t="s">
        <v>117</v>
      </c>
      <c r="K724" s="80">
        <v>8</v>
      </c>
      <c r="L724" s="80" t="s">
        <v>3786</v>
      </c>
      <c r="M724" s="80" t="s">
        <v>3787</v>
      </c>
      <c r="N724" s="80" t="s">
        <v>120</v>
      </c>
      <c r="O724" s="80" t="s">
        <v>572</v>
      </c>
      <c r="P724" s="80" t="s">
        <v>178</v>
      </c>
      <c r="Q724" s="80" t="s">
        <v>123</v>
      </c>
      <c r="R724" s="80" t="s">
        <v>174</v>
      </c>
      <c r="S724" s="80">
        <v>8</v>
      </c>
      <c r="T724" s="80">
        <v>12</v>
      </c>
      <c r="U724" s="80" t="s">
        <v>613</v>
      </c>
      <c r="V724" s="80" t="s">
        <v>126</v>
      </c>
      <c r="W724" s="80" t="s">
        <v>127</v>
      </c>
      <c r="X724" s="80"/>
      <c r="Y724" s="80"/>
    </row>
    <row r="725" spans="1:25">
      <c r="A725" s="80">
        <f t="shared" si="11"/>
        <v>724</v>
      </c>
      <c r="B725" s="10">
        <v>45973.560439814799</v>
      </c>
      <c r="C725" s="13" t="s">
        <v>604</v>
      </c>
      <c r="D725" s="80" t="s">
        <v>3788</v>
      </c>
      <c r="E725" s="80" t="s">
        <v>3789</v>
      </c>
      <c r="F725" s="80" t="s">
        <v>3790</v>
      </c>
      <c r="G725" s="80" t="s">
        <v>3791</v>
      </c>
      <c r="H725" s="80" t="s">
        <v>115</v>
      </c>
      <c r="I725" s="80" t="s">
        <v>865</v>
      </c>
      <c r="J725" s="80" t="s">
        <v>117</v>
      </c>
      <c r="K725" s="80">
        <v>22</v>
      </c>
      <c r="L725" s="80" t="s">
        <v>3792</v>
      </c>
      <c r="M725" s="80" t="s">
        <v>3793</v>
      </c>
      <c r="N725" s="80" t="s">
        <v>120</v>
      </c>
      <c r="O725" s="80" t="s">
        <v>611</v>
      </c>
      <c r="P725" s="80" t="s">
        <v>135</v>
      </c>
      <c r="Q725" s="80" t="s">
        <v>123</v>
      </c>
      <c r="R725" s="80" t="s">
        <v>174</v>
      </c>
      <c r="S725" s="80">
        <v>10</v>
      </c>
      <c r="T725" s="80">
        <v>30</v>
      </c>
      <c r="U725" s="80" t="s">
        <v>613</v>
      </c>
      <c r="V725" s="80" t="s">
        <v>126</v>
      </c>
      <c r="W725" s="80" t="s">
        <v>127</v>
      </c>
      <c r="X725" s="80"/>
      <c r="Y725" s="80"/>
    </row>
    <row r="726" spans="1:25">
      <c r="A726" s="80">
        <f t="shared" si="11"/>
        <v>725</v>
      </c>
      <c r="B726" s="10">
        <v>45973.562175925901</v>
      </c>
      <c r="C726" s="13" t="s">
        <v>168</v>
      </c>
      <c r="D726" s="80" t="s">
        <v>3794</v>
      </c>
      <c r="E726" s="80" t="s">
        <v>3795</v>
      </c>
      <c r="F726" s="80" t="s">
        <v>3796</v>
      </c>
      <c r="G726" s="80" t="s">
        <v>3797</v>
      </c>
      <c r="H726" s="80" t="s">
        <v>115</v>
      </c>
      <c r="I726" s="80" t="s">
        <v>275</v>
      </c>
      <c r="J726" s="80" t="s">
        <v>117</v>
      </c>
      <c r="K726" s="80">
        <v>18</v>
      </c>
      <c r="L726" s="80" t="s">
        <v>3798</v>
      </c>
      <c r="M726" s="80" t="s">
        <v>3799</v>
      </c>
      <c r="N726" s="80" t="s">
        <v>120</v>
      </c>
      <c r="O726" s="80" t="s">
        <v>611</v>
      </c>
      <c r="P726" s="80" t="s">
        <v>2070</v>
      </c>
      <c r="Q726" s="80" t="s">
        <v>123</v>
      </c>
      <c r="R726" s="80" t="s">
        <v>174</v>
      </c>
      <c r="S726" s="80">
        <v>8</v>
      </c>
      <c r="T726" s="80">
        <v>24</v>
      </c>
      <c r="U726" s="80" t="s">
        <v>179</v>
      </c>
      <c r="V726" s="80" t="s">
        <v>126</v>
      </c>
      <c r="W726" s="80" t="s">
        <v>127</v>
      </c>
      <c r="X726" s="80"/>
      <c r="Y726" s="80"/>
    </row>
    <row r="727" spans="1:25">
      <c r="A727" s="80">
        <f t="shared" si="11"/>
        <v>726</v>
      </c>
      <c r="B727" s="10">
        <v>45973.564305555599</v>
      </c>
      <c r="C727" s="13" t="s">
        <v>604</v>
      </c>
      <c r="D727" s="80" t="s">
        <v>3800</v>
      </c>
      <c r="E727" s="80" t="s">
        <v>3801</v>
      </c>
      <c r="F727" s="80" t="s">
        <v>3802</v>
      </c>
      <c r="G727" s="80" t="s">
        <v>3803</v>
      </c>
      <c r="H727" s="80" t="s">
        <v>115</v>
      </c>
      <c r="I727" s="80" t="s">
        <v>244</v>
      </c>
      <c r="J727" s="80" t="s">
        <v>117</v>
      </c>
      <c r="K727" s="80">
        <v>1</v>
      </c>
      <c r="L727" s="80" t="s">
        <v>3804</v>
      </c>
      <c r="M727" s="80" t="s">
        <v>3805</v>
      </c>
      <c r="N727" s="80" t="s">
        <v>120</v>
      </c>
      <c r="O727" s="80" t="s">
        <v>572</v>
      </c>
      <c r="P727" s="80" t="s">
        <v>414</v>
      </c>
      <c r="Q727" s="80" t="s">
        <v>123</v>
      </c>
      <c r="R727" s="80" t="s">
        <v>136</v>
      </c>
      <c r="S727" s="80">
        <v>9</v>
      </c>
      <c r="T727" s="80">
        <v>12</v>
      </c>
      <c r="U727" s="80" t="s">
        <v>613</v>
      </c>
      <c r="V727" s="80" t="s">
        <v>126</v>
      </c>
      <c r="W727" s="80" t="s">
        <v>127</v>
      </c>
      <c r="X727" s="80"/>
      <c r="Y727" s="80"/>
    </row>
    <row r="728" spans="1:25">
      <c r="A728" s="80">
        <f t="shared" si="11"/>
        <v>727</v>
      </c>
      <c r="B728" s="10">
        <v>45973.564664351798</v>
      </c>
      <c r="C728" s="13" t="s">
        <v>604</v>
      </c>
      <c r="D728" s="80" t="s">
        <v>3806</v>
      </c>
      <c r="E728" s="80" t="s">
        <v>3807</v>
      </c>
      <c r="F728" s="80" t="s">
        <v>3808</v>
      </c>
      <c r="G728" s="80" t="s">
        <v>3809</v>
      </c>
      <c r="H728" s="80" t="s">
        <v>115</v>
      </c>
      <c r="I728" s="80" t="s">
        <v>1410</v>
      </c>
      <c r="J728" s="80" t="s">
        <v>117</v>
      </c>
      <c r="K728" s="80">
        <v>15</v>
      </c>
      <c r="L728" s="80" t="s">
        <v>3810</v>
      </c>
      <c r="M728" s="80" t="s">
        <v>3811</v>
      </c>
      <c r="N728" s="80" t="s">
        <v>517</v>
      </c>
      <c r="O728" s="80" t="s">
        <v>518</v>
      </c>
      <c r="P728" s="80" t="s">
        <v>135</v>
      </c>
      <c r="Q728" s="80" t="s">
        <v>123</v>
      </c>
      <c r="R728" s="80" t="s">
        <v>174</v>
      </c>
      <c r="S728" s="80">
        <v>4</v>
      </c>
      <c r="T728" s="80">
        <v>18</v>
      </c>
      <c r="U728" s="80" t="s">
        <v>613</v>
      </c>
      <c r="V728" s="80" t="s">
        <v>126</v>
      </c>
      <c r="W728" s="80" t="s">
        <v>127</v>
      </c>
      <c r="X728" s="80"/>
      <c r="Y728" s="80"/>
    </row>
    <row r="729" spans="1:25">
      <c r="A729" s="80">
        <f t="shared" si="11"/>
        <v>728</v>
      </c>
      <c r="B729" s="10">
        <v>45973.567581018498</v>
      </c>
      <c r="C729" s="13" t="s">
        <v>604</v>
      </c>
      <c r="D729" s="80" t="s">
        <v>3812</v>
      </c>
      <c r="E729" s="80" t="s">
        <v>3813</v>
      </c>
      <c r="F729" s="80" t="s">
        <v>3814</v>
      </c>
      <c r="G729" s="80" t="s">
        <v>3815</v>
      </c>
      <c r="H729" s="80" t="s">
        <v>115</v>
      </c>
      <c r="I729" s="80" t="s">
        <v>842</v>
      </c>
      <c r="J729" s="80" t="s">
        <v>117</v>
      </c>
      <c r="K729" s="80">
        <v>3</v>
      </c>
      <c r="L729" s="80" t="s">
        <v>3816</v>
      </c>
      <c r="M729" s="80" t="s">
        <v>3817</v>
      </c>
      <c r="N729" s="80" t="s">
        <v>164</v>
      </c>
      <c r="O729" s="80" t="s">
        <v>202</v>
      </c>
      <c r="P729" s="80" t="s">
        <v>214</v>
      </c>
      <c r="Q729" s="80" t="s">
        <v>123</v>
      </c>
      <c r="R729" s="80" t="s">
        <v>136</v>
      </c>
      <c r="S729" s="80">
        <v>10</v>
      </c>
      <c r="T729" s="80">
        <v>24</v>
      </c>
      <c r="U729" s="80" t="s">
        <v>613</v>
      </c>
      <c r="V729" s="80" t="s">
        <v>126</v>
      </c>
      <c r="W729" s="80" t="s">
        <v>127</v>
      </c>
      <c r="X729" s="80"/>
      <c r="Y729" s="80"/>
    </row>
    <row r="730" spans="1:25">
      <c r="A730" s="80">
        <f t="shared" si="11"/>
        <v>729</v>
      </c>
      <c r="B730" s="10">
        <v>45973.568935185198</v>
      </c>
      <c r="C730" s="13" t="s">
        <v>604</v>
      </c>
      <c r="D730" s="80" t="s">
        <v>3818</v>
      </c>
      <c r="E730" s="80" t="s">
        <v>3819</v>
      </c>
      <c r="F730" s="80" t="s">
        <v>3820</v>
      </c>
      <c r="G730" s="80" t="s">
        <v>3821</v>
      </c>
      <c r="H730" s="80" t="s">
        <v>115</v>
      </c>
      <c r="I730" s="80" t="s">
        <v>865</v>
      </c>
      <c r="J730" s="80" t="s">
        <v>117</v>
      </c>
      <c r="K730" s="80">
        <v>9</v>
      </c>
      <c r="L730" s="80" t="s">
        <v>3822</v>
      </c>
      <c r="M730" s="80" t="s">
        <v>3823</v>
      </c>
      <c r="N730" s="80" t="s">
        <v>120</v>
      </c>
      <c r="O730" s="80" t="s">
        <v>572</v>
      </c>
      <c r="P730" s="80" t="s">
        <v>581</v>
      </c>
      <c r="Q730" s="80" t="s">
        <v>123</v>
      </c>
      <c r="R730" s="80" t="s">
        <v>174</v>
      </c>
      <c r="S730" s="80">
        <v>4</v>
      </c>
      <c r="T730" s="80">
        <v>18</v>
      </c>
      <c r="U730" s="80" t="s">
        <v>613</v>
      </c>
      <c r="V730" s="80" t="s">
        <v>126</v>
      </c>
      <c r="W730" s="80" t="s">
        <v>127</v>
      </c>
      <c r="X730" s="80"/>
      <c r="Y730" s="80"/>
    </row>
    <row r="731" spans="1:25">
      <c r="A731" s="80">
        <f t="shared" si="11"/>
        <v>730</v>
      </c>
      <c r="B731" s="10">
        <v>45973.577187499999</v>
      </c>
      <c r="C731" s="13" t="s">
        <v>168</v>
      </c>
      <c r="D731" s="80" t="s">
        <v>3824</v>
      </c>
      <c r="E731" s="80" t="s">
        <v>3825</v>
      </c>
      <c r="F731" s="80" t="s">
        <v>483</v>
      </c>
      <c r="G731" s="80" t="s">
        <v>3826</v>
      </c>
      <c r="H731" s="80" t="s">
        <v>115</v>
      </c>
      <c r="I731" s="80" t="s">
        <v>1383</v>
      </c>
      <c r="J731" s="80" t="s">
        <v>117</v>
      </c>
      <c r="K731" s="80">
        <v>13</v>
      </c>
      <c r="L731" s="80" t="s">
        <v>3827</v>
      </c>
      <c r="M731" s="80" t="s">
        <v>3828</v>
      </c>
      <c r="N731" s="80" t="s">
        <v>120</v>
      </c>
      <c r="O731" s="80" t="s">
        <v>213</v>
      </c>
      <c r="P731" s="80" t="s">
        <v>135</v>
      </c>
      <c r="Q731" s="80" t="s">
        <v>123</v>
      </c>
      <c r="R731" s="80" t="s">
        <v>174</v>
      </c>
      <c r="S731" s="80">
        <v>9</v>
      </c>
      <c r="T731" s="80">
        <v>12</v>
      </c>
      <c r="U731" s="80" t="s">
        <v>179</v>
      </c>
      <c r="V731" s="80" t="s">
        <v>126</v>
      </c>
      <c r="W731" s="80" t="s">
        <v>127</v>
      </c>
      <c r="X731" s="80"/>
      <c r="Y731" s="80"/>
    </row>
    <row r="732" spans="1:25">
      <c r="A732" s="80">
        <f t="shared" si="11"/>
        <v>731</v>
      </c>
      <c r="B732" s="10">
        <v>45973.579988425903</v>
      </c>
      <c r="C732" s="13" t="s">
        <v>1465</v>
      </c>
      <c r="D732" s="80" t="s">
        <v>3829</v>
      </c>
      <c r="E732" s="80" t="s">
        <v>3830</v>
      </c>
      <c r="F732" s="80" t="s">
        <v>3831</v>
      </c>
      <c r="G732" s="80" t="s">
        <v>3832</v>
      </c>
      <c r="H732" s="80" t="s">
        <v>115</v>
      </c>
      <c r="I732" s="80" t="s">
        <v>227</v>
      </c>
      <c r="J732" s="80" t="s">
        <v>117</v>
      </c>
      <c r="K732" s="80">
        <v>14</v>
      </c>
      <c r="L732" s="80" t="s">
        <v>3833</v>
      </c>
      <c r="M732" s="80" t="s">
        <v>3834</v>
      </c>
      <c r="N732" s="80" t="s">
        <v>120</v>
      </c>
      <c r="O732" s="80" t="s">
        <v>152</v>
      </c>
      <c r="P732" s="80" t="s">
        <v>287</v>
      </c>
      <c r="Q732" s="80" t="s">
        <v>123</v>
      </c>
      <c r="R732" s="80" t="s">
        <v>174</v>
      </c>
      <c r="S732" s="80">
        <v>15</v>
      </c>
      <c r="T732" s="80">
        <v>18</v>
      </c>
      <c r="U732" s="80" t="s">
        <v>1473</v>
      </c>
      <c r="V732" s="80" t="s">
        <v>126</v>
      </c>
      <c r="W732" s="80" t="s">
        <v>127</v>
      </c>
      <c r="X732" s="80"/>
      <c r="Y732" s="80"/>
    </row>
    <row r="733" spans="1:25">
      <c r="A733" s="80">
        <f t="shared" si="11"/>
        <v>732</v>
      </c>
      <c r="B733" s="10">
        <v>45973.584444444401</v>
      </c>
      <c r="C733" s="13" t="s">
        <v>168</v>
      </c>
      <c r="D733" s="80" t="s">
        <v>3835</v>
      </c>
      <c r="E733" s="80" t="s">
        <v>3836</v>
      </c>
      <c r="F733" s="80" t="s">
        <v>3837</v>
      </c>
      <c r="G733" s="80" t="s">
        <v>3838</v>
      </c>
      <c r="H733" s="80" t="s">
        <v>115</v>
      </c>
      <c r="I733" s="80" t="s">
        <v>865</v>
      </c>
      <c r="J733" s="80" t="s">
        <v>117</v>
      </c>
      <c r="K733" s="80">
        <v>13</v>
      </c>
      <c r="L733" s="80" t="s">
        <v>3839</v>
      </c>
      <c r="M733" s="80" t="s">
        <v>3840</v>
      </c>
      <c r="N733" s="80" t="s">
        <v>120</v>
      </c>
      <c r="O733" s="80" t="s">
        <v>152</v>
      </c>
      <c r="P733" s="80" t="s">
        <v>214</v>
      </c>
      <c r="Q733" s="80" t="s">
        <v>123</v>
      </c>
      <c r="R733" s="80" t="s">
        <v>174</v>
      </c>
      <c r="S733" s="80">
        <v>9</v>
      </c>
      <c r="T733" s="80">
        <v>12</v>
      </c>
      <c r="U733" s="80" t="s">
        <v>179</v>
      </c>
      <c r="V733" s="80" t="s">
        <v>126</v>
      </c>
      <c r="W733" s="80" t="s">
        <v>127</v>
      </c>
      <c r="X733" s="80"/>
      <c r="Y733" s="80"/>
    </row>
    <row r="734" spans="1:25">
      <c r="A734" s="80">
        <f t="shared" si="11"/>
        <v>733</v>
      </c>
      <c r="B734" s="10">
        <v>45973.585335648102</v>
      </c>
      <c r="C734" s="13" t="s">
        <v>840</v>
      </c>
      <c r="D734" s="80" t="s">
        <v>3841</v>
      </c>
      <c r="E734" s="80" t="s">
        <v>2543</v>
      </c>
      <c r="F734" s="80" t="s">
        <v>2544</v>
      </c>
      <c r="G734" s="80" t="s">
        <v>2545</v>
      </c>
      <c r="H734" s="80" t="s">
        <v>115</v>
      </c>
      <c r="I734" s="80" t="s">
        <v>865</v>
      </c>
      <c r="J734" s="80" t="s">
        <v>117</v>
      </c>
      <c r="K734" s="80">
        <v>22</v>
      </c>
      <c r="L734" s="80" t="s">
        <v>2546</v>
      </c>
      <c r="M734" s="80" t="s">
        <v>2547</v>
      </c>
      <c r="N734" s="80" t="s">
        <v>164</v>
      </c>
      <c r="O734" s="80" t="s">
        <v>1877</v>
      </c>
      <c r="P734" s="80" t="s">
        <v>178</v>
      </c>
      <c r="Q734" s="80" t="s">
        <v>123</v>
      </c>
      <c r="R734" s="80" t="s">
        <v>174</v>
      </c>
      <c r="S734" s="80">
        <v>4</v>
      </c>
      <c r="T734" s="80">
        <v>12</v>
      </c>
      <c r="U734" s="80" t="s">
        <v>843</v>
      </c>
      <c r="V734" s="80" t="s">
        <v>126</v>
      </c>
      <c r="W734" s="80" t="s">
        <v>127</v>
      </c>
      <c r="X734" s="80"/>
      <c r="Y734" s="80"/>
    </row>
    <row r="735" spans="1:25">
      <c r="A735" s="80">
        <f t="shared" si="11"/>
        <v>734</v>
      </c>
      <c r="B735" s="10">
        <v>45973.590856481504</v>
      </c>
      <c r="C735" s="13" t="s">
        <v>589</v>
      </c>
      <c r="D735" s="80" t="s">
        <v>3842</v>
      </c>
      <c r="E735" s="80" t="s">
        <v>3843</v>
      </c>
      <c r="F735" s="80" t="s">
        <v>3844</v>
      </c>
      <c r="G735" s="80" t="s">
        <v>3845</v>
      </c>
      <c r="H735" s="80" t="s">
        <v>115</v>
      </c>
      <c r="I735" s="80" t="s">
        <v>865</v>
      </c>
      <c r="J735" s="80" t="s">
        <v>117</v>
      </c>
      <c r="K735" s="80">
        <v>22</v>
      </c>
      <c r="L735" s="80" t="s">
        <v>3846</v>
      </c>
      <c r="M735" s="80" t="s">
        <v>3847</v>
      </c>
      <c r="N735" s="80" t="s">
        <v>164</v>
      </c>
      <c r="O735" s="80" t="s">
        <v>3848</v>
      </c>
      <c r="P735" s="80" t="s">
        <v>214</v>
      </c>
      <c r="Q735" s="80" t="s">
        <v>123</v>
      </c>
      <c r="R735" s="80" t="s">
        <v>174</v>
      </c>
      <c r="S735" s="80">
        <v>3</v>
      </c>
      <c r="T735" s="80">
        <v>18</v>
      </c>
      <c r="U735" s="80" t="s">
        <v>596</v>
      </c>
      <c r="V735" s="80" t="s">
        <v>126</v>
      </c>
      <c r="W735" s="80" t="s">
        <v>127</v>
      </c>
      <c r="X735" s="80"/>
      <c r="Y735" s="80"/>
    </row>
    <row r="736" spans="1:25">
      <c r="A736" s="80">
        <f t="shared" si="11"/>
        <v>735</v>
      </c>
      <c r="B736" s="10">
        <v>45973.593460648102</v>
      </c>
      <c r="C736" s="13" t="s">
        <v>3190</v>
      </c>
      <c r="D736" s="80" t="s">
        <v>3849</v>
      </c>
      <c r="E736" s="80" t="s">
        <v>3850</v>
      </c>
      <c r="F736" s="80" t="e">
        <v>#N/A</v>
      </c>
      <c r="G736" s="80" t="e">
        <v>#N/A</v>
      </c>
      <c r="H736" s="80" t="e">
        <v>#N/A</v>
      </c>
      <c r="I736" s="80" t="e">
        <v>#N/A</v>
      </c>
      <c r="J736" s="80" t="e">
        <v>#N/A</v>
      </c>
      <c r="K736" s="80" t="e">
        <v>#N/A</v>
      </c>
      <c r="L736" s="80" t="e">
        <v>#N/A</v>
      </c>
      <c r="M736" s="80" t="e">
        <v>#N/A</v>
      </c>
      <c r="N736" s="80" t="e">
        <v>#N/A</v>
      </c>
      <c r="O736" s="80" t="e">
        <v>#N/A</v>
      </c>
      <c r="P736" s="80" t="e">
        <v>#N/A</v>
      </c>
      <c r="Q736" s="80" t="e">
        <v>#N/A</v>
      </c>
      <c r="R736" s="80" t="e">
        <v>#N/A</v>
      </c>
      <c r="S736" s="80" t="e">
        <v>#N/A</v>
      </c>
      <c r="T736" s="80" t="e">
        <v>#N/A</v>
      </c>
      <c r="U736" s="80" t="s">
        <v>3193</v>
      </c>
      <c r="V736" s="80" t="s">
        <v>126</v>
      </c>
      <c r="W736" s="80" t="s">
        <v>127</v>
      </c>
      <c r="X736" s="80"/>
      <c r="Y736" s="80"/>
    </row>
    <row r="737" spans="1:25">
      <c r="A737" s="80">
        <f t="shared" si="11"/>
        <v>736</v>
      </c>
      <c r="B737" s="10">
        <v>45973.593969907401</v>
      </c>
      <c r="C737" s="13" t="s">
        <v>880</v>
      </c>
      <c r="D737" s="80" t="s">
        <v>3851</v>
      </c>
      <c r="E737" s="80" t="s">
        <v>3852</v>
      </c>
      <c r="F737" s="80" t="s">
        <v>3853</v>
      </c>
      <c r="G737" s="80" t="s">
        <v>3854</v>
      </c>
      <c r="H737" s="80" t="s">
        <v>115</v>
      </c>
      <c r="I737" s="80" t="s">
        <v>865</v>
      </c>
      <c r="J737" s="80" t="s">
        <v>117</v>
      </c>
      <c r="K737" s="80">
        <v>15</v>
      </c>
      <c r="L737" s="80" t="s">
        <v>3855</v>
      </c>
      <c r="M737" s="80" t="s">
        <v>3856</v>
      </c>
      <c r="N737" s="80" t="s">
        <v>120</v>
      </c>
      <c r="O737" s="80" t="s">
        <v>240</v>
      </c>
      <c r="P737" s="80" t="s">
        <v>135</v>
      </c>
      <c r="Q737" s="80" t="s">
        <v>123</v>
      </c>
      <c r="R737" s="80" t="s">
        <v>174</v>
      </c>
      <c r="S737" s="80">
        <v>6</v>
      </c>
      <c r="T737" s="80">
        <v>12</v>
      </c>
      <c r="U737" s="80" t="s">
        <v>882</v>
      </c>
      <c r="V737" s="80" t="s">
        <v>126</v>
      </c>
      <c r="W737" s="80" t="s">
        <v>127</v>
      </c>
      <c r="X737" s="80"/>
      <c r="Y737" s="80"/>
    </row>
    <row r="738" spans="1:25">
      <c r="A738" s="80">
        <f t="shared" si="11"/>
        <v>737</v>
      </c>
      <c r="B738" s="10">
        <v>45973.597523148099</v>
      </c>
      <c r="C738" s="13" t="s">
        <v>222</v>
      </c>
      <c r="D738" s="80" t="s">
        <v>3857</v>
      </c>
      <c r="E738" s="80" t="s">
        <v>3858</v>
      </c>
      <c r="F738" s="80" t="s">
        <v>3859</v>
      </c>
      <c r="G738" s="80" t="s">
        <v>3860</v>
      </c>
      <c r="H738" s="80" t="s">
        <v>115</v>
      </c>
      <c r="I738" s="80" t="s">
        <v>227</v>
      </c>
      <c r="J738" s="80" t="s">
        <v>117</v>
      </c>
      <c r="K738" s="80">
        <v>5</v>
      </c>
      <c r="L738" s="80" t="s">
        <v>3861</v>
      </c>
      <c r="M738" s="80" t="s">
        <v>3862</v>
      </c>
      <c r="N738" s="80" t="s">
        <v>120</v>
      </c>
      <c r="O738" s="80" t="s">
        <v>240</v>
      </c>
      <c r="P738" s="80" t="s">
        <v>135</v>
      </c>
      <c r="Q738" s="80" t="s">
        <v>123</v>
      </c>
      <c r="R738" s="80" t="s">
        <v>136</v>
      </c>
      <c r="S738" s="80">
        <v>13</v>
      </c>
      <c r="T738" s="80">
        <v>18</v>
      </c>
      <c r="U738" s="80" t="s">
        <v>232</v>
      </c>
      <c r="V738" s="80" t="s">
        <v>126</v>
      </c>
      <c r="W738" s="80" t="s">
        <v>127</v>
      </c>
      <c r="X738" s="80"/>
      <c r="Y738" s="80"/>
    </row>
    <row r="739" spans="1:25">
      <c r="A739" s="80">
        <f t="shared" si="11"/>
        <v>738</v>
      </c>
      <c r="B739" s="10">
        <v>45973.602696759299</v>
      </c>
      <c r="C739" s="13" t="s">
        <v>880</v>
      </c>
      <c r="D739" s="80" t="s">
        <v>3863</v>
      </c>
      <c r="E739" s="80" t="s">
        <v>3864</v>
      </c>
      <c r="F739" s="80" t="s">
        <v>3865</v>
      </c>
      <c r="G739" s="80" t="s">
        <v>3866</v>
      </c>
      <c r="H739" s="80" t="s">
        <v>174</v>
      </c>
      <c r="I739" s="80" t="s">
        <v>173</v>
      </c>
      <c r="J739" s="80" t="s">
        <v>149</v>
      </c>
      <c r="K739" s="80">
        <v>1</v>
      </c>
      <c r="L739" s="80" t="s">
        <v>3867</v>
      </c>
      <c r="M739" s="80" t="s">
        <v>3868</v>
      </c>
      <c r="N739" s="80" t="s">
        <v>164</v>
      </c>
      <c r="O739" s="80" t="s">
        <v>538</v>
      </c>
      <c r="P739" s="80" t="s">
        <v>3674</v>
      </c>
      <c r="Q739" s="80" t="s">
        <v>123</v>
      </c>
      <c r="R739" s="80" t="s">
        <v>174</v>
      </c>
      <c r="S739" s="80">
        <v>19</v>
      </c>
      <c r="T739" s="80">
        <v>24</v>
      </c>
      <c r="U739" s="80" t="s">
        <v>882</v>
      </c>
      <c r="V739" s="80" t="s">
        <v>126</v>
      </c>
      <c r="W739" s="80" t="s">
        <v>127</v>
      </c>
      <c r="X739" s="80"/>
      <c r="Y739" s="80"/>
    </row>
    <row r="740" spans="1:25">
      <c r="A740" s="80">
        <f t="shared" si="11"/>
        <v>739</v>
      </c>
      <c r="B740" s="10">
        <v>45973.605555555601</v>
      </c>
      <c r="C740" s="13" t="s">
        <v>261</v>
      </c>
      <c r="D740" s="80" t="s">
        <v>3869</v>
      </c>
      <c r="E740" s="80" t="s">
        <v>409</v>
      </c>
      <c r="F740" s="80" t="s">
        <v>410</v>
      </c>
      <c r="G740" s="80" t="s">
        <v>411</v>
      </c>
      <c r="H740" s="80" t="s">
        <v>115</v>
      </c>
      <c r="I740" s="80" t="s">
        <v>252</v>
      </c>
      <c r="J740" s="80" t="s">
        <v>117</v>
      </c>
      <c r="K740" s="80">
        <v>3</v>
      </c>
      <c r="L740" s="80" t="s">
        <v>412</v>
      </c>
      <c r="M740" s="80" t="s">
        <v>413</v>
      </c>
      <c r="N740" s="80" t="s">
        <v>120</v>
      </c>
      <c r="O740" s="80" t="s">
        <v>187</v>
      </c>
      <c r="P740" s="80" t="s">
        <v>414</v>
      </c>
      <c r="Q740" s="80" t="s">
        <v>123</v>
      </c>
      <c r="R740" s="80" t="s">
        <v>136</v>
      </c>
      <c r="S740" s="80">
        <v>9</v>
      </c>
      <c r="T740" s="80">
        <v>18</v>
      </c>
      <c r="U740" s="80" t="s">
        <v>270</v>
      </c>
      <c r="V740" s="80" t="s">
        <v>126</v>
      </c>
      <c r="W740" s="80" t="s">
        <v>127</v>
      </c>
      <c r="X740" s="80"/>
      <c r="Y740" s="80"/>
    </row>
    <row r="741" spans="1:25">
      <c r="A741" s="80">
        <f t="shared" si="11"/>
        <v>740</v>
      </c>
      <c r="B741" s="10">
        <v>45973.607534722199</v>
      </c>
      <c r="C741" s="13" t="s">
        <v>110</v>
      </c>
      <c r="D741" s="80" t="s">
        <v>3870</v>
      </c>
      <c r="E741" s="80" t="s">
        <v>3871</v>
      </c>
      <c r="F741" s="80" t="s">
        <v>3872</v>
      </c>
      <c r="G741" s="80" t="s">
        <v>3873</v>
      </c>
      <c r="H741" s="80" t="s">
        <v>115</v>
      </c>
      <c r="I741" s="80" t="s">
        <v>865</v>
      </c>
      <c r="J741" s="80" t="s">
        <v>117</v>
      </c>
      <c r="K741" s="80">
        <v>18</v>
      </c>
      <c r="L741" s="80" t="s">
        <v>3874</v>
      </c>
      <c r="M741" s="80" t="s">
        <v>3875</v>
      </c>
      <c r="N741" s="80" t="s">
        <v>120</v>
      </c>
      <c r="O741" s="80" t="s">
        <v>152</v>
      </c>
      <c r="P741" s="80" t="s">
        <v>135</v>
      </c>
      <c r="Q741" s="80" t="s">
        <v>123</v>
      </c>
      <c r="R741" s="80" t="s">
        <v>174</v>
      </c>
      <c r="S741" s="80">
        <v>4</v>
      </c>
      <c r="T741" s="80">
        <v>24</v>
      </c>
      <c r="U741" s="80" t="s">
        <v>125</v>
      </c>
      <c r="V741" s="80" t="s">
        <v>126</v>
      </c>
      <c r="W741" s="80" t="s">
        <v>127</v>
      </c>
      <c r="X741" s="80"/>
      <c r="Y741" s="80"/>
    </row>
    <row r="742" spans="1:25">
      <c r="A742" s="80">
        <f t="shared" si="11"/>
        <v>741</v>
      </c>
      <c r="B742" s="10">
        <v>45973.6116666667</v>
      </c>
      <c r="C742" s="13" t="s">
        <v>297</v>
      </c>
      <c r="D742" s="80" t="s">
        <v>3876</v>
      </c>
      <c r="E742" s="80" t="s">
        <v>3877</v>
      </c>
      <c r="F742" s="80" t="s">
        <v>3878</v>
      </c>
      <c r="G742" s="80" t="s">
        <v>3879</v>
      </c>
      <c r="H742" s="80" t="s">
        <v>115</v>
      </c>
      <c r="I742" s="80" t="s">
        <v>1383</v>
      </c>
      <c r="J742" s="80" t="s">
        <v>149</v>
      </c>
      <c r="K742" s="80">
        <v>4</v>
      </c>
      <c r="L742" s="80" t="s">
        <v>3880</v>
      </c>
      <c r="M742" s="80" t="s">
        <v>3881</v>
      </c>
      <c r="N742" s="80" t="s">
        <v>120</v>
      </c>
      <c r="O742" s="80" t="s">
        <v>327</v>
      </c>
      <c r="P742" s="80" t="s">
        <v>135</v>
      </c>
      <c r="Q742" s="80" t="s">
        <v>123</v>
      </c>
      <c r="R742" s="80" t="s">
        <v>124</v>
      </c>
      <c r="S742" s="80">
        <v>1</v>
      </c>
      <c r="T742" s="80">
        <v>18</v>
      </c>
      <c r="U742" s="80" t="s">
        <v>305</v>
      </c>
      <c r="V742" s="80" t="s">
        <v>126</v>
      </c>
      <c r="W742" s="80" t="s">
        <v>137</v>
      </c>
      <c r="X742" s="80"/>
      <c r="Y742" s="80"/>
    </row>
    <row r="743" spans="1:25">
      <c r="A743" s="80">
        <f t="shared" si="11"/>
        <v>742</v>
      </c>
      <c r="B743" s="10">
        <v>45973.612974536998</v>
      </c>
      <c r="C743" s="13" t="s">
        <v>2004</v>
      </c>
      <c r="D743" s="80" t="s">
        <v>3882</v>
      </c>
      <c r="E743" s="80" t="s">
        <v>3883</v>
      </c>
      <c r="F743" s="80" t="s">
        <v>3790</v>
      </c>
      <c r="G743" s="80" t="s">
        <v>3884</v>
      </c>
      <c r="H743" s="80" t="s">
        <v>174</v>
      </c>
      <c r="I743" s="80" t="s">
        <v>173</v>
      </c>
      <c r="J743" s="80" t="s">
        <v>149</v>
      </c>
      <c r="K743" s="80">
        <v>6</v>
      </c>
      <c r="L743" s="80" t="s">
        <v>3885</v>
      </c>
      <c r="M743" s="80" t="s">
        <v>3886</v>
      </c>
      <c r="N743" s="80" t="s">
        <v>120</v>
      </c>
      <c r="O743" s="80" t="s">
        <v>152</v>
      </c>
      <c r="P743" s="80" t="s">
        <v>581</v>
      </c>
      <c r="Q743" s="80" t="s">
        <v>123</v>
      </c>
      <c r="R743" s="80" t="s">
        <v>174</v>
      </c>
      <c r="S743" s="80">
        <v>15</v>
      </c>
      <c r="T743" s="80">
        <v>18</v>
      </c>
      <c r="U743" s="80" t="s">
        <v>2011</v>
      </c>
      <c r="V743" s="80" t="s">
        <v>126</v>
      </c>
      <c r="W743" s="80" t="s">
        <v>127</v>
      </c>
      <c r="X743" s="80"/>
      <c r="Y743" s="80"/>
    </row>
    <row r="744" spans="1:25">
      <c r="A744" s="80">
        <f t="shared" si="11"/>
        <v>743</v>
      </c>
      <c r="B744" s="10">
        <v>45973.613553240699</v>
      </c>
      <c r="C744" s="13" t="s">
        <v>110</v>
      </c>
      <c r="D744" s="80" t="s">
        <v>3887</v>
      </c>
      <c r="E744" s="80" t="s">
        <v>3888</v>
      </c>
      <c r="F744" s="80" t="s">
        <v>3889</v>
      </c>
      <c r="G744" s="80" t="s">
        <v>3890</v>
      </c>
      <c r="H744" s="80" t="s">
        <v>115</v>
      </c>
      <c r="I744" s="80" t="s">
        <v>849</v>
      </c>
      <c r="J744" s="80" t="s">
        <v>117</v>
      </c>
      <c r="K744" s="80">
        <v>1</v>
      </c>
      <c r="L744" s="80" t="s">
        <v>3891</v>
      </c>
      <c r="M744" s="80" t="s">
        <v>3892</v>
      </c>
      <c r="N744" s="80" t="s">
        <v>120</v>
      </c>
      <c r="O744" s="80" t="s">
        <v>611</v>
      </c>
      <c r="P744" s="80" t="s">
        <v>269</v>
      </c>
      <c r="Q744" s="80" t="s">
        <v>123</v>
      </c>
      <c r="R744" s="80" t="s">
        <v>136</v>
      </c>
      <c r="S744" s="80">
        <v>12</v>
      </c>
      <c r="T744" s="80">
        <v>24</v>
      </c>
      <c r="U744" s="80" t="s">
        <v>125</v>
      </c>
      <c r="V744" s="80" t="s">
        <v>126</v>
      </c>
      <c r="W744" s="80" t="s">
        <v>127</v>
      </c>
      <c r="X744" s="80"/>
      <c r="Y744" s="80"/>
    </row>
    <row r="745" spans="1:25">
      <c r="A745" s="80">
        <f t="shared" si="11"/>
        <v>744</v>
      </c>
      <c r="B745" s="10">
        <v>45973.618437500001</v>
      </c>
      <c r="C745" s="13" t="s">
        <v>110</v>
      </c>
      <c r="D745" s="80" t="s">
        <v>3893</v>
      </c>
      <c r="E745" s="80" t="s">
        <v>3894</v>
      </c>
      <c r="F745" s="80" t="s">
        <v>3895</v>
      </c>
      <c r="G745" s="80" t="s">
        <v>3896</v>
      </c>
      <c r="H745" s="80" t="s">
        <v>115</v>
      </c>
      <c r="I745" s="80" t="s">
        <v>865</v>
      </c>
      <c r="J745" s="80" t="s">
        <v>117</v>
      </c>
      <c r="K745" s="80">
        <v>1</v>
      </c>
      <c r="L745" s="80" t="s">
        <v>3897</v>
      </c>
      <c r="M745" s="80" t="s">
        <v>3898</v>
      </c>
      <c r="N745" s="80" t="s">
        <v>120</v>
      </c>
      <c r="O745" s="80" t="s">
        <v>398</v>
      </c>
      <c r="P745" s="80" t="s">
        <v>178</v>
      </c>
      <c r="Q745" s="80" t="s">
        <v>123</v>
      </c>
      <c r="R745" s="80" t="s">
        <v>124</v>
      </c>
      <c r="S745" s="80">
        <v>10</v>
      </c>
      <c r="T745" s="80">
        <v>36</v>
      </c>
      <c r="U745" s="80" t="s">
        <v>125</v>
      </c>
      <c r="V745" s="80" t="s">
        <v>126</v>
      </c>
      <c r="W745" s="80" t="s">
        <v>127</v>
      </c>
      <c r="X745" s="80"/>
      <c r="Y745" s="80"/>
    </row>
    <row r="746" spans="1:25">
      <c r="A746" s="80">
        <f t="shared" si="11"/>
        <v>745</v>
      </c>
      <c r="B746" s="10">
        <v>45973.621435185203</v>
      </c>
      <c r="C746" s="13" t="s">
        <v>329</v>
      </c>
      <c r="D746" s="80" t="s">
        <v>3899</v>
      </c>
      <c r="E746" s="80" t="s">
        <v>3900</v>
      </c>
      <c r="F746" s="80" t="s">
        <v>3901</v>
      </c>
      <c r="G746" s="80" t="s">
        <v>3902</v>
      </c>
      <c r="H746" s="80" t="s">
        <v>115</v>
      </c>
      <c r="I746" s="80" t="s">
        <v>237</v>
      </c>
      <c r="J746" s="80" t="s">
        <v>117</v>
      </c>
      <c r="K746" s="80">
        <v>1</v>
      </c>
      <c r="L746" s="80" t="s">
        <v>3903</v>
      </c>
      <c r="M746" s="80" t="s">
        <v>3904</v>
      </c>
      <c r="N746" s="80" t="s">
        <v>120</v>
      </c>
      <c r="O746" s="80" t="s">
        <v>240</v>
      </c>
      <c r="P746" s="80" t="s">
        <v>135</v>
      </c>
      <c r="Q746" s="80" t="s">
        <v>123</v>
      </c>
      <c r="R746" s="80" t="s">
        <v>136</v>
      </c>
      <c r="S746" s="80">
        <v>3</v>
      </c>
      <c r="T746" s="80">
        <v>12</v>
      </c>
      <c r="U746" s="80" t="s">
        <v>336</v>
      </c>
      <c r="V746" s="80" t="s">
        <v>126</v>
      </c>
      <c r="W746" s="80" t="s">
        <v>127</v>
      </c>
      <c r="X746" s="80"/>
      <c r="Y746" s="80"/>
    </row>
    <row r="747" spans="1:25">
      <c r="A747" s="80">
        <f t="shared" si="11"/>
        <v>746</v>
      </c>
      <c r="B747" s="10">
        <v>45973.630046296297</v>
      </c>
      <c r="C747" s="13" t="s">
        <v>157</v>
      </c>
      <c r="D747" s="80" t="s">
        <v>3905</v>
      </c>
      <c r="E747" s="80" t="s">
        <v>3906</v>
      </c>
      <c r="F747" s="80" t="s">
        <v>3907</v>
      </c>
      <c r="G747" s="80" t="s">
        <v>3908</v>
      </c>
      <c r="H747" s="80" t="s">
        <v>115</v>
      </c>
      <c r="I747" s="80" t="s">
        <v>955</v>
      </c>
      <c r="J747" s="80" t="s">
        <v>117</v>
      </c>
      <c r="K747" s="80">
        <v>12</v>
      </c>
      <c r="L747" s="80" t="s">
        <v>3909</v>
      </c>
      <c r="M747" s="80" t="s">
        <v>3910</v>
      </c>
      <c r="N747" s="80" t="s">
        <v>164</v>
      </c>
      <c r="O747" s="80" t="s">
        <v>2774</v>
      </c>
      <c r="P747" s="80" t="s">
        <v>135</v>
      </c>
      <c r="Q747" s="80" t="s">
        <v>123</v>
      </c>
      <c r="R747" s="80" t="s">
        <v>174</v>
      </c>
      <c r="S747" s="80">
        <v>3</v>
      </c>
      <c r="T747" s="80">
        <v>18</v>
      </c>
      <c r="U747" s="80" t="s">
        <v>167</v>
      </c>
      <c r="V747" s="80" t="s">
        <v>126</v>
      </c>
      <c r="W747" s="80" t="s">
        <v>127</v>
      </c>
      <c r="X747" s="80"/>
      <c r="Y747" s="80"/>
    </row>
    <row r="748" spans="1:25">
      <c r="A748" s="80">
        <f t="shared" si="11"/>
        <v>747</v>
      </c>
      <c r="B748" s="10">
        <v>45973.6351967593</v>
      </c>
      <c r="C748" s="13" t="s">
        <v>362</v>
      </c>
      <c r="D748" s="80" t="s">
        <v>3911</v>
      </c>
      <c r="E748" s="80" t="s">
        <v>3912</v>
      </c>
      <c r="F748" s="80" t="s">
        <v>3913</v>
      </c>
      <c r="G748" s="80" t="s">
        <v>3914</v>
      </c>
      <c r="H748" s="80" t="s">
        <v>115</v>
      </c>
      <c r="I748" s="80" t="s">
        <v>1410</v>
      </c>
      <c r="J748" s="80" t="s">
        <v>117</v>
      </c>
      <c r="K748" s="80">
        <v>10</v>
      </c>
      <c r="L748" s="80" t="s">
        <v>3915</v>
      </c>
      <c r="M748" s="80" t="s">
        <v>3916</v>
      </c>
      <c r="N748" s="80" t="s">
        <v>120</v>
      </c>
      <c r="O748" s="80" t="s">
        <v>152</v>
      </c>
      <c r="P748" s="80" t="s">
        <v>1628</v>
      </c>
      <c r="Q748" s="80" t="s">
        <v>123</v>
      </c>
      <c r="R748" s="80" t="s">
        <v>174</v>
      </c>
      <c r="S748" s="80">
        <v>16</v>
      </c>
      <c r="T748" s="80">
        <v>18</v>
      </c>
      <c r="U748" s="80" t="s">
        <v>364</v>
      </c>
      <c r="V748" s="80" t="s">
        <v>126</v>
      </c>
      <c r="W748" s="80" t="s">
        <v>127</v>
      </c>
      <c r="X748" s="80"/>
      <c r="Y748" s="80"/>
    </row>
    <row r="749" spans="1:25">
      <c r="A749" s="80">
        <f t="shared" si="11"/>
        <v>748</v>
      </c>
      <c r="B749" s="10">
        <v>45973.641157407401</v>
      </c>
      <c r="C749" s="13" t="s">
        <v>563</v>
      </c>
      <c r="D749" s="80" t="s">
        <v>3917</v>
      </c>
      <c r="E749" s="80" t="s">
        <v>3918</v>
      </c>
      <c r="F749" s="80" t="s">
        <v>3919</v>
      </c>
      <c r="G749" s="80" t="s">
        <v>3920</v>
      </c>
      <c r="H749" s="80" t="s">
        <v>115</v>
      </c>
      <c r="I749" s="80" t="s">
        <v>865</v>
      </c>
      <c r="J749" s="80" t="s">
        <v>149</v>
      </c>
      <c r="K749" s="80">
        <v>9</v>
      </c>
      <c r="L749" s="80" t="s">
        <v>3921</v>
      </c>
      <c r="M749" s="80" t="s">
        <v>3922</v>
      </c>
      <c r="N749" s="80" t="s">
        <v>120</v>
      </c>
      <c r="O749" s="80" t="s">
        <v>121</v>
      </c>
      <c r="P749" s="80" t="s">
        <v>2169</v>
      </c>
      <c r="Q749" s="80" t="s">
        <v>123</v>
      </c>
      <c r="R749" s="80" t="s">
        <v>174</v>
      </c>
      <c r="S749" s="80">
        <v>1</v>
      </c>
      <c r="T749" s="80">
        <v>24</v>
      </c>
      <c r="U749" s="80" t="s">
        <v>565</v>
      </c>
      <c r="V749" s="80" t="s">
        <v>126</v>
      </c>
      <c r="W749" s="80" t="s">
        <v>127</v>
      </c>
      <c r="X749" s="80"/>
      <c r="Y749" s="80"/>
    </row>
    <row r="750" spans="1:25">
      <c r="A750" s="80">
        <f t="shared" si="11"/>
        <v>749</v>
      </c>
      <c r="B750" s="10">
        <v>45973.642094907402</v>
      </c>
      <c r="C750" s="13" t="s">
        <v>362</v>
      </c>
      <c r="D750" s="80" t="s">
        <v>3923</v>
      </c>
      <c r="E750" s="80" t="s">
        <v>3918</v>
      </c>
      <c r="F750" s="80" t="s">
        <v>3919</v>
      </c>
      <c r="G750" s="80" t="s">
        <v>3920</v>
      </c>
      <c r="H750" s="80" t="s">
        <v>115</v>
      </c>
      <c r="I750" s="80" t="s">
        <v>865</v>
      </c>
      <c r="J750" s="80" t="s">
        <v>149</v>
      </c>
      <c r="K750" s="80">
        <v>9</v>
      </c>
      <c r="L750" s="80" t="s">
        <v>3921</v>
      </c>
      <c r="M750" s="80" t="s">
        <v>3922</v>
      </c>
      <c r="N750" s="80" t="s">
        <v>120</v>
      </c>
      <c r="O750" s="80" t="s">
        <v>121</v>
      </c>
      <c r="P750" s="80" t="s">
        <v>2169</v>
      </c>
      <c r="Q750" s="80" t="s">
        <v>123</v>
      </c>
      <c r="R750" s="80" t="s">
        <v>174</v>
      </c>
      <c r="S750" s="80">
        <v>1</v>
      </c>
      <c r="T750" s="80">
        <v>24</v>
      </c>
      <c r="U750" s="80" t="s">
        <v>364</v>
      </c>
      <c r="V750" s="80" t="s">
        <v>126</v>
      </c>
      <c r="W750" s="80" t="s">
        <v>127</v>
      </c>
      <c r="X750" s="80"/>
      <c r="Y750" s="80"/>
    </row>
    <row r="751" spans="1:25">
      <c r="A751" s="80">
        <f t="shared" si="11"/>
        <v>750</v>
      </c>
      <c r="B751" s="10">
        <v>45973.643472222197</v>
      </c>
      <c r="C751" s="13" t="s">
        <v>297</v>
      </c>
      <c r="D751" s="80" t="s">
        <v>3924</v>
      </c>
      <c r="E751" s="80" t="s">
        <v>3925</v>
      </c>
      <c r="F751" s="80" t="s">
        <v>3926</v>
      </c>
      <c r="G751" s="80" t="s">
        <v>3927</v>
      </c>
      <c r="H751" s="80" t="s">
        <v>115</v>
      </c>
      <c r="I751" s="80" t="s">
        <v>275</v>
      </c>
      <c r="J751" s="80" t="s">
        <v>117</v>
      </c>
      <c r="K751" s="80">
        <v>1</v>
      </c>
      <c r="L751" s="80" t="s">
        <v>3928</v>
      </c>
      <c r="M751" s="80" t="s">
        <v>3929</v>
      </c>
      <c r="N751" s="80" t="s">
        <v>120</v>
      </c>
      <c r="O751" s="80" t="s">
        <v>213</v>
      </c>
      <c r="P751" s="80" t="s">
        <v>269</v>
      </c>
      <c r="Q751" s="80" t="s">
        <v>123</v>
      </c>
      <c r="R751" s="80" t="s">
        <v>136</v>
      </c>
      <c r="S751" s="80">
        <v>13</v>
      </c>
      <c r="T751" s="80">
        <v>18</v>
      </c>
      <c r="U751" s="80" t="s">
        <v>305</v>
      </c>
      <c r="V751" s="80" t="s">
        <v>126</v>
      </c>
      <c r="W751" s="80" t="s">
        <v>137</v>
      </c>
      <c r="X751" s="80"/>
      <c r="Y751" s="80"/>
    </row>
    <row r="752" spans="1:25">
      <c r="A752" s="80">
        <f t="shared" si="11"/>
        <v>751</v>
      </c>
      <c r="B752" s="10">
        <v>45973.643622685202</v>
      </c>
      <c r="C752" s="13" t="s">
        <v>840</v>
      </c>
      <c r="D752" s="80" t="s">
        <v>3930</v>
      </c>
      <c r="E752" s="80" t="s">
        <v>3918</v>
      </c>
      <c r="F752" s="80" t="s">
        <v>3919</v>
      </c>
      <c r="G752" s="80" t="s">
        <v>3920</v>
      </c>
      <c r="H752" s="80" t="s">
        <v>115</v>
      </c>
      <c r="I752" s="80" t="s">
        <v>865</v>
      </c>
      <c r="J752" s="80" t="s">
        <v>149</v>
      </c>
      <c r="K752" s="80">
        <v>9</v>
      </c>
      <c r="L752" s="80" t="s">
        <v>3921</v>
      </c>
      <c r="M752" s="80" t="s">
        <v>3922</v>
      </c>
      <c r="N752" s="80" t="s">
        <v>120</v>
      </c>
      <c r="O752" s="80" t="s">
        <v>121</v>
      </c>
      <c r="P752" s="80" t="s">
        <v>2169</v>
      </c>
      <c r="Q752" s="80" t="s">
        <v>123</v>
      </c>
      <c r="R752" s="80" t="s">
        <v>174</v>
      </c>
      <c r="S752" s="80">
        <v>1</v>
      </c>
      <c r="T752" s="80">
        <v>24</v>
      </c>
      <c r="U752" s="80" t="s">
        <v>843</v>
      </c>
      <c r="V752" s="80" t="s">
        <v>126</v>
      </c>
      <c r="W752" s="80" t="s">
        <v>127</v>
      </c>
      <c r="X752" s="80"/>
      <c r="Y752" s="80"/>
    </row>
    <row r="753" spans="1:25">
      <c r="A753" s="80">
        <f t="shared" si="11"/>
        <v>752</v>
      </c>
      <c r="B753" s="10">
        <v>45973.643888888902</v>
      </c>
      <c r="C753" s="13" t="s">
        <v>553</v>
      </c>
      <c r="D753" s="80" t="s">
        <v>3931</v>
      </c>
      <c r="E753" s="80" t="s">
        <v>3918</v>
      </c>
      <c r="F753" s="80" t="s">
        <v>3919</v>
      </c>
      <c r="G753" s="80" t="s">
        <v>3920</v>
      </c>
      <c r="H753" s="80" t="s">
        <v>115</v>
      </c>
      <c r="I753" s="80" t="s">
        <v>865</v>
      </c>
      <c r="J753" s="80" t="s">
        <v>149</v>
      </c>
      <c r="K753" s="80">
        <v>9</v>
      </c>
      <c r="L753" s="80" t="s">
        <v>3921</v>
      </c>
      <c r="M753" s="80" t="s">
        <v>3922</v>
      </c>
      <c r="N753" s="80" t="s">
        <v>120</v>
      </c>
      <c r="O753" s="80" t="s">
        <v>121</v>
      </c>
      <c r="P753" s="80" t="s">
        <v>2169</v>
      </c>
      <c r="Q753" s="80" t="s">
        <v>123</v>
      </c>
      <c r="R753" s="80" t="s">
        <v>174</v>
      </c>
      <c r="S753" s="80">
        <v>1</v>
      </c>
      <c r="T753" s="80">
        <v>24</v>
      </c>
      <c r="U753" s="80" t="s">
        <v>562</v>
      </c>
      <c r="V753" s="80" t="s">
        <v>126</v>
      </c>
      <c r="W753" s="80" t="s">
        <v>127</v>
      </c>
      <c r="X753" s="80"/>
      <c r="Y753" s="80"/>
    </row>
    <row r="754" spans="1:25">
      <c r="A754" s="80">
        <f t="shared" si="11"/>
        <v>753</v>
      </c>
      <c r="B754" s="10">
        <v>45973.648368055598</v>
      </c>
      <c r="C754" s="13" t="s">
        <v>362</v>
      </c>
      <c r="D754" s="80" t="s">
        <v>3932</v>
      </c>
      <c r="E754" s="80" t="s">
        <v>1162</v>
      </c>
      <c r="F754" s="80" t="s">
        <v>1163</v>
      </c>
      <c r="G754" s="80" t="s">
        <v>1164</v>
      </c>
      <c r="H754" s="80" t="s">
        <v>477</v>
      </c>
      <c r="I754" s="80" t="s">
        <v>1165</v>
      </c>
      <c r="J754" s="80" t="s">
        <v>149</v>
      </c>
      <c r="K754" s="80">
        <v>21</v>
      </c>
      <c r="L754" s="80" t="s">
        <v>1166</v>
      </c>
      <c r="M754" s="80" t="s">
        <v>1167</v>
      </c>
      <c r="N754" s="80" t="s">
        <v>120</v>
      </c>
      <c r="O754" s="80" t="s">
        <v>240</v>
      </c>
      <c r="P754" s="80" t="s">
        <v>135</v>
      </c>
      <c r="Q754" s="80" t="s">
        <v>123</v>
      </c>
      <c r="R754" s="80" t="s">
        <v>136</v>
      </c>
      <c r="S754" s="80">
        <v>2</v>
      </c>
      <c r="T754" s="80">
        <v>18</v>
      </c>
      <c r="U754" s="80" t="s">
        <v>364</v>
      </c>
      <c r="V754" s="80" t="s">
        <v>126</v>
      </c>
      <c r="W754" s="80" t="s">
        <v>1770</v>
      </c>
      <c r="X754" s="80"/>
      <c r="Y754" s="80"/>
    </row>
    <row r="755" spans="1:25">
      <c r="A755" s="80">
        <f t="shared" si="11"/>
        <v>754</v>
      </c>
      <c r="B755" s="10">
        <v>45973.649629629603</v>
      </c>
      <c r="C755" s="13" t="s">
        <v>2188</v>
      </c>
      <c r="D755" s="80" t="s">
        <v>3933</v>
      </c>
      <c r="E755" s="80" t="s">
        <v>3934</v>
      </c>
      <c r="F755" s="80" t="s">
        <v>3935</v>
      </c>
      <c r="G755" s="80" t="s">
        <v>3936</v>
      </c>
      <c r="H755" s="80" t="s">
        <v>115</v>
      </c>
      <c r="I755" s="80" t="s">
        <v>955</v>
      </c>
      <c r="J755" s="80" t="s">
        <v>117</v>
      </c>
      <c r="K755" s="80">
        <v>12</v>
      </c>
      <c r="L755" s="80" t="s">
        <v>3937</v>
      </c>
      <c r="M755" s="80" t="s">
        <v>3938</v>
      </c>
      <c r="N755" s="80" t="s">
        <v>120</v>
      </c>
      <c r="O755" s="80" t="s">
        <v>152</v>
      </c>
      <c r="P755" s="80" t="s">
        <v>135</v>
      </c>
      <c r="Q755" s="80" t="s">
        <v>123</v>
      </c>
      <c r="R755" s="80" t="s">
        <v>174</v>
      </c>
      <c r="S755" s="80">
        <v>4</v>
      </c>
      <c r="T755" s="80">
        <v>12</v>
      </c>
      <c r="U755" s="80" t="s">
        <v>2195</v>
      </c>
      <c r="V755" s="80" t="s">
        <v>126</v>
      </c>
      <c r="W755" s="80" t="s">
        <v>127</v>
      </c>
      <c r="X755" s="80"/>
      <c r="Y755" s="80"/>
    </row>
    <row r="756" spans="1:25">
      <c r="A756" s="80">
        <f t="shared" si="11"/>
        <v>755</v>
      </c>
      <c r="B756" s="10">
        <v>45973.677453703698</v>
      </c>
      <c r="C756" s="13" t="s">
        <v>362</v>
      </c>
      <c r="D756" s="80" t="s">
        <v>3939</v>
      </c>
      <c r="E756" s="80" t="s">
        <v>3940</v>
      </c>
      <c r="F756" s="80" t="s">
        <v>3941</v>
      </c>
      <c r="G756" s="80" t="s">
        <v>3942</v>
      </c>
      <c r="H756" s="80" t="s">
        <v>115</v>
      </c>
      <c r="I756" s="80" t="s">
        <v>244</v>
      </c>
      <c r="J756" s="80" t="s">
        <v>461</v>
      </c>
      <c r="K756" s="80">
        <v>12</v>
      </c>
      <c r="L756" s="80" t="s">
        <v>3943</v>
      </c>
      <c r="M756" s="80" t="s">
        <v>3944</v>
      </c>
      <c r="N756" s="80" t="s">
        <v>120</v>
      </c>
      <c r="O756" s="80" t="s">
        <v>3337</v>
      </c>
      <c r="P756" s="80" t="s">
        <v>135</v>
      </c>
      <c r="Q756" s="80" t="s">
        <v>123</v>
      </c>
      <c r="R756" s="80" t="s">
        <v>174</v>
      </c>
      <c r="S756" s="80">
        <v>19</v>
      </c>
      <c r="T756" s="80">
        <v>24</v>
      </c>
      <c r="U756" s="80" t="s">
        <v>364</v>
      </c>
      <c r="V756" s="80" t="s">
        <v>126</v>
      </c>
      <c r="W756" s="80" t="s">
        <v>127</v>
      </c>
      <c r="X756" s="80"/>
      <c r="Y756" s="80"/>
    </row>
    <row r="757" spans="1:25">
      <c r="A757" s="80">
        <f t="shared" si="11"/>
        <v>756</v>
      </c>
      <c r="B757" s="10">
        <v>45973.686319444401</v>
      </c>
      <c r="C757" s="13" t="s">
        <v>320</v>
      </c>
      <c r="D757" s="80" t="s">
        <v>3945</v>
      </c>
      <c r="E757" s="80" t="s">
        <v>1648</v>
      </c>
      <c r="F757" s="80" t="s">
        <v>1649</v>
      </c>
      <c r="G757" s="80" t="s">
        <v>1650</v>
      </c>
      <c r="H757" s="80" t="s">
        <v>115</v>
      </c>
      <c r="I757" s="80" t="s">
        <v>865</v>
      </c>
      <c r="J757" s="80" t="s">
        <v>117</v>
      </c>
      <c r="K757" s="80">
        <v>1</v>
      </c>
      <c r="L757" s="80" t="s">
        <v>1651</v>
      </c>
      <c r="M757" s="80" t="s">
        <v>1652</v>
      </c>
      <c r="N757" s="80" t="s">
        <v>164</v>
      </c>
      <c r="O757" s="80" t="s">
        <v>1653</v>
      </c>
      <c r="P757" s="80" t="s">
        <v>269</v>
      </c>
      <c r="Q757" s="80" t="s">
        <v>123</v>
      </c>
      <c r="R757" s="80" t="s">
        <v>124</v>
      </c>
      <c r="S757" s="80">
        <v>4</v>
      </c>
      <c r="T757" s="80">
        <v>18</v>
      </c>
      <c r="U757" s="80" t="s">
        <v>328</v>
      </c>
      <c r="V757" s="80" t="s">
        <v>126</v>
      </c>
      <c r="W757" s="80" t="s">
        <v>127</v>
      </c>
      <c r="X757" s="80"/>
      <c r="Y757" s="80"/>
    </row>
    <row r="758" spans="1:25">
      <c r="A758" s="80">
        <f t="shared" si="11"/>
        <v>757</v>
      </c>
      <c r="B758" s="10">
        <v>45973.691539351901</v>
      </c>
      <c r="C758" s="13" t="s">
        <v>320</v>
      </c>
      <c r="D758" s="80" t="s">
        <v>3946</v>
      </c>
      <c r="E758" s="80" t="s">
        <v>3947</v>
      </c>
      <c r="F758" s="80" t="s">
        <v>3948</v>
      </c>
      <c r="G758" s="80" t="s">
        <v>3949</v>
      </c>
      <c r="H758" s="80" t="s">
        <v>174</v>
      </c>
      <c r="I758" s="80" t="s">
        <v>173</v>
      </c>
      <c r="J758" s="80" t="s">
        <v>149</v>
      </c>
      <c r="K758" s="80">
        <v>1</v>
      </c>
      <c r="L758" s="80" t="s">
        <v>3950</v>
      </c>
      <c r="M758" s="80" t="s">
        <v>3951</v>
      </c>
      <c r="N758" s="80" t="s">
        <v>120</v>
      </c>
      <c r="O758" s="80" t="s">
        <v>121</v>
      </c>
      <c r="P758" s="80" t="s">
        <v>1480</v>
      </c>
      <c r="Q758" s="80" t="s">
        <v>123</v>
      </c>
      <c r="R758" s="80" t="s">
        <v>174</v>
      </c>
      <c r="S758" s="80">
        <v>16</v>
      </c>
      <c r="T758" s="80">
        <v>18</v>
      </c>
      <c r="U758" s="80" t="s">
        <v>328</v>
      </c>
      <c r="V758" s="80" t="s">
        <v>126</v>
      </c>
      <c r="W758" s="80" t="s">
        <v>127</v>
      </c>
      <c r="X758" s="80"/>
      <c r="Y758" s="80"/>
    </row>
    <row r="759" spans="1:25">
      <c r="A759" s="80">
        <f t="shared" si="11"/>
        <v>758</v>
      </c>
      <c r="B759" s="10">
        <v>45973.731226851902</v>
      </c>
      <c r="C759" s="13" t="s">
        <v>329</v>
      </c>
      <c r="D759" s="80" t="s">
        <v>3952</v>
      </c>
      <c r="E759" s="80" t="s">
        <v>3953</v>
      </c>
      <c r="F759" s="80" t="s">
        <v>3954</v>
      </c>
      <c r="G759" s="80" t="s">
        <v>3955</v>
      </c>
      <c r="H759" s="80" t="s">
        <v>115</v>
      </c>
      <c r="I759" s="80" t="s">
        <v>227</v>
      </c>
      <c r="J759" s="80" t="s">
        <v>117</v>
      </c>
      <c r="K759" s="80">
        <v>14</v>
      </c>
      <c r="L759" s="80" t="s">
        <v>3956</v>
      </c>
      <c r="M759" s="80" t="s">
        <v>3957</v>
      </c>
      <c r="N759" s="80" t="s">
        <v>120</v>
      </c>
      <c r="O759" s="80" t="s">
        <v>152</v>
      </c>
      <c r="P759" s="80" t="s">
        <v>135</v>
      </c>
      <c r="Q759" s="80" t="s">
        <v>123</v>
      </c>
      <c r="R759" s="80" t="s">
        <v>174</v>
      </c>
      <c r="S759" s="80">
        <v>14</v>
      </c>
      <c r="T759" s="80">
        <v>18</v>
      </c>
      <c r="U759" s="80" t="s">
        <v>336</v>
      </c>
      <c r="V759" s="80" t="s">
        <v>126</v>
      </c>
      <c r="W759" s="80" t="s">
        <v>127</v>
      </c>
      <c r="X759" s="80"/>
      <c r="Y759" s="80"/>
    </row>
    <row r="760" spans="1:25">
      <c r="A760" s="80">
        <f t="shared" si="11"/>
        <v>759</v>
      </c>
      <c r="B760" s="10">
        <v>45973.7402083333</v>
      </c>
      <c r="C760" s="13" t="s">
        <v>157</v>
      </c>
      <c r="D760" s="80" t="s">
        <v>3958</v>
      </c>
      <c r="E760" s="80" t="s">
        <v>3959</v>
      </c>
      <c r="F760" s="80" t="s">
        <v>3960</v>
      </c>
      <c r="G760" s="80" t="s">
        <v>3961</v>
      </c>
      <c r="H760" s="80" t="s">
        <v>115</v>
      </c>
      <c r="I760" s="80" t="s">
        <v>227</v>
      </c>
      <c r="J760" s="80" t="s">
        <v>117</v>
      </c>
      <c r="K760" s="80">
        <v>11</v>
      </c>
      <c r="L760" s="80" t="s">
        <v>3962</v>
      </c>
      <c r="M760" s="80" t="s">
        <v>3963</v>
      </c>
      <c r="N760" s="80" t="s">
        <v>164</v>
      </c>
      <c r="O760" s="80" t="s">
        <v>406</v>
      </c>
      <c r="P760" s="80" t="s">
        <v>407</v>
      </c>
      <c r="Q760" s="80" t="s">
        <v>123</v>
      </c>
      <c r="R760" s="80" t="s">
        <v>174</v>
      </c>
      <c r="S760" s="80">
        <v>22</v>
      </c>
      <c r="T760" s="80">
        <v>24</v>
      </c>
      <c r="U760" s="80" t="s">
        <v>167</v>
      </c>
      <c r="V760" s="80" t="s">
        <v>126</v>
      </c>
      <c r="W760" s="80" t="s">
        <v>127</v>
      </c>
      <c r="X760" s="80"/>
      <c r="Y760" s="80"/>
    </row>
    <row r="761" spans="1:25">
      <c r="A761" s="80">
        <f t="shared" si="11"/>
        <v>760</v>
      </c>
      <c r="B761" s="10">
        <v>45973.759166666699</v>
      </c>
      <c r="C761" s="13" t="s">
        <v>157</v>
      </c>
      <c r="D761" s="80" t="s">
        <v>3964</v>
      </c>
      <c r="E761" s="80" t="s">
        <v>3965</v>
      </c>
      <c r="F761" s="80" t="s">
        <v>3966</v>
      </c>
      <c r="G761" s="80" t="s">
        <v>3967</v>
      </c>
      <c r="H761" s="80" t="s">
        <v>115</v>
      </c>
      <c r="I761" s="80" t="s">
        <v>227</v>
      </c>
      <c r="J761" s="80" t="s">
        <v>117</v>
      </c>
      <c r="K761" s="80">
        <v>15</v>
      </c>
      <c r="L761" s="80" t="s">
        <v>3968</v>
      </c>
      <c r="M761" s="80" t="s">
        <v>3969</v>
      </c>
      <c r="N761" s="80" t="s">
        <v>120</v>
      </c>
      <c r="O761" s="80" t="s">
        <v>121</v>
      </c>
      <c r="P761" s="80" t="s">
        <v>612</v>
      </c>
      <c r="Q761" s="80" t="s">
        <v>123</v>
      </c>
      <c r="R761" s="80" t="s">
        <v>174</v>
      </c>
      <c r="S761" s="80">
        <v>16</v>
      </c>
      <c r="T761" s="80">
        <v>36</v>
      </c>
      <c r="U761" s="80" t="s">
        <v>167</v>
      </c>
      <c r="V761" s="80" t="s">
        <v>126</v>
      </c>
      <c r="W761" s="80" t="s">
        <v>127</v>
      </c>
      <c r="X761" s="80"/>
      <c r="Y761" s="80"/>
    </row>
    <row r="762" spans="1:25">
      <c r="A762" s="80">
        <f t="shared" si="11"/>
        <v>761</v>
      </c>
      <c r="B762" s="10">
        <v>45973.763344907398</v>
      </c>
      <c r="C762" s="13" t="s">
        <v>110</v>
      </c>
      <c r="D762" s="80" t="s">
        <v>3970</v>
      </c>
      <c r="E762" s="80" t="s">
        <v>3971</v>
      </c>
      <c r="F762" s="80" t="s">
        <v>3972</v>
      </c>
      <c r="G762" s="80" t="s">
        <v>3973</v>
      </c>
      <c r="H762" s="80" t="s">
        <v>115</v>
      </c>
      <c r="I762" s="80" t="s">
        <v>1207</v>
      </c>
      <c r="J762" s="80" t="s">
        <v>117</v>
      </c>
      <c r="K762" s="80">
        <v>3</v>
      </c>
      <c r="L762" s="80" t="s">
        <v>3974</v>
      </c>
      <c r="M762" s="80" t="s">
        <v>3975</v>
      </c>
      <c r="N762" s="80" t="s">
        <v>164</v>
      </c>
      <c r="O762" s="80" t="s">
        <v>202</v>
      </c>
      <c r="P762" s="80" t="s">
        <v>3976</v>
      </c>
      <c r="Q762" s="80" t="s">
        <v>123</v>
      </c>
      <c r="R762" s="80" t="s">
        <v>136</v>
      </c>
      <c r="S762" s="80">
        <v>19</v>
      </c>
      <c r="T762" s="80">
        <v>24</v>
      </c>
      <c r="U762" s="80" t="s">
        <v>125</v>
      </c>
      <c r="V762" s="80" t="s">
        <v>126</v>
      </c>
      <c r="W762" s="80" t="s">
        <v>127</v>
      </c>
      <c r="X762" s="80"/>
      <c r="Y762" s="80"/>
    </row>
    <row r="763" spans="1:25">
      <c r="A763" s="80">
        <f t="shared" si="11"/>
        <v>762</v>
      </c>
      <c r="B763" s="10">
        <v>45973.7652199074</v>
      </c>
      <c r="C763" s="13" t="s">
        <v>110</v>
      </c>
      <c r="D763" s="80" t="s">
        <v>3977</v>
      </c>
      <c r="E763" s="80" t="s">
        <v>3978</v>
      </c>
      <c r="F763" s="80" t="s">
        <v>3979</v>
      </c>
      <c r="G763" s="80" t="s">
        <v>3980</v>
      </c>
      <c r="H763" s="80" t="s">
        <v>115</v>
      </c>
      <c r="I763" s="80" t="s">
        <v>865</v>
      </c>
      <c r="J763" s="80" t="s">
        <v>117</v>
      </c>
      <c r="K763" s="80">
        <v>6</v>
      </c>
      <c r="L763" s="80" t="s">
        <v>3981</v>
      </c>
      <c r="M763" s="80" t="s">
        <v>3982</v>
      </c>
      <c r="N763" s="80" t="s">
        <v>120</v>
      </c>
      <c r="O763" s="80" t="s">
        <v>240</v>
      </c>
      <c r="P763" s="80" t="s">
        <v>135</v>
      </c>
      <c r="Q763" s="80" t="s">
        <v>123</v>
      </c>
      <c r="R763" s="80" t="s">
        <v>124</v>
      </c>
      <c r="S763" s="80">
        <v>6</v>
      </c>
      <c r="T763" s="80">
        <v>24</v>
      </c>
      <c r="U763" s="80" t="s">
        <v>125</v>
      </c>
      <c r="V763" s="80" t="s">
        <v>126</v>
      </c>
      <c r="W763" s="80" t="s">
        <v>127</v>
      </c>
      <c r="X763" s="80"/>
      <c r="Y763" s="80"/>
    </row>
    <row r="764" spans="1:25">
      <c r="A764" s="80">
        <f t="shared" si="11"/>
        <v>763</v>
      </c>
      <c r="B764" s="10">
        <v>45973.770949074104</v>
      </c>
      <c r="C764" s="13" t="s">
        <v>110</v>
      </c>
      <c r="D764" s="80" t="s">
        <v>3983</v>
      </c>
      <c r="E764" s="80" t="s">
        <v>3984</v>
      </c>
      <c r="F764" s="80" t="s">
        <v>3985</v>
      </c>
      <c r="G764" s="80" t="s">
        <v>3986</v>
      </c>
      <c r="H764" s="80" t="s">
        <v>477</v>
      </c>
      <c r="I764" s="80" t="s">
        <v>50</v>
      </c>
      <c r="J764" s="80" t="s">
        <v>149</v>
      </c>
      <c r="K764" s="80">
        <v>18</v>
      </c>
      <c r="L764" s="80" t="s">
        <v>3987</v>
      </c>
      <c r="M764" s="80" t="s">
        <v>3988</v>
      </c>
      <c r="N764" s="80" t="s">
        <v>120</v>
      </c>
      <c r="O764" s="80" t="s">
        <v>873</v>
      </c>
      <c r="P764" s="80" t="s">
        <v>287</v>
      </c>
      <c r="Q764" s="80" t="s">
        <v>123</v>
      </c>
      <c r="R764" s="80" t="s">
        <v>136</v>
      </c>
      <c r="S764" s="80">
        <v>13</v>
      </c>
      <c r="T764" s="80">
        <v>24</v>
      </c>
      <c r="U764" s="80" t="s">
        <v>125</v>
      </c>
      <c r="V764" s="80" t="s">
        <v>126</v>
      </c>
      <c r="W764" s="80" t="s">
        <v>5333</v>
      </c>
      <c r="X764" s="80"/>
      <c r="Y764" s="80"/>
    </row>
    <row r="765" spans="1:25">
      <c r="A765" s="80">
        <f t="shared" si="11"/>
        <v>764</v>
      </c>
      <c r="B765" s="10">
        <v>45973.787905092599</v>
      </c>
      <c r="C765" s="13" t="s">
        <v>157</v>
      </c>
      <c r="D765" s="80" t="s">
        <v>3989</v>
      </c>
      <c r="E765" s="80" t="s">
        <v>3918</v>
      </c>
      <c r="F765" s="80" t="s">
        <v>3919</v>
      </c>
      <c r="G765" s="80" t="s">
        <v>3920</v>
      </c>
      <c r="H765" s="80" t="s">
        <v>115</v>
      </c>
      <c r="I765" s="80" t="s">
        <v>865</v>
      </c>
      <c r="J765" s="80" t="s">
        <v>149</v>
      </c>
      <c r="K765" s="80">
        <v>9</v>
      </c>
      <c r="L765" s="80" t="s">
        <v>3921</v>
      </c>
      <c r="M765" s="80" t="s">
        <v>3922</v>
      </c>
      <c r="N765" s="80" t="s">
        <v>120</v>
      </c>
      <c r="O765" s="80" t="s">
        <v>121</v>
      </c>
      <c r="P765" s="80" t="s">
        <v>2169</v>
      </c>
      <c r="Q765" s="80" t="s">
        <v>123</v>
      </c>
      <c r="R765" s="80" t="s">
        <v>174</v>
      </c>
      <c r="S765" s="80">
        <v>1</v>
      </c>
      <c r="T765" s="80">
        <v>24</v>
      </c>
      <c r="U765" s="80" t="s">
        <v>167</v>
      </c>
      <c r="V765" s="80" t="s">
        <v>126</v>
      </c>
      <c r="W765" s="80" t="s">
        <v>127</v>
      </c>
      <c r="X765" s="80"/>
      <c r="Y765" s="80"/>
    </row>
    <row r="766" spans="1:25">
      <c r="A766" s="80">
        <f t="shared" si="11"/>
        <v>765</v>
      </c>
      <c r="B766" s="10">
        <v>45973.814629629604</v>
      </c>
      <c r="C766" s="13" t="s">
        <v>2077</v>
      </c>
      <c r="D766" s="80" t="s">
        <v>3990</v>
      </c>
      <c r="E766" s="80" t="s">
        <v>3991</v>
      </c>
      <c r="F766" s="80" t="s">
        <v>3992</v>
      </c>
      <c r="G766" s="80" t="s">
        <v>3993</v>
      </c>
      <c r="H766" s="80" t="s">
        <v>477</v>
      </c>
      <c r="I766" s="80" t="s">
        <v>35</v>
      </c>
      <c r="J766" s="80" t="s">
        <v>149</v>
      </c>
      <c r="K766" s="80">
        <v>8</v>
      </c>
      <c r="L766" s="80" t="s">
        <v>3994</v>
      </c>
      <c r="M766" s="80" t="s">
        <v>3995</v>
      </c>
      <c r="N766" s="80" t="s">
        <v>120</v>
      </c>
      <c r="O766" s="80" t="s">
        <v>152</v>
      </c>
      <c r="P766" s="80" t="s">
        <v>135</v>
      </c>
      <c r="Q766" s="80" t="s">
        <v>123</v>
      </c>
      <c r="R766" s="80" t="s">
        <v>136</v>
      </c>
      <c r="S766" s="80">
        <v>5</v>
      </c>
      <c r="T766" s="80">
        <v>12</v>
      </c>
      <c r="U766" s="80" t="s">
        <v>2084</v>
      </c>
      <c r="V766" s="80" t="s">
        <v>126</v>
      </c>
      <c r="W766" s="80" t="s">
        <v>204</v>
      </c>
      <c r="X766" s="80" t="s">
        <v>205</v>
      </c>
      <c r="Y766" s="80"/>
    </row>
    <row r="767" spans="1:25">
      <c r="A767" s="80">
        <f t="shared" si="11"/>
        <v>766</v>
      </c>
      <c r="B767" s="10">
        <v>45973.817511574103</v>
      </c>
      <c r="C767" s="13" t="s">
        <v>222</v>
      </c>
      <c r="D767" s="80" t="s">
        <v>3996</v>
      </c>
      <c r="E767" s="80" t="s">
        <v>3571</v>
      </c>
      <c r="F767" s="80" t="s">
        <v>3572</v>
      </c>
      <c r="G767" s="80" t="s">
        <v>3573</v>
      </c>
      <c r="H767" s="80" t="s">
        <v>115</v>
      </c>
      <c r="I767" s="80" t="s">
        <v>865</v>
      </c>
      <c r="J767" s="80" t="s">
        <v>117</v>
      </c>
      <c r="K767" s="80">
        <v>9</v>
      </c>
      <c r="L767" s="80" t="s">
        <v>3574</v>
      </c>
      <c r="M767" s="80" t="s">
        <v>3575</v>
      </c>
      <c r="N767" s="80" t="s">
        <v>120</v>
      </c>
      <c r="O767" s="80" t="s">
        <v>2405</v>
      </c>
      <c r="P767" s="80" t="s">
        <v>279</v>
      </c>
      <c r="Q767" s="80" t="s">
        <v>123</v>
      </c>
      <c r="R767" s="80" t="s">
        <v>124</v>
      </c>
      <c r="S767" s="80">
        <v>5</v>
      </c>
      <c r="T767" s="80">
        <v>24</v>
      </c>
      <c r="U767" s="80" t="s">
        <v>232</v>
      </c>
      <c r="V767" s="80" t="s">
        <v>126</v>
      </c>
      <c r="W767" s="80" t="s">
        <v>127</v>
      </c>
      <c r="X767" s="80"/>
      <c r="Y767" s="80"/>
    </row>
    <row r="768" spans="1:25">
      <c r="A768" s="80">
        <f t="shared" si="11"/>
        <v>767</v>
      </c>
      <c r="B768" s="10">
        <v>45973.840324074103</v>
      </c>
      <c r="C768" s="13" t="s">
        <v>329</v>
      </c>
      <c r="D768" s="80" t="s">
        <v>3997</v>
      </c>
      <c r="E768" s="80" t="s">
        <v>451</v>
      </c>
      <c r="F768" s="80" t="s">
        <v>452</v>
      </c>
      <c r="G768" s="80" t="s">
        <v>453</v>
      </c>
      <c r="H768" s="80" t="s">
        <v>115</v>
      </c>
      <c r="I768" s="80" t="s">
        <v>842</v>
      </c>
      <c r="J768" s="80" t="s">
        <v>117</v>
      </c>
      <c r="K768" s="80">
        <v>1</v>
      </c>
      <c r="L768" s="80" t="s">
        <v>454</v>
      </c>
      <c r="M768" s="80" t="s">
        <v>455</v>
      </c>
      <c r="N768" s="80" t="s">
        <v>120</v>
      </c>
      <c r="O768" s="80" t="s">
        <v>230</v>
      </c>
      <c r="P768" s="80" t="s">
        <v>178</v>
      </c>
      <c r="Q768" s="80" t="s">
        <v>123</v>
      </c>
      <c r="R768" s="80" t="s">
        <v>124</v>
      </c>
      <c r="S768" s="80">
        <v>2</v>
      </c>
      <c r="T768" s="80">
        <v>18</v>
      </c>
      <c r="U768" s="80" t="s">
        <v>336</v>
      </c>
      <c r="V768" s="80" t="s">
        <v>126</v>
      </c>
      <c r="W768" s="80" t="s">
        <v>127</v>
      </c>
      <c r="X768" s="80"/>
      <c r="Y768" s="80"/>
    </row>
    <row r="769" spans="1:25">
      <c r="A769" s="80">
        <f t="shared" si="11"/>
        <v>768</v>
      </c>
      <c r="B769" s="10">
        <v>45973.841226851902</v>
      </c>
      <c r="C769" s="13" t="s">
        <v>329</v>
      </c>
      <c r="D769" s="80" t="s">
        <v>3998</v>
      </c>
      <c r="E769" s="80" t="s">
        <v>2027</v>
      </c>
      <c r="F769" s="80" t="s">
        <v>2028</v>
      </c>
      <c r="G769" s="80" t="s">
        <v>2029</v>
      </c>
      <c r="H769" s="80" t="s">
        <v>115</v>
      </c>
      <c r="I769" s="80" t="s">
        <v>244</v>
      </c>
      <c r="J769" s="80" t="s">
        <v>117</v>
      </c>
      <c r="K769" s="80">
        <v>22</v>
      </c>
      <c r="L769" s="80" t="s">
        <v>2030</v>
      </c>
      <c r="M769" s="80" t="s">
        <v>2031</v>
      </c>
      <c r="N769" s="80" t="s">
        <v>120</v>
      </c>
      <c r="O769" s="80" t="s">
        <v>152</v>
      </c>
      <c r="P769" s="80" t="s">
        <v>581</v>
      </c>
      <c r="Q769" s="80" t="s">
        <v>123</v>
      </c>
      <c r="R769" s="80" t="s">
        <v>174</v>
      </c>
      <c r="S769" s="80">
        <v>9</v>
      </c>
      <c r="T769" s="80">
        <v>12</v>
      </c>
      <c r="U769" s="80" t="s">
        <v>336</v>
      </c>
      <c r="V769" s="80" t="s">
        <v>126</v>
      </c>
      <c r="W769" s="80" t="s">
        <v>127</v>
      </c>
      <c r="X769" s="80"/>
      <c r="Y769" s="80"/>
    </row>
    <row r="770" spans="1:25">
      <c r="A770" s="80">
        <f t="shared" si="11"/>
        <v>769</v>
      </c>
      <c r="B770" s="10">
        <v>45973.8422685185</v>
      </c>
      <c r="C770" s="13" t="s">
        <v>329</v>
      </c>
      <c r="D770" s="80" t="s">
        <v>3999</v>
      </c>
      <c r="E770" s="80" t="s">
        <v>812</v>
      </c>
      <c r="F770" s="80" t="s">
        <v>813</v>
      </c>
      <c r="G770" s="80" t="s">
        <v>814</v>
      </c>
      <c r="H770" s="80" t="s">
        <v>115</v>
      </c>
      <c r="I770" s="80" t="s">
        <v>227</v>
      </c>
      <c r="J770" s="80" t="s">
        <v>117</v>
      </c>
      <c r="K770" s="80">
        <v>9</v>
      </c>
      <c r="L770" s="80" t="s">
        <v>815</v>
      </c>
      <c r="M770" s="80" t="s">
        <v>816</v>
      </c>
      <c r="N770" s="80" t="s">
        <v>164</v>
      </c>
      <c r="O770" s="80" t="s">
        <v>817</v>
      </c>
      <c r="P770" s="80" t="s">
        <v>588</v>
      </c>
      <c r="Q770" s="80" t="s">
        <v>123</v>
      </c>
      <c r="R770" s="80" t="s">
        <v>174</v>
      </c>
      <c r="S770" s="80">
        <v>12</v>
      </c>
      <c r="T770" s="80">
        <v>12</v>
      </c>
      <c r="U770" s="80" t="s">
        <v>336</v>
      </c>
      <c r="V770" s="80" t="s">
        <v>126</v>
      </c>
      <c r="W770" s="80" t="s">
        <v>127</v>
      </c>
      <c r="X770" s="80"/>
      <c r="Y770" s="80"/>
    </row>
    <row r="771" spans="1:25">
      <c r="A771" s="80">
        <f t="shared" si="11"/>
        <v>770</v>
      </c>
      <c r="B771" s="10">
        <v>45973.848043981503</v>
      </c>
      <c r="C771" s="13" t="s">
        <v>320</v>
      </c>
      <c r="D771" s="80" t="s">
        <v>4000</v>
      </c>
      <c r="E771" s="80" t="s">
        <v>4001</v>
      </c>
      <c r="F771" s="80" t="s">
        <v>4002</v>
      </c>
      <c r="G771" s="80" t="s">
        <v>4003</v>
      </c>
      <c r="H771" s="80" t="s">
        <v>115</v>
      </c>
      <c r="I771" s="80" t="s">
        <v>244</v>
      </c>
      <c r="J771" s="80" t="s">
        <v>117</v>
      </c>
      <c r="K771" s="80">
        <v>19</v>
      </c>
      <c r="L771" s="80" t="s">
        <v>4004</v>
      </c>
      <c r="M771" s="80" t="s">
        <v>4005</v>
      </c>
      <c r="N771" s="80" t="s">
        <v>120</v>
      </c>
      <c r="O771" s="80" t="s">
        <v>152</v>
      </c>
      <c r="P771" s="80" t="s">
        <v>135</v>
      </c>
      <c r="Q771" s="80" t="s">
        <v>123</v>
      </c>
      <c r="R771" s="80" t="s">
        <v>174</v>
      </c>
      <c r="S771" s="80">
        <v>16</v>
      </c>
      <c r="T771" s="80">
        <v>24</v>
      </c>
      <c r="U771" s="80" t="s">
        <v>328</v>
      </c>
      <c r="V771" s="80" t="s">
        <v>126</v>
      </c>
      <c r="W771" s="80" t="s">
        <v>127</v>
      </c>
      <c r="X771" s="80"/>
      <c r="Y771" s="80"/>
    </row>
    <row r="772" spans="1:25">
      <c r="A772" s="80">
        <f t="shared" ref="A772:A835" si="12">A771+1</f>
        <v>771</v>
      </c>
      <c r="B772" s="10">
        <v>45973.879513888904</v>
      </c>
      <c r="C772" s="13" t="s">
        <v>456</v>
      </c>
      <c r="D772" s="80" t="s">
        <v>4006</v>
      </c>
      <c r="E772" s="80" t="s">
        <v>3965</v>
      </c>
      <c r="F772" s="80" t="s">
        <v>3966</v>
      </c>
      <c r="G772" s="80" t="s">
        <v>3967</v>
      </c>
      <c r="H772" s="80" t="s">
        <v>115</v>
      </c>
      <c r="I772" s="80" t="s">
        <v>227</v>
      </c>
      <c r="J772" s="80" t="s">
        <v>117</v>
      </c>
      <c r="K772" s="80">
        <v>15</v>
      </c>
      <c r="L772" s="80" t="s">
        <v>3968</v>
      </c>
      <c r="M772" s="80" t="s">
        <v>3969</v>
      </c>
      <c r="N772" s="80" t="s">
        <v>120</v>
      </c>
      <c r="O772" s="80" t="s">
        <v>121</v>
      </c>
      <c r="P772" s="80" t="s">
        <v>612</v>
      </c>
      <c r="Q772" s="80" t="s">
        <v>123</v>
      </c>
      <c r="R772" s="80" t="s">
        <v>174</v>
      </c>
      <c r="S772" s="80">
        <v>16</v>
      </c>
      <c r="T772" s="80">
        <v>36</v>
      </c>
      <c r="U772" s="80" t="s">
        <v>466</v>
      </c>
      <c r="V772" s="80" t="s">
        <v>126</v>
      </c>
      <c r="W772" s="80" t="s">
        <v>127</v>
      </c>
      <c r="X772" s="80"/>
      <c r="Y772" s="80"/>
    </row>
    <row r="773" spans="1:25">
      <c r="A773" s="80">
        <f t="shared" si="12"/>
        <v>772</v>
      </c>
      <c r="B773" s="10">
        <v>45974.3338657407</v>
      </c>
      <c r="C773" s="13" t="s">
        <v>168</v>
      </c>
      <c r="D773" s="80" t="s">
        <v>4007</v>
      </c>
      <c r="E773" s="80" t="s">
        <v>4008</v>
      </c>
      <c r="F773" s="80" t="s">
        <v>4009</v>
      </c>
      <c r="G773" s="80" t="s">
        <v>4010</v>
      </c>
      <c r="H773" s="80" t="s">
        <v>115</v>
      </c>
      <c r="I773" s="80" t="s">
        <v>252</v>
      </c>
      <c r="J773" s="80" t="s">
        <v>117</v>
      </c>
      <c r="K773" s="80">
        <v>1</v>
      </c>
      <c r="L773" s="80" t="s">
        <v>4011</v>
      </c>
      <c r="M773" s="80" t="s">
        <v>4012</v>
      </c>
      <c r="N773" s="80" t="s">
        <v>120</v>
      </c>
      <c r="O773" s="80" t="s">
        <v>213</v>
      </c>
      <c r="P773" s="80" t="s">
        <v>135</v>
      </c>
      <c r="Q773" s="80" t="s">
        <v>123</v>
      </c>
      <c r="R773" s="80" t="s">
        <v>124</v>
      </c>
      <c r="S773" s="80">
        <v>6</v>
      </c>
      <c r="T773" s="80">
        <v>12</v>
      </c>
      <c r="U773" s="80" t="s">
        <v>179</v>
      </c>
      <c r="V773" s="80" t="s">
        <v>126</v>
      </c>
      <c r="W773" s="80" t="s">
        <v>127</v>
      </c>
      <c r="X773" s="80"/>
      <c r="Y773" s="80"/>
    </row>
    <row r="774" spans="1:25">
      <c r="A774" s="80">
        <f t="shared" si="12"/>
        <v>773</v>
      </c>
      <c r="B774" s="10">
        <v>45974.378125000003</v>
      </c>
      <c r="C774" s="13" t="s">
        <v>110</v>
      </c>
      <c r="D774" s="80" t="s">
        <v>4013</v>
      </c>
      <c r="E774" s="80" t="s">
        <v>4014</v>
      </c>
      <c r="F774" s="80" t="s">
        <v>4015</v>
      </c>
      <c r="G774" s="80" t="s">
        <v>4016</v>
      </c>
      <c r="H774" s="80" t="s">
        <v>115</v>
      </c>
      <c r="I774" s="80" t="s">
        <v>849</v>
      </c>
      <c r="J774" s="80" t="s">
        <v>117</v>
      </c>
      <c r="K774" s="80">
        <v>1</v>
      </c>
      <c r="L774" s="80" t="s">
        <v>4017</v>
      </c>
      <c r="M774" s="80" t="s">
        <v>4018</v>
      </c>
      <c r="N774" s="80" t="s">
        <v>120</v>
      </c>
      <c r="O774" s="80" t="s">
        <v>121</v>
      </c>
      <c r="P774" s="80" t="s">
        <v>1480</v>
      </c>
      <c r="Q774" s="80" t="s">
        <v>123</v>
      </c>
      <c r="R774" s="80" t="s">
        <v>124</v>
      </c>
      <c r="S774" s="80">
        <v>6</v>
      </c>
      <c r="T774" s="80">
        <v>24</v>
      </c>
      <c r="U774" s="80" t="s">
        <v>125</v>
      </c>
      <c r="V774" s="80" t="s">
        <v>126</v>
      </c>
      <c r="W774" s="80" t="s">
        <v>127</v>
      </c>
      <c r="X774" s="80"/>
      <c r="Y774" s="80"/>
    </row>
    <row r="775" spans="1:25">
      <c r="A775" s="80">
        <f t="shared" si="12"/>
        <v>774</v>
      </c>
      <c r="B775" s="10">
        <v>45974.383819444403</v>
      </c>
      <c r="C775" s="13" t="s">
        <v>168</v>
      </c>
      <c r="D775" s="80" t="s">
        <v>4019</v>
      </c>
      <c r="E775" s="80" t="s">
        <v>4020</v>
      </c>
      <c r="F775" s="80" t="s">
        <v>4021</v>
      </c>
      <c r="G775" s="80" t="s">
        <v>4022</v>
      </c>
      <c r="H775" s="80" t="s">
        <v>115</v>
      </c>
      <c r="I775" s="80" t="s">
        <v>955</v>
      </c>
      <c r="J775" s="80" t="s">
        <v>149</v>
      </c>
      <c r="K775" s="80">
        <v>8</v>
      </c>
      <c r="L775" s="80" t="s">
        <v>4023</v>
      </c>
      <c r="M775" s="80" t="s">
        <v>4024</v>
      </c>
      <c r="N775" s="80" t="s">
        <v>120</v>
      </c>
      <c r="O775" s="80" t="s">
        <v>449</v>
      </c>
      <c r="P775" s="80" t="s">
        <v>279</v>
      </c>
      <c r="Q775" s="80" t="s">
        <v>123</v>
      </c>
      <c r="R775" s="80" t="s">
        <v>174</v>
      </c>
      <c r="S775" s="80">
        <v>2</v>
      </c>
      <c r="T775" s="80">
        <v>12</v>
      </c>
      <c r="U775" s="80" t="s">
        <v>179</v>
      </c>
      <c r="V775" s="80" t="s">
        <v>126</v>
      </c>
      <c r="W775" s="80" t="s">
        <v>127</v>
      </c>
      <c r="X775" s="80"/>
      <c r="Y775" s="80"/>
    </row>
    <row r="776" spans="1:25">
      <c r="A776" s="80">
        <f t="shared" si="12"/>
        <v>775</v>
      </c>
      <c r="B776" s="10">
        <v>45974.384178240703</v>
      </c>
      <c r="C776" s="13" t="s">
        <v>222</v>
      </c>
      <c r="D776" s="80" t="s">
        <v>4025</v>
      </c>
      <c r="E776" s="80" t="s">
        <v>3277</v>
      </c>
      <c r="F776" s="80" t="s">
        <v>2920</v>
      </c>
      <c r="G776" s="80" t="s">
        <v>3278</v>
      </c>
      <c r="H776" s="80" t="s">
        <v>174</v>
      </c>
      <c r="I776" s="80" t="s">
        <v>173</v>
      </c>
      <c r="J776" s="80" t="s">
        <v>149</v>
      </c>
      <c r="K776" s="80">
        <v>1</v>
      </c>
      <c r="L776" s="80" t="s">
        <v>3279</v>
      </c>
      <c r="M776" s="80" t="s">
        <v>3280</v>
      </c>
      <c r="N776" s="80" t="s">
        <v>120</v>
      </c>
      <c r="O776" s="80" t="s">
        <v>327</v>
      </c>
      <c r="P776" s="80" t="s">
        <v>269</v>
      </c>
      <c r="Q776" s="80" t="s">
        <v>123</v>
      </c>
      <c r="R776" s="80" t="s">
        <v>174</v>
      </c>
      <c r="S776" s="80">
        <v>9</v>
      </c>
      <c r="T776" s="80">
        <v>12</v>
      </c>
      <c r="U776" s="80" t="s">
        <v>232</v>
      </c>
      <c r="V776" s="80" t="s">
        <v>126</v>
      </c>
      <c r="W776" s="80" t="s">
        <v>127</v>
      </c>
      <c r="X776" s="80"/>
      <c r="Y776" s="80"/>
    </row>
    <row r="777" spans="1:25">
      <c r="A777" s="80">
        <f t="shared" si="12"/>
        <v>776</v>
      </c>
      <c r="B777" s="10">
        <v>45974.3886458333</v>
      </c>
      <c r="C777" s="13" t="s">
        <v>143</v>
      </c>
      <c r="D777" s="80" t="s">
        <v>4026</v>
      </c>
      <c r="E777" s="80" t="s">
        <v>4027</v>
      </c>
      <c r="F777" s="80" t="s">
        <v>4028</v>
      </c>
      <c r="G777" s="80" t="s">
        <v>4029</v>
      </c>
      <c r="H777" s="80" t="s">
        <v>148</v>
      </c>
      <c r="I777" s="80" t="s">
        <v>49</v>
      </c>
      <c r="J777" s="80" t="s">
        <v>149</v>
      </c>
      <c r="K777" s="80">
        <v>9</v>
      </c>
      <c r="L777" s="80" t="s">
        <v>4030</v>
      </c>
      <c r="M777" s="80" t="s">
        <v>4031</v>
      </c>
      <c r="N777" s="80" t="s">
        <v>120</v>
      </c>
      <c r="O777" s="80" t="s">
        <v>152</v>
      </c>
      <c r="P777" s="80" t="s">
        <v>178</v>
      </c>
      <c r="Q777" s="80" t="s">
        <v>123</v>
      </c>
      <c r="R777" s="80" t="s">
        <v>136</v>
      </c>
      <c r="S777" s="80">
        <v>9</v>
      </c>
      <c r="T777" s="80">
        <v>18</v>
      </c>
      <c r="U777" s="80" t="s">
        <v>153</v>
      </c>
      <c r="V777" s="80" t="s">
        <v>126</v>
      </c>
      <c r="W777" s="80" t="s">
        <v>137</v>
      </c>
      <c r="X777" s="80"/>
      <c r="Y777" s="80"/>
    </row>
    <row r="778" spans="1:25">
      <c r="A778" s="80">
        <f t="shared" si="12"/>
        <v>777</v>
      </c>
      <c r="B778" s="10">
        <v>45974.3983912037</v>
      </c>
      <c r="C778" s="13" t="s">
        <v>168</v>
      </c>
      <c r="D778" s="80" t="s">
        <v>4032</v>
      </c>
      <c r="E778" s="80" t="s">
        <v>3467</v>
      </c>
      <c r="F778" s="80" t="s">
        <v>3468</v>
      </c>
      <c r="G778" s="80" t="s">
        <v>3469</v>
      </c>
      <c r="H778" s="80" t="s">
        <v>115</v>
      </c>
      <c r="I778" s="80" t="s">
        <v>1069</v>
      </c>
      <c r="J778" s="80" t="s">
        <v>117</v>
      </c>
      <c r="K778" s="80">
        <v>26</v>
      </c>
      <c r="L778" s="80" t="s">
        <v>3470</v>
      </c>
      <c r="M778" s="80" t="s">
        <v>3471</v>
      </c>
      <c r="N778" s="80" t="s">
        <v>164</v>
      </c>
      <c r="O778" s="80" t="s">
        <v>406</v>
      </c>
      <c r="P778" s="80" t="s">
        <v>135</v>
      </c>
      <c r="Q778" s="80" t="s">
        <v>123</v>
      </c>
      <c r="R778" s="80" t="s">
        <v>174</v>
      </c>
      <c r="S778" s="80">
        <v>22</v>
      </c>
      <c r="T778" s="80">
        <v>24</v>
      </c>
      <c r="U778" s="80" t="s">
        <v>179</v>
      </c>
      <c r="V778" s="80" t="s">
        <v>126</v>
      </c>
      <c r="W778" s="80" t="s">
        <v>127</v>
      </c>
      <c r="X778" s="80"/>
      <c r="Y778" s="80"/>
    </row>
    <row r="779" spans="1:25">
      <c r="A779" s="80">
        <f t="shared" si="12"/>
        <v>778</v>
      </c>
      <c r="B779" s="10">
        <v>45974.446759259299</v>
      </c>
      <c r="C779" s="13" t="s">
        <v>359</v>
      </c>
      <c r="D779" s="80" t="s">
        <v>4033</v>
      </c>
      <c r="E779" s="80" t="s">
        <v>891</v>
      </c>
      <c r="F779" s="80" t="s">
        <v>892</v>
      </c>
      <c r="G779" s="80" t="s">
        <v>893</v>
      </c>
      <c r="H779" s="80" t="s">
        <v>115</v>
      </c>
      <c r="I779" s="80" t="s">
        <v>275</v>
      </c>
      <c r="J779" s="80" t="s">
        <v>149</v>
      </c>
      <c r="K779" s="80">
        <v>17</v>
      </c>
      <c r="L779" s="80" t="s">
        <v>894</v>
      </c>
      <c r="M779" s="80" t="s">
        <v>895</v>
      </c>
      <c r="N779" s="80" t="s">
        <v>120</v>
      </c>
      <c r="O779" s="80" t="s">
        <v>152</v>
      </c>
      <c r="P779" s="80" t="s">
        <v>352</v>
      </c>
      <c r="Q779" s="80" t="s">
        <v>123</v>
      </c>
      <c r="R779" s="80" t="s">
        <v>174</v>
      </c>
      <c r="S779" s="80">
        <v>9</v>
      </c>
      <c r="T779" s="80">
        <v>24</v>
      </c>
      <c r="U779" s="80" t="s">
        <v>361</v>
      </c>
      <c r="V779" s="80" t="s">
        <v>126</v>
      </c>
      <c r="W779" s="80" t="s">
        <v>127</v>
      </c>
      <c r="X779" s="80"/>
      <c r="Y779" s="80"/>
    </row>
    <row r="780" spans="1:25">
      <c r="A780" s="80">
        <f t="shared" si="12"/>
        <v>779</v>
      </c>
      <c r="B780" s="10">
        <v>45974.447476851798</v>
      </c>
      <c r="C780" s="13" t="s">
        <v>359</v>
      </c>
      <c r="D780" s="80" t="s">
        <v>4034</v>
      </c>
      <c r="E780" s="80" t="s">
        <v>4035</v>
      </c>
      <c r="F780" s="80" t="s">
        <v>4036</v>
      </c>
      <c r="G780" s="80" t="s">
        <v>4037</v>
      </c>
      <c r="H780" s="80" t="s">
        <v>115</v>
      </c>
      <c r="I780" s="80" t="s">
        <v>842</v>
      </c>
      <c r="J780" s="80" t="s">
        <v>149</v>
      </c>
      <c r="K780" s="80">
        <v>10</v>
      </c>
      <c r="L780" s="80" t="s">
        <v>4038</v>
      </c>
      <c r="M780" s="80" t="s">
        <v>4039</v>
      </c>
      <c r="N780" s="80" t="s">
        <v>120</v>
      </c>
      <c r="O780" s="80" t="s">
        <v>152</v>
      </c>
      <c r="P780" s="80" t="s">
        <v>304</v>
      </c>
      <c r="Q780" s="80" t="s">
        <v>123</v>
      </c>
      <c r="R780" s="80" t="s">
        <v>174</v>
      </c>
      <c r="S780" s="80">
        <v>13</v>
      </c>
      <c r="T780" s="80">
        <v>24</v>
      </c>
      <c r="U780" s="80" t="s">
        <v>361</v>
      </c>
      <c r="V780" s="80" t="s">
        <v>126</v>
      </c>
      <c r="W780" s="80" t="s">
        <v>127</v>
      </c>
      <c r="X780" s="80"/>
      <c r="Y780" s="80"/>
    </row>
    <row r="781" spans="1:25">
      <c r="A781" s="80">
        <f t="shared" si="12"/>
        <v>780</v>
      </c>
      <c r="B781" s="10">
        <v>45974.448958333298</v>
      </c>
      <c r="C781" s="13" t="s">
        <v>280</v>
      </c>
      <c r="D781" s="80" t="s">
        <v>4040</v>
      </c>
      <c r="E781" s="80" t="s">
        <v>891</v>
      </c>
      <c r="F781" s="80" t="s">
        <v>892</v>
      </c>
      <c r="G781" s="80" t="s">
        <v>893</v>
      </c>
      <c r="H781" s="80" t="s">
        <v>115</v>
      </c>
      <c r="I781" s="80" t="s">
        <v>275</v>
      </c>
      <c r="J781" s="80" t="s">
        <v>149</v>
      </c>
      <c r="K781" s="80">
        <v>17</v>
      </c>
      <c r="L781" s="80" t="s">
        <v>894</v>
      </c>
      <c r="M781" s="80" t="s">
        <v>895</v>
      </c>
      <c r="N781" s="80" t="s">
        <v>120</v>
      </c>
      <c r="O781" s="80" t="s">
        <v>152</v>
      </c>
      <c r="P781" s="80" t="s">
        <v>352</v>
      </c>
      <c r="Q781" s="80" t="s">
        <v>123</v>
      </c>
      <c r="R781" s="80" t="s">
        <v>174</v>
      </c>
      <c r="S781" s="80">
        <v>9</v>
      </c>
      <c r="T781" s="80">
        <v>24</v>
      </c>
      <c r="U781" s="80" t="s">
        <v>288</v>
      </c>
      <c r="V781" s="80" t="s">
        <v>126</v>
      </c>
      <c r="W781" s="80" t="s">
        <v>127</v>
      </c>
      <c r="X781" s="80"/>
      <c r="Y781" s="80"/>
    </row>
    <row r="782" spans="1:25">
      <c r="A782" s="80">
        <f t="shared" si="12"/>
        <v>781</v>
      </c>
      <c r="B782" s="10">
        <v>45974.449849536999</v>
      </c>
      <c r="C782" s="13" t="s">
        <v>320</v>
      </c>
      <c r="D782" s="80" t="s">
        <v>4041</v>
      </c>
      <c r="E782" s="80" t="s">
        <v>1533</v>
      </c>
      <c r="F782" s="80" t="s">
        <v>1534</v>
      </c>
      <c r="G782" s="80" t="s">
        <v>1535</v>
      </c>
      <c r="H782" s="80" t="s">
        <v>115</v>
      </c>
      <c r="I782" s="80" t="s">
        <v>865</v>
      </c>
      <c r="J782" s="80" t="s">
        <v>117</v>
      </c>
      <c r="K782" s="80">
        <v>15</v>
      </c>
      <c r="L782" s="80" t="s">
        <v>1536</v>
      </c>
      <c r="M782" s="80" t="s">
        <v>1537</v>
      </c>
      <c r="N782" s="80" t="s">
        <v>164</v>
      </c>
      <c r="O782" s="80" t="s">
        <v>1538</v>
      </c>
      <c r="P782" s="80" t="s">
        <v>135</v>
      </c>
      <c r="Q782" s="80" t="s">
        <v>123</v>
      </c>
      <c r="R782" s="80" t="s">
        <v>174</v>
      </c>
      <c r="S782" s="80">
        <v>4</v>
      </c>
      <c r="T782" s="80">
        <v>18</v>
      </c>
      <c r="U782" s="80" t="s">
        <v>328</v>
      </c>
      <c r="V782" s="80" t="s">
        <v>126</v>
      </c>
      <c r="W782" s="80" t="s">
        <v>127</v>
      </c>
      <c r="X782" s="80"/>
      <c r="Y782" s="80"/>
    </row>
    <row r="783" spans="1:25">
      <c r="A783" s="80">
        <f t="shared" si="12"/>
        <v>782</v>
      </c>
      <c r="B783" s="10">
        <v>45974.450266203698</v>
      </c>
      <c r="C783" s="13" t="s">
        <v>563</v>
      </c>
      <c r="D783" s="80" t="s">
        <v>4042</v>
      </c>
      <c r="E783" s="80" t="s">
        <v>3699</v>
      </c>
      <c r="F783" s="80" t="s">
        <v>3700</v>
      </c>
      <c r="G783" s="80" t="s">
        <v>3701</v>
      </c>
      <c r="H783" s="80" t="s">
        <v>115</v>
      </c>
      <c r="I783" s="80" t="s">
        <v>842</v>
      </c>
      <c r="J783" s="80" t="s">
        <v>149</v>
      </c>
      <c r="K783" s="80">
        <v>1</v>
      </c>
      <c r="L783" s="80" t="s">
        <v>3702</v>
      </c>
      <c r="M783" s="80" t="s">
        <v>3703</v>
      </c>
      <c r="N783" s="80" t="s">
        <v>120</v>
      </c>
      <c r="O783" s="80" t="s">
        <v>611</v>
      </c>
      <c r="P783" s="80" t="s">
        <v>135</v>
      </c>
      <c r="Q783" s="80" t="s">
        <v>123</v>
      </c>
      <c r="R783" s="80" t="s">
        <v>136</v>
      </c>
      <c r="S783" s="80">
        <v>1</v>
      </c>
      <c r="T783" s="80">
        <v>18</v>
      </c>
      <c r="U783" s="80" t="s">
        <v>565</v>
      </c>
      <c r="V783" s="80" t="s">
        <v>126</v>
      </c>
      <c r="W783" s="80" t="s">
        <v>127</v>
      </c>
      <c r="X783" s="80"/>
      <c r="Y783" s="80"/>
    </row>
    <row r="784" spans="1:25">
      <c r="A784" s="80">
        <f t="shared" si="12"/>
        <v>783</v>
      </c>
      <c r="B784" s="10">
        <v>45974.450405092597</v>
      </c>
      <c r="C784" s="13" t="s">
        <v>222</v>
      </c>
      <c r="D784" s="80" t="s">
        <v>4043</v>
      </c>
      <c r="E784" s="80" t="s">
        <v>4044</v>
      </c>
      <c r="F784" s="80" t="s">
        <v>4045</v>
      </c>
      <c r="G784" s="80" t="s">
        <v>4046</v>
      </c>
      <c r="H784" s="80" t="s">
        <v>115</v>
      </c>
      <c r="I784" s="80" t="s">
        <v>865</v>
      </c>
      <c r="J784" s="80" t="s">
        <v>117</v>
      </c>
      <c r="K784" s="80">
        <v>13</v>
      </c>
      <c r="L784" s="80" t="s">
        <v>4047</v>
      </c>
      <c r="M784" s="80" t="s">
        <v>4048</v>
      </c>
      <c r="N784" s="80" t="s">
        <v>120</v>
      </c>
      <c r="O784" s="80" t="s">
        <v>121</v>
      </c>
      <c r="P784" s="80" t="s">
        <v>694</v>
      </c>
      <c r="Q784" s="80" t="s">
        <v>123</v>
      </c>
      <c r="R784" s="80" t="s">
        <v>174</v>
      </c>
      <c r="S784" s="80">
        <v>16</v>
      </c>
      <c r="T784" s="80">
        <v>24</v>
      </c>
      <c r="U784" s="80" t="s">
        <v>232</v>
      </c>
      <c r="V784" s="80" t="s">
        <v>126</v>
      </c>
      <c r="W784" s="80" t="s">
        <v>127</v>
      </c>
      <c r="X784" s="80"/>
      <c r="Y784" s="80"/>
    </row>
    <row r="785" spans="1:25">
      <c r="A785" s="80">
        <f t="shared" si="12"/>
        <v>784</v>
      </c>
      <c r="B785" s="10">
        <v>45974.453055555598</v>
      </c>
      <c r="C785" s="13" t="s">
        <v>320</v>
      </c>
      <c r="D785" s="80" t="s">
        <v>4049</v>
      </c>
      <c r="E785" s="80" t="s">
        <v>4050</v>
      </c>
      <c r="F785" s="80" t="s">
        <v>4051</v>
      </c>
      <c r="G785" s="80" t="s">
        <v>4052</v>
      </c>
      <c r="H785" s="80" t="s">
        <v>115</v>
      </c>
      <c r="I785" s="80" t="s">
        <v>842</v>
      </c>
      <c r="J785" s="80" t="s">
        <v>117</v>
      </c>
      <c r="K785" s="80">
        <v>7</v>
      </c>
      <c r="L785" s="80" t="s">
        <v>4053</v>
      </c>
      <c r="M785" s="80" t="s">
        <v>4054</v>
      </c>
      <c r="N785" s="80" t="s">
        <v>120</v>
      </c>
      <c r="O785" s="80" t="s">
        <v>371</v>
      </c>
      <c r="P785" s="80" t="s">
        <v>135</v>
      </c>
      <c r="Q785" s="80" t="s">
        <v>123</v>
      </c>
      <c r="R785" s="80" t="s">
        <v>174</v>
      </c>
      <c r="S785" s="80">
        <v>13</v>
      </c>
      <c r="T785" s="80">
        <v>24</v>
      </c>
      <c r="U785" s="80" t="s">
        <v>328</v>
      </c>
      <c r="V785" s="80" t="s">
        <v>126</v>
      </c>
      <c r="W785" s="80" t="s">
        <v>127</v>
      </c>
      <c r="X785" s="80"/>
      <c r="Y785" s="80"/>
    </row>
    <row r="786" spans="1:25">
      <c r="A786" s="80">
        <f t="shared" si="12"/>
        <v>785</v>
      </c>
      <c r="B786" s="10">
        <v>45974.453136574099</v>
      </c>
      <c r="C786" s="13" t="s">
        <v>563</v>
      </c>
      <c r="D786" s="80" t="s">
        <v>4055</v>
      </c>
      <c r="E786" s="80" t="s">
        <v>4035</v>
      </c>
      <c r="F786" s="80" t="s">
        <v>4036</v>
      </c>
      <c r="G786" s="80" t="s">
        <v>4037</v>
      </c>
      <c r="H786" s="80" t="s">
        <v>115</v>
      </c>
      <c r="I786" s="80" t="s">
        <v>842</v>
      </c>
      <c r="J786" s="80" t="s">
        <v>149</v>
      </c>
      <c r="K786" s="80">
        <v>10</v>
      </c>
      <c r="L786" s="80" t="s">
        <v>4038</v>
      </c>
      <c r="M786" s="80" t="s">
        <v>4039</v>
      </c>
      <c r="N786" s="80" t="s">
        <v>120</v>
      </c>
      <c r="O786" s="80" t="s">
        <v>152</v>
      </c>
      <c r="P786" s="80" t="s">
        <v>304</v>
      </c>
      <c r="Q786" s="80" t="s">
        <v>123</v>
      </c>
      <c r="R786" s="80" t="s">
        <v>174</v>
      </c>
      <c r="S786" s="80">
        <v>13</v>
      </c>
      <c r="T786" s="80">
        <v>24</v>
      </c>
      <c r="U786" s="80" t="s">
        <v>565</v>
      </c>
      <c r="V786" s="80" t="s">
        <v>126</v>
      </c>
      <c r="W786" s="80" t="s">
        <v>127</v>
      </c>
      <c r="X786" s="80"/>
      <c r="Y786" s="80"/>
    </row>
    <row r="787" spans="1:25">
      <c r="A787" s="80">
        <f t="shared" si="12"/>
        <v>786</v>
      </c>
      <c r="B787" s="10">
        <v>45974.462453703702</v>
      </c>
      <c r="C787" s="13" t="s">
        <v>1305</v>
      </c>
      <c r="D787" s="80" t="s">
        <v>4056</v>
      </c>
      <c r="E787" s="80" t="s">
        <v>2543</v>
      </c>
      <c r="F787" s="80" t="s">
        <v>2544</v>
      </c>
      <c r="G787" s="80" t="s">
        <v>2545</v>
      </c>
      <c r="H787" s="80" t="s">
        <v>115</v>
      </c>
      <c r="I787" s="80" t="s">
        <v>865</v>
      </c>
      <c r="J787" s="80" t="s">
        <v>117</v>
      </c>
      <c r="K787" s="80">
        <v>22</v>
      </c>
      <c r="L787" s="80" t="s">
        <v>2546</v>
      </c>
      <c r="M787" s="80" t="s">
        <v>2547</v>
      </c>
      <c r="N787" s="80" t="s">
        <v>164</v>
      </c>
      <c r="O787" s="80" t="s">
        <v>1877</v>
      </c>
      <c r="P787" s="80" t="s">
        <v>178</v>
      </c>
      <c r="Q787" s="80" t="s">
        <v>123</v>
      </c>
      <c r="R787" s="80" t="s">
        <v>174</v>
      </c>
      <c r="S787" s="80">
        <v>4</v>
      </c>
      <c r="T787" s="80">
        <v>12</v>
      </c>
      <c r="U787" s="80" t="s">
        <v>1312</v>
      </c>
      <c r="V787" s="80" t="s">
        <v>126</v>
      </c>
      <c r="W787" s="80" t="s">
        <v>127</v>
      </c>
      <c r="X787" s="80"/>
      <c r="Y787" s="80"/>
    </row>
    <row r="788" spans="1:25">
      <c r="A788" s="80">
        <f t="shared" si="12"/>
        <v>787</v>
      </c>
      <c r="B788" s="10">
        <v>45974.463946759301</v>
      </c>
      <c r="C788" s="13" t="s">
        <v>880</v>
      </c>
      <c r="D788" s="80" t="s">
        <v>4057</v>
      </c>
      <c r="E788" s="80" t="s">
        <v>4058</v>
      </c>
      <c r="F788" s="80" t="s">
        <v>4059</v>
      </c>
      <c r="G788" s="80" t="s">
        <v>4060</v>
      </c>
      <c r="H788" s="80" t="s">
        <v>115</v>
      </c>
      <c r="I788" s="80" t="s">
        <v>865</v>
      </c>
      <c r="J788" s="80" t="s">
        <v>117</v>
      </c>
      <c r="K788" s="80">
        <v>7</v>
      </c>
      <c r="L788" s="80" t="s">
        <v>4061</v>
      </c>
      <c r="M788" s="80" t="s">
        <v>4062</v>
      </c>
      <c r="N788" s="80" t="s">
        <v>120</v>
      </c>
      <c r="O788" s="80" t="s">
        <v>152</v>
      </c>
      <c r="P788" s="80" t="s">
        <v>1720</v>
      </c>
      <c r="Q788" s="80" t="s">
        <v>123</v>
      </c>
      <c r="R788" s="80" t="s">
        <v>124</v>
      </c>
      <c r="S788" s="80">
        <v>6</v>
      </c>
      <c r="T788" s="80">
        <v>12</v>
      </c>
      <c r="U788" s="80" t="s">
        <v>882</v>
      </c>
      <c r="V788" s="80" t="s">
        <v>126</v>
      </c>
      <c r="W788" s="80" t="s">
        <v>127</v>
      </c>
      <c r="X788" s="80"/>
      <c r="Y788" s="80"/>
    </row>
    <row r="789" spans="1:25">
      <c r="A789" s="80">
        <f t="shared" si="12"/>
        <v>788</v>
      </c>
      <c r="B789" s="10">
        <v>45974.465173611097</v>
      </c>
      <c r="C789" s="13" t="s">
        <v>320</v>
      </c>
      <c r="D789" s="80" t="s">
        <v>4063</v>
      </c>
      <c r="E789" s="80" t="s">
        <v>4064</v>
      </c>
      <c r="F789" s="80" t="s">
        <v>4065</v>
      </c>
      <c r="G789" s="80" t="s">
        <v>4066</v>
      </c>
      <c r="H789" s="80" t="s">
        <v>174</v>
      </c>
      <c r="I789" s="80" t="s">
        <v>173</v>
      </c>
      <c r="J789" s="80" t="s">
        <v>149</v>
      </c>
      <c r="K789" s="80">
        <v>1</v>
      </c>
      <c r="L789" s="80" t="s">
        <v>4067</v>
      </c>
      <c r="M789" s="80" t="s">
        <v>4068</v>
      </c>
      <c r="N789" s="80" t="s">
        <v>120</v>
      </c>
      <c r="O789" s="80" t="s">
        <v>510</v>
      </c>
      <c r="P789" s="80" t="s">
        <v>295</v>
      </c>
      <c r="Q789" s="80" t="s">
        <v>123</v>
      </c>
      <c r="R789" s="80" t="s">
        <v>174</v>
      </c>
      <c r="S789" s="80">
        <v>11</v>
      </c>
      <c r="T789" s="80">
        <v>18</v>
      </c>
      <c r="U789" s="80" t="s">
        <v>328</v>
      </c>
      <c r="V789" s="80" t="s">
        <v>126</v>
      </c>
      <c r="W789" s="80" t="s">
        <v>127</v>
      </c>
      <c r="X789" s="80"/>
      <c r="Y789" s="80"/>
    </row>
    <row r="790" spans="1:25">
      <c r="A790" s="80">
        <f t="shared" si="12"/>
        <v>789</v>
      </c>
      <c r="B790" s="10">
        <v>45974.465243055602</v>
      </c>
      <c r="C790" s="13" t="s">
        <v>359</v>
      </c>
      <c r="D790" s="80" t="s">
        <v>4069</v>
      </c>
      <c r="E790" s="80" t="s">
        <v>4070</v>
      </c>
      <c r="F790" s="80" t="s">
        <v>4071</v>
      </c>
      <c r="G790" s="80" t="s">
        <v>4072</v>
      </c>
      <c r="H790" s="80" t="s">
        <v>174</v>
      </c>
      <c r="I790" s="80" t="s">
        <v>173</v>
      </c>
      <c r="J790" s="80" t="s">
        <v>149</v>
      </c>
      <c r="K790" s="80">
        <v>1</v>
      </c>
      <c r="L790" s="80" t="s">
        <v>4073</v>
      </c>
      <c r="M790" s="80" t="s">
        <v>4074</v>
      </c>
      <c r="N790" s="80" t="s">
        <v>120</v>
      </c>
      <c r="O790" s="80" t="s">
        <v>187</v>
      </c>
      <c r="P790" s="80" t="s">
        <v>135</v>
      </c>
      <c r="Q790" s="80" t="s">
        <v>123</v>
      </c>
      <c r="R790" s="80" t="s">
        <v>174</v>
      </c>
      <c r="S790" s="80">
        <v>1</v>
      </c>
      <c r="T790" s="80">
        <v>12</v>
      </c>
      <c r="U790" s="80" t="s">
        <v>361</v>
      </c>
      <c r="V790" s="80" t="s">
        <v>126</v>
      </c>
      <c r="W790" s="80" t="s">
        <v>127</v>
      </c>
      <c r="X790" s="80"/>
      <c r="Y790" s="80"/>
    </row>
    <row r="791" spans="1:25">
      <c r="A791" s="80">
        <f t="shared" si="12"/>
        <v>790</v>
      </c>
      <c r="B791" s="10">
        <v>45974.4680787037</v>
      </c>
      <c r="C791" s="13" t="s">
        <v>320</v>
      </c>
      <c r="D791" s="80" t="s">
        <v>4075</v>
      </c>
      <c r="E791" s="80" t="s">
        <v>3813</v>
      </c>
      <c r="F791" s="80" t="s">
        <v>3814</v>
      </c>
      <c r="G791" s="80" t="s">
        <v>3815</v>
      </c>
      <c r="H791" s="80" t="s">
        <v>115</v>
      </c>
      <c r="I791" s="80" t="s">
        <v>842</v>
      </c>
      <c r="J791" s="80" t="s">
        <v>117</v>
      </c>
      <c r="K791" s="80">
        <v>3</v>
      </c>
      <c r="L791" s="80" t="s">
        <v>3816</v>
      </c>
      <c r="M791" s="80" t="s">
        <v>3817</v>
      </c>
      <c r="N791" s="80" t="s">
        <v>164</v>
      </c>
      <c r="O791" s="80" t="s">
        <v>202</v>
      </c>
      <c r="P791" s="80" t="s">
        <v>214</v>
      </c>
      <c r="Q791" s="80" t="s">
        <v>123</v>
      </c>
      <c r="R791" s="80" t="s">
        <v>136</v>
      </c>
      <c r="S791" s="80">
        <v>10</v>
      </c>
      <c r="T791" s="80">
        <v>24</v>
      </c>
      <c r="U791" s="80" t="s">
        <v>328</v>
      </c>
      <c r="V791" s="80" t="s">
        <v>126</v>
      </c>
      <c r="W791" s="80" t="s">
        <v>127</v>
      </c>
      <c r="X791" s="80"/>
      <c r="Y791" s="80"/>
    </row>
    <row r="792" spans="1:25">
      <c r="A792" s="80">
        <f t="shared" si="12"/>
        <v>791</v>
      </c>
      <c r="B792" s="10">
        <v>45974.468506944402</v>
      </c>
      <c r="C792" s="13" t="s">
        <v>359</v>
      </c>
      <c r="D792" s="80" t="s">
        <v>4076</v>
      </c>
      <c r="E792" s="80" t="s">
        <v>4077</v>
      </c>
      <c r="F792" s="80" t="s">
        <v>4078</v>
      </c>
      <c r="G792" s="80" t="s">
        <v>4079</v>
      </c>
      <c r="H792" s="80" t="s">
        <v>115</v>
      </c>
      <c r="I792" s="80" t="s">
        <v>244</v>
      </c>
      <c r="J792" s="80" t="s">
        <v>117</v>
      </c>
      <c r="K792" s="80">
        <v>14</v>
      </c>
      <c r="L792" s="80" t="s">
        <v>4080</v>
      </c>
      <c r="M792" s="80" t="s">
        <v>4081</v>
      </c>
      <c r="N792" s="80" t="s">
        <v>164</v>
      </c>
      <c r="O792" s="80" t="s">
        <v>4082</v>
      </c>
      <c r="P792" s="80" t="s">
        <v>269</v>
      </c>
      <c r="Q792" s="80" t="s">
        <v>123</v>
      </c>
      <c r="R792" s="80" t="s">
        <v>174</v>
      </c>
      <c r="S792" s="80">
        <v>4</v>
      </c>
      <c r="T792" s="80">
        <v>12</v>
      </c>
      <c r="U792" s="80" t="s">
        <v>361</v>
      </c>
      <c r="V792" s="80" t="s">
        <v>126</v>
      </c>
      <c r="W792" s="80" t="s">
        <v>127</v>
      </c>
      <c r="X792" s="80"/>
      <c r="Y792" s="80"/>
    </row>
    <row r="793" spans="1:25">
      <c r="A793" s="80">
        <f t="shared" si="12"/>
        <v>792</v>
      </c>
      <c r="B793" s="10">
        <v>45974.468576388899</v>
      </c>
      <c r="C793" s="13" t="s">
        <v>880</v>
      </c>
      <c r="D793" s="80" t="s">
        <v>4083</v>
      </c>
      <c r="E793" s="80" t="s">
        <v>4084</v>
      </c>
      <c r="F793" s="80" t="s">
        <v>4085</v>
      </c>
      <c r="G793" s="80" t="s">
        <v>4086</v>
      </c>
      <c r="H793" s="80" t="s">
        <v>115</v>
      </c>
      <c r="I793" s="80" t="s">
        <v>227</v>
      </c>
      <c r="J793" s="80" t="s">
        <v>117</v>
      </c>
      <c r="K793" s="80">
        <v>6</v>
      </c>
      <c r="L793" s="80" t="s">
        <v>4087</v>
      </c>
      <c r="M793" s="80" t="s">
        <v>4088</v>
      </c>
      <c r="N793" s="80" t="s">
        <v>120</v>
      </c>
      <c r="O793" s="80" t="s">
        <v>152</v>
      </c>
      <c r="P793" s="80" t="s">
        <v>269</v>
      </c>
      <c r="Q793" s="80" t="s">
        <v>123</v>
      </c>
      <c r="R793" s="80" t="s">
        <v>174</v>
      </c>
      <c r="S793" s="80">
        <v>18</v>
      </c>
      <c r="T793" s="80">
        <v>24</v>
      </c>
      <c r="U793" s="80" t="s">
        <v>882</v>
      </c>
      <c r="V793" s="80" t="s">
        <v>126</v>
      </c>
      <c r="W793" s="80" t="s">
        <v>127</v>
      </c>
      <c r="X793" s="80"/>
      <c r="Y793" s="80"/>
    </row>
    <row r="794" spans="1:25">
      <c r="A794" s="80">
        <f t="shared" si="12"/>
        <v>793</v>
      </c>
      <c r="B794" s="10">
        <v>45974.474224537</v>
      </c>
      <c r="C794" s="13" t="s">
        <v>320</v>
      </c>
      <c r="D794" s="80" t="s">
        <v>4089</v>
      </c>
      <c r="E794" s="80" t="s">
        <v>4090</v>
      </c>
      <c r="F794" s="80" t="s">
        <v>17</v>
      </c>
      <c r="G794" s="80" t="s">
        <v>4091</v>
      </c>
      <c r="H794" s="80" t="s">
        <v>115</v>
      </c>
      <c r="I794" s="80" t="s">
        <v>237</v>
      </c>
      <c r="J794" s="80" t="s">
        <v>117</v>
      </c>
      <c r="K794" s="80">
        <v>23</v>
      </c>
      <c r="L794" s="80" t="s">
        <v>4092</v>
      </c>
      <c r="M794" s="80" t="s">
        <v>4093</v>
      </c>
      <c r="N794" s="80" t="s">
        <v>120</v>
      </c>
      <c r="O794" s="80" t="s">
        <v>510</v>
      </c>
      <c r="P794" s="80" t="s">
        <v>269</v>
      </c>
      <c r="Q794" s="80" t="s">
        <v>123</v>
      </c>
      <c r="R794" s="80" t="s">
        <v>174</v>
      </c>
      <c r="S794" s="80">
        <v>15</v>
      </c>
      <c r="T794" s="80">
        <v>18</v>
      </c>
      <c r="U794" s="80" t="s">
        <v>328</v>
      </c>
      <c r="V794" s="80" t="s">
        <v>126</v>
      </c>
      <c r="W794" s="80" t="s">
        <v>127</v>
      </c>
      <c r="X794" s="80"/>
      <c r="Y794" s="80"/>
    </row>
    <row r="795" spans="1:25">
      <c r="A795" s="80">
        <f t="shared" si="12"/>
        <v>794</v>
      </c>
      <c r="B795" s="10">
        <v>45974.477048611101</v>
      </c>
      <c r="C795" s="13" t="s">
        <v>222</v>
      </c>
      <c r="D795" s="80" t="s">
        <v>4094</v>
      </c>
      <c r="E795" s="80" t="s">
        <v>4095</v>
      </c>
      <c r="F795" s="80" t="s">
        <v>4096</v>
      </c>
      <c r="G795" s="80" t="s">
        <v>4097</v>
      </c>
      <c r="H795" s="80" t="s">
        <v>115</v>
      </c>
      <c r="I795" s="80" t="s">
        <v>865</v>
      </c>
      <c r="J795" s="80" t="s">
        <v>149</v>
      </c>
      <c r="K795" s="80">
        <v>20</v>
      </c>
      <c r="L795" s="80" t="s">
        <v>4098</v>
      </c>
      <c r="M795" s="80" t="s">
        <v>4099</v>
      </c>
      <c r="N795" s="80" t="s">
        <v>120</v>
      </c>
      <c r="O795" s="80" t="s">
        <v>240</v>
      </c>
      <c r="P795" s="80" t="s">
        <v>135</v>
      </c>
      <c r="Q795" s="80" t="s">
        <v>123</v>
      </c>
      <c r="R795" s="80" t="s">
        <v>174</v>
      </c>
      <c r="S795" s="80">
        <v>1</v>
      </c>
      <c r="T795" s="80">
        <v>18</v>
      </c>
      <c r="U795" s="80" t="s">
        <v>232</v>
      </c>
      <c r="V795" s="80" t="s">
        <v>126</v>
      </c>
      <c r="W795" s="80" t="s">
        <v>127</v>
      </c>
      <c r="X795" s="80"/>
      <c r="Y795" s="80"/>
    </row>
    <row r="796" spans="1:25">
      <c r="A796" s="80">
        <f t="shared" si="12"/>
        <v>795</v>
      </c>
      <c r="B796" s="10">
        <v>45974.478009259299</v>
      </c>
      <c r="C796" s="13" t="s">
        <v>604</v>
      </c>
      <c r="D796" s="80" t="s">
        <v>4100</v>
      </c>
      <c r="E796" s="80" t="s">
        <v>4101</v>
      </c>
      <c r="F796" s="80" t="s">
        <v>4102</v>
      </c>
      <c r="G796" s="80" t="s">
        <v>4103</v>
      </c>
      <c r="H796" s="80" t="s">
        <v>115</v>
      </c>
      <c r="I796" s="80" t="s">
        <v>237</v>
      </c>
      <c r="J796" s="80" t="s">
        <v>117</v>
      </c>
      <c r="K796" s="80">
        <v>1</v>
      </c>
      <c r="L796" s="80" t="s">
        <v>4104</v>
      </c>
      <c r="M796" s="80" t="s">
        <v>4105</v>
      </c>
      <c r="N796" s="80" t="s">
        <v>120</v>
      </c>
      <c r="O796" s="80" t="s">
        <v>152</v>
      </c>
      <c r="P796" s="80" t="s">
        <v>1522</v>
      </c>
      <c r="Q796" s="80" t="s">
        <v>123</v>
      </c>
      <c r="R796" s="80" t="s">
        <v>136</v>
      </c>
      <c r="S796" s="80">
        <v>4</v>
      </c>
      <c r="T796" s="80">
        <v>12</v>
      </c>
      <c r="U796" s="80" t="s">
        <v>613</v>
      </c>
      <c r="V796" s="80" t="s">
        <v>126</v>
      </c>
      <c r="W796" s="80" t="s">
        <v>127</v>
      </c>
      <c r="X796" s="80"/>
      <c r="Y796" s="80"/>
    </row>
    <row r="797" spans="1:25">
      <c r="A797" s="80">
        <f t="shared" si="12"/>
        <v>796</v>
      </c>
      <c r="B797" s="10">
        <v>45974.479108796302</v>
      </c>
      <c r="C797" s="13" t="s">
        <v>880</v>
      </c>
      <c r="D797" s="80" t="s">
        <v>4106</v>
      </c>
      <c r="E797" s="80" t="s">
        <v>4107</v>
      </c>
      <c r="F797" s="80" t="s">
        <v>4108</v>
      </c>
      <c r="G797" s="80" t="s">
        <v>4109</v>
      </c>
      <c r="H797" s="80" t="s">
        <v>115</v>
      </c>
      <c r="I797" s="80" t="s">
        <v>237</v>
      </c>
      <c r="J797" s="80" t="s">
        <v>117</v>
      </c>
      <c r="K797" s="80">
        <v>1</v>
      </c>
      <c r="L797" s="80" t="s">
        <v>4110</v>
      </c>
      <c r="M797" s="80" t="s">
        <v>4111</v>
      </c>
      <c r="N797" s="80" t="s">
        <v>120</v>
      </c>
      <c r="O797" s="80" t="s">
        <v>240</v>
      </c>
      <c r="P797" s="80" t="s">
        <v>135</v>
      </c>
      <c r="Q797" s="80" t="s">
        <v>123</v>
      </c>
      <c r="R797" s="80" t="s">
        <v>124</v>
      </c>
      <c r="S797" s="80">
        <v>7</v>
      </c>
      <c r="T797" s="80">
        <v>18</v>
      </c>
      <c r="U797" s="80" t="s">
        <v>882</v>
      </c>
      <c r="V797" s="80" t="s">
        <v>126</v>
      </c>
      <c r="W797" s="80" t="s">
        <v>127</v>
      </c>
      <c r="X797" s="80"/>
      <c r="Y797" s="80"/>
    </row>
    <row r="798" spans="1:25">
      <c r="A798" s="80">
        <f t="shared" si="12"/>
        <v>797</v>
      </c>
      <c r="B798" s="10">
        <v>45974.482928240701</v>
      </c>
      <c r="C798" s="13" t="s">
        <v>157</v>
      </c>
      <c r="D798" s="80" t="s">
        <v>4112</v>
      </c>
      <c r="E798" s="80" t="s">
        <v>891</v>
      </c>
      <c r="F798" s="80" t="s">
        <v>892</v>
      </c>
      <c r="G798" s="80" t="s">
        <v>893</v>
      </c>
      <c r="H798" s="80" t="s">
        <v>115</v>
      </c>
      <c r="I798" s="80" t="s">
        <v>275</v>
      </c>
      <c r="J798" s="80" t="s">
        <v>149</v>
      </c>
      <c r="K798" s="80">
        <v>17</v>
      </c>
      <c r="L798" s="80" t="s">
        <v>894</v>
      </c>
      <c r="M798" s="80" t="s">
        <v>895</v>
      </c>
      <c r="N798" s="80" t="s">
        <v>120</v>
      </c>
      <c r="O798" s="80" t="s">
        <v>152</v>
      </c>
      <c r="P798" s="80" t="s">
        <v>352</v>
      </c>
      <c r="Q798" s="80" t="s">
        <v>123</v>
      </c>
      <c r="R798" s="80" t="s">
        <v>174</v>
      </c>
      <c r="S798" s="80">
        <v>9</v>
      </c>
      <c r="T798" s="80">
        <v>24</v>
      </c>
      <c r="U798" s="80" t="s">
        <v>167</v>
      </c>
      <c r="V798" s="80" t="s">
        <v>126</v>
      </c>
      <c r="W798" s="80" t="s">
        <v>127</v>
      </c>
      <c r="X798" s="80"/>
      <c r="Y798" s="80"/>
    </row>
    <row r="799" spans="1:25">
      <c r="A799" s="80">
        <f t="shared" si="12"/>
        <v>798</v>
      </c>
      <c r="B799" s="10">
        <v>45974.4834722222</v>
      </c>
      <c r="C799" s="13" t="s">
        <v>157</v>
      </c>
      <c r="D799" s="80" t="s">
        <v>4112</v>
      </c>
      <c r="E799" s="80" t="s">
        <v>4035</v>
      </c>
      <c r="F799" s="80" t="s">
        <v>4036</v>
      </c>
      <c r="G799" s="80" t="s">
        <v>4037</v>
      </c>
      <c r="H799" s="80" t="s">
        <v>115</v>
      </c>
      <c r="I799" s="80" t="s">
        <v>842</v>
      </c>
      <c r="J799" s="80" t="s">
        <v>149</v>
      </c>
      <c r="K799" s="80">
        <v>10</v>
      </c>
      <c r="L799" s="80" t="s">
        <v>4038</v>
      </c>
      <c r="M799" s="80" t="s">
        <v>4039</v>
      </c>
      <c r="N799" s="80" t="s">
        <v>120</v>
      </c>
      <c r="O799" s="80" t="s">
        <v>152</v>
      </c>
      <c r="P799" s="80" t="s">
        <v>304</v>
      </c>
      <c r="Q799" s="80" t="s">
        <v>123</v>
      </c>
      <c r="R799" s="80" t="s">
        <v>174</v>
      </c>
      <c r="S799" s="80">
        <v>13</v>
      </c>
      <c r="T799" s="80">
        <v>24</v>
      </c>
      <c r="U799" s="80" t="s">
        <v>167</v>
      </c>
      <c r="V799" s="80" t="s">
        <v>126</v>
      </c>
      <c r="W799" s="80" t="s">
        <v>127</v>
      </c>
      <c r="X799" s="80"/>
      <c r="Y799" s="80"/>
    </row>
    <row r="800" spans="1:25">
      <c r="A800" s="80">
        <f t="shared" si="12"/>
        <v>799</v>
      </c>
      <c r="B800" s="10">
        <v>45974.484305555598</v>
      </c>
      <c r="C800" s="13" t="s">
        <v>880</v>
      </c>
      <c r="D800" s="80" t="s">
        <v>4113</v>
      </c>
      <c r="E800" s="80" t="s">
        <v>2100</v>
      </c>
      <c r="F800" s="80" t="s">
        <v>2101</v>
      </c>
      <c r="G800" s="80" t="s">
        <v>2102</v>
      </c>
      <c r="H800" s="80" t="s">
        <v>115</v>
      </c>
      <c r="I800" s="80" t="s">
        <v>842</v>
      </c>
      <c r="J800" s="80" t="s">
        <v>117</v>
      </c>
      <c r="K800" s="80">
        <v>1</v>
      </c>
      <c r="L800" s="80" t="s">
        <v>2103</v>
      </c>
      <c r="M800" s="80" t="s">
        <v>2104</v>
      </c>
      <c r="N800" s="80" t="s">
        <v>120</v>
      </c>
      <c r="O800" s="80" t="s">
        <v>572</v>
      </c>
      <c r="P800" s="80" t="s">
        <v>352</v>
      </c>
      <c r="Q800" s="80" t="s">
        <v>123</v>
      </c>
      <c r="R800" s="80" t="s">
        <v>136</v>
      </c>
      <c r="S800" s="80">
        <v>6</v>
      </c>
      <c r="T800" s="80">
        <v>18</v>
      </c>
      <c r="U800" s="80" t="s">
        <v>882</v>
      </c>
      <c r="V800" s="80" t="s">
        <v>126</v>
      </c>
      <c r="W800" s="80" t="s">
        <v>127</v>
      </c>
      <c r="X800" s="80"/>
      <c r="Y800" s="80"/>
    </row>
    <row r="801" spans="1:25">
      <c r="A801" s="80">
        <f t="shared" si="12"/>
        <v>800</v>
      </c>
      <c r="B801" s="10">
        <v>45974.551932870403</v>
      </c>
      <c r="C801" s="13" t="s">
        <v>362</v>
      </c>
      <c r="D801" s="80" t="s">
        <v>4114</v>
      </c>
      <c r="E801" s="80" t="s">
        <v>2875</v>
      </c>
      <c r="F801" s="80" t="s">
        <v>2876</v>
      </c>
      <c r="G801" s="80" t="s">
        <v>2877</v>
      </c>
      <c r="H801" s="80" t="s">
        <v>115</v>
      </c>
      <c r="I801" s="80" t="s">
        <v>955</v>
      </c>
      <c r="J801" s="80" t="s">
        <v>117</v>
      </c>
      <c r="K801" s="80">
        <v>8</v>
      </c>
      <c r="L801" s="80" t="s">
        <v>2878</v>
      </c>
      <c r="M801" s="80" t="s">
        <v>2879</v>
      </c>
      <c r="N801" s="80" t="s">
        <v>120</v>
      </c>
      <c r="O801" s="80" t="s">
        <v>398</v>
      </c>
      <c r="P801" s="80" t="s">
        <v>135</v>
      </c>
      <c r="Q801" s="80" t="s">
        <v>123</v>
      </c>
      <c r="R801" s="80" t="s">
        <v>174</v>
      </c>
      <c r="S801" s="80">
        <v>4</v>
      </c>
      <c r="T801" s="80">
        <v>12</v>
      </c>
      <c r="U801" s="80" t="s">
        <v>364</v>
      </c>
      <c r="V801" s="80" t="s">
        <v>126</v>
      </c>
      <c r="W801" s="80" t="s">
        <v>127</v>
      </c>
      <c r="X801" s="80"/>
      <c r="Y801" s="80"/>
    </row>
    <row r="802" spans="1:25">
      <c r="A802" s="80">
        <f t="shared" si="12"/>
        <v>801</v>
      </c>
      <c r="B802" s="10">
        <v>45974.5519444444</v>
      </c>
      <c r="C802" s="13" t="s">
        <v>604</v>
      </c>
      <c r="D802" s="80" t="s">
        <v>4115</v>
      </c>
      <c r="E802" s="80" t="s">
        <v>2875</v>
      </c>
      <c r="F802" s="80" t="s">
        <v>2876</v>
      </c>
      <c r="G802" s="80" t="s">
        <v>2877</v>
      </c>
      <c r="H802" s="80" t="s">
        <v>115</v>
      </c>
      <c r="I802" s="80" t="s">
        <v>955</v>
      </c>
      <c r="J802" s="80" t="s">
        <v>117</v>
      </c>
      <c r="K802" s="80">
        <v>8</v>
      </c>
      <c r="L802" s="80" t="s">
        <v>2878</v>
      </c>
      <c r="M802" s="80" t="s">
        <v>2879</v>
      </c>
      <c r="N802" s="80" t="s">
        <v>120</v>
      </c>
      <c r="O802" s="80" t="s">
        <v>398</v>
      </c>
      <c r="P802" s="80" t="s">
        <v>135</v>
      </c>
      <c r="Q802" s="80" t="s">
        <v>123</v>
      </c>
      <c r="R802" s="80" t="s">
        <v>174</v>
      </c>
      <c r="S802" s="80">
        <v>4</v>
      </c>
      <c r="T802" s="80">
        <v>12</v>
      </c>
      <c r="U802" s="80" t="s">
        <v>613</v>
      </c>
      <c r="V802" s="80" t="s">
        <v>126</v>
      </c>
      <c r="W802" s="80" t="s">
        <v>127</v>
      </c>
      <c r="X802" s="80"/>
      <c r="Y802" s="80"/>
    </row>
    <row r="803" spans="1:25">
      <c r="A803" s="80">
        <f t="shared" si="12"/>
        <v>802</v>
      </c>
      <c r="B803" s="10">
        <v>45974.552129629599</v>
      </c>
      <c r="C803" s="13" t="s">
        <v>362</v>
      </c>
      <c r="D803" s="80" t="s">
        <v>4114</v>
      </c>
      <c r="E803" s="80" t="s">
        <v>2868</v>
      </c>
      <c r="F803" s="80" t="s">
        <v>2869</v>
      </c>
      <c r="G803" s="80" t="s">
        <v>2870</v>
      </c>
      <c r="H803" s="80" t="s">
        <v>115</v>
      </c>
      <c r="I803" s="80" t="s">
        <v>244</v>
      </c>
      <c r="J803" s="80" t="s">
        <v>117</v>
      </c>
      <c r="K803" s="80">
        <v>8</v>
      </c>
      <c r="L803" s="80" t="s">
        <v>2871</v>
      </c>
      <c r="M803" s="80" t="s">
        <v>2872</v>
      </c>
      <c r="N803" s="80" t="s">
        <v>120</v>
      </c>
      <c r="O803" s="80" t="s">
        <v>121</v>
      </c>
      <c r="P803" s="80" t="s">
        <v>1372</v>
      </c>
      <c r="Q803" s="80" t="s">
        <v>123</v>
      </c>
      <c r="R803" s="80" t="s">
        <v>174</v>
      </c>
      <c r="S803" s="80">
        <v>8</v>
      </c>
      <c r="T803" s="80">
        <v>24</v>
      </c>
      <c r="U803" s="80" t="s">
        <v>364</v>
      </c>
      <c r="V803" s="80" t="s">
        <v>126</v>
      </c>
      <c r="W803" s="80" t="s">
        <v>127</v>
      </c>
      <c r="X803" s="80"/>
      <c r="Y803" s="80"/>
    </row>
    <row r="804" spans="1:25">
      <c r="A804" s="80">
        <f t="shared" si="12"/>
        <v>803</v>
      </c>
      <c r="B804" s="10">
        <v>45974.557465277801</v>
      </c>
      <c r="C804" s="13" t="s">
        <v>604</v>
      </c>
      <c r="D804" s="80" t="s">
        <v>4116</v>
      </c>
      <c r="E804" s="80" t="s">
        <v>4117</v>
      </c>
      <c r="F804" s="80" t="s">
        <v>4118</v>
      </c>
      <c r="G804" s="80" t="s">
        <v>4119</v>
      </c>
      <c r="H804" s="80" t="s">
        <v>115</v>
      </c>
      <c r="I804" s="80" t="s">
        <v>842</v>
      </c>
      <c r="J804" s="80" t="s">
        <v>117</v>
      </c>
      <c r="K804" s="80">
        <v>4</v>
      </c>
      <c r="L804" s="80" t="s">
        <v>4120</v>
      </c>
      <c r="M804" s="80" t="s">
        <v>4121</v>
      </c>
      <c r="N804" s="80" t="s">
        <v>120</v>
      </c>
      <c r="O804" s="80" t="s">
        <v>152</v>
      </c>
      <c r="P804" s="80" t="s">
        <v>135</v>
      </c>
      <c r="Q804" s="80" t="s">
        <v>123</v>
      </c>
      <c r="R804" s="80" t="s">
        <v>136</v>
      </c>
      <c r="S804" s="80">
        <v>4</v>
      </c>
      <c r="T804" s="80">
        <v>12</v>
      </c>
      <c r="U804" s="80" t="s">
        <v>613</v>
      </c>
      <c r="V804" s="80" t="s">
        <v>126</v>
      </c>
      <c r="W804" s="80" t="s">
        <v>127</v>
      </c>
      <c r="X804" s="80"/>
      <c r="Y804" s="80"/>
    </row>
    <row r="805" spans="1:25">
      <c r="A805" s="80">
        <f t="shared" si="12"/>
        <v>804</v>
      </c>
      <c r="B805" s="10">
        <v>45974.558217592603</v>
      </c>
      <c r="C805" s="13" t="s">
        <v>563</v>
      </c>
      <c r="D805" s="80" t="s">
        <v>4122</v>
      </c>
      <c r="E805" s="80" t="s">
        <v>1715</v>
      </c>
      <c r="F805" s="80" t="s">
        <v>1716</v>
      </c>
      <c r="G805" s="80" t="s">
        <v>1717</v>
      </c>
      <c r="H805" s="80" t="s">
        <v>115</v>
      </c>
      <c r="I805" s="80" t="s">
        <v>865</v>
      </c>
      <c r="J805" s="80" t="s">
        <v>117</v>
      </c>
      <c r="K805" s="80">
        <v>16</v>
      </c>
      <c r="L805" s="80" t="s">
        <v>1718</v>
      </c>
      <c r="M805" s="80" t="s">
        <v>1719</v>
      </c>
      <c r="N805" s="80" t="s">
        <v>120</v>
      </c>
      <c r="O805" s="80" t="s">
        <v>572</v>
      </c>
      <c r="P805" s="80" t="s">
        <v>1720</v>
      </c>
      <c r="Q805" s="80" t="s">
        <v>123</v>
      </c>
      <c r="R805" s="80" t="s">
        <v>174</v>
      </c>
      <c r="S805" s="80">
        <v>4</v>
      </c>
      <c r="T805" s="80">
        <v>24</v>
      </c>
      <c r="U805" s="80" t="s">
        <v>565</v>
      </c>
      <c r="V805" s="80" t="s">
        <v>126</v>
      </c>
      <c r="W805" s="80" t="s">
        <v>127</v>
      </c>
      <c r="X805" s="80"/>
      <c r="Y805" s="80"/>
    </row>
    <row r="806" spans="1:25">
      <c r="A806" s="80">
        <f t="shared" si="12"/>
        <v>805</v>
      </c>
      <c r="B806" s="10">
        <v>45974.559247685203</v>
      </c>
      <c r="C806" s="13" t="s">
        <v>604</v>
      </c>
      <c r="D806" s="80" t="s">
        <v>4123</v>
      </c>
      <c r="E806" s="80" t="s">
        <v>1971</v>
      </c>
      <c r="F806" s="80" t="s">
        <v>1972</v>
      </c>
      <c r="G806" s="80" t="s">
        <v>1973</v>
      </c>
      <c r="H806" s="80" t="s">
        <v>115</v>
      </c>
      <c r="I806" s="80" t="s">
        <v>244</v>
      </c>
      <c r="J806" s="80" t="s">
        <v>117</v>
      </c>
      <c r="K806" s="80">
        <v>7</v>
      </c>
      <c r="L806" s="80" t="s">
        <v>1974</v>
      </c>
      <c r="M806" s="80" t="s">
        <v>1975</v>
      </c>
      <c r="N806" s="80" t="s">
        <v>164</v>
      </c>
      <c r="O806" s="80" t="s">
        <v>1976</v>
      </c>
      <c r="P806" s="80" t="s">
        <v>1279</v>
      </c>
      <c r="Q806" s="80" t="s">
        <v>123</v>
      </c>
      <c r="R806" s="80" t="s">
        <v>124</v>
      </c>
      <c r="S806" s="80">
        <v>7</v>
      </c>
      <c r="T806" s="80">
        <v>24</v>
      </c>
      <c r="U806" s="80" t="s">
        <v>613</v>
      </c>
      <c r="V806" s="80" t="s">
        <v>126</v>
      </c>
      <c r="W806" s="80" t="s">
        <v>127</v>
      </c>
      <c r="X806" s="80"/>
      <c r="Y806" s="80"/>
    </row>
    <row r="807" spans="1:25">
      <c r="A807" s="80">
        <f t="shared" si="12"/>
        <v>806</v>
      </c>
      <c r="B807" s="10">
        <v>45974.562881944403</v>
      </c>
      <c r="C807" s="13" t="s">
        <v>840</v>
      </c>
      <c r="D807" s="80" t="s">
        <v>4124</v>
      </c>
      <c r="E807" s="80" t="s">
        <v>4125</v>
      </c>
      <c r="F807" s="80" t="s">
        <v>4126</v>
      </c>
      <c r="G807" s="80" t="s">
        <v>4127</v>
      </c>
      <c r="H807" s="80" t="s">
        <v>174</v>
      </c>
      <c r="I807" s="80" t="s">
        <v>173</v>
      </c>
      <c r="J807" s="80" t="s">
        <v>149</v>
      </c>
      <c r="K807" s="80">
        <v>19</v>
      </c>
      <c r="L807" s="80" t="s">
        <v>4128</v>
      </c>
      <c r="M807" s="80" t="s">
        <v>4129</v>
      </c>
      <c r="N807" s="80" t="s">
        <v>120</v>
      </c>
      <c r="O807" s="80" t="s">
        <v>152</v>
      </c>
      <c r="P807" s="80" t="s">
        <v>287</v>
      </c>
      <c r="Q807" s="80" t="s">
        <v>123</v>
      </c>
      <c r="R807" s="80" t="s">
        <v>174</v>
      </c>
      <c r="S807" s="80">
        <v>5</v>
      </c>
      <c r="T807" s="80">
        <v>24</v>
      </c>
      <c r="U807" s="80" t="s">
        <v>843</v>
      </c>
      <c r="V807" s="80" t="s">
        <v>126</v>
      </c>
      <c r="W807" s="80" t="s">
        <v>127</v>
      </c>
      <c r="X807" s="80"/>
      <c r="Y807" s="80"/>
    </row>
    <row r="808" spans="1:25">
      <c r="A808" s="80">
        <f t="shared" si="12"/>
        <v>807</v>
      </c>
      <c r="B808" s="10">
        <v>45974.564293981501</v>
      </c>
      <c r="C808" s="13" t="s">
        <v>880</v>
      </c>
      <c r="D808" s="80" t="s">
        <v>4130</v>
      </c>
      <c r="E808" s="80" t="s">
        <v>4131</v>
      </c>
      <c r="F808" s="80" t="s">
        <v>4132</v>
      </c>
      <c r="G808" s="80" t="s">
        <v>4133</v>
      </c>
      <c r="H808" s="80" t="s">
        <v>115</v>
      </c>
      <c r="I808" s="80" t="s">
        <v>955</v>
      </c>
      <c r="J808" s="80" t="s">
        <v>117</v>
      </c>
      <c r="K808" s="80">
        <v>15</v>
      </c>
      <c r="L808" s="80" t="s">
        <v>4134</v>
      </c>
      <c r="M808" s="80" t="s">
        <v>4135</v>
      </c>
      <c r="N808" s="80" t="s">
        <v>120</v>
      </c>
      <c r="O808" s="80" t="s">
        <v>572</v>
      </c>
      <c r="P808" s="80" t="s">
        <v>135</v>
      </c>
      <c r="Q808" s="80" t="s">
        <v>123</v>
      </c>
      <c r="R808" s="80" t="s">
        <v>174</v>
      </c>
      <c r="S808" s="80">
        <v>7</v>
      </c>
      <c r="T808" s="80">
        <v>12</v>
      </c>
      <c r="U808" s="80" t="s">
        <v>882</v>
      </c>
      <c r="V808" s="80" t="s">
        <v>126</v>
      </c>
      <c r="W808" s="80" t="s">
        <v>127</v>
      </c>
      <c r="X808" s="80"/>
      <c r="Y808" s="80"/>
    </row>
    <row r="809" spans="1:25">
      <c r="A809" s="80">
        <f t="shared" si="12"/>
        <v>808</v>
      </c>
      <c r="B809" s="10">
        <v>45974.564317129603</v>
      </c>
      <c r="C809" s="13" t="s">
        <v>604</v>
      </c>
      <c r="D809" s="80" t="s">
        <v>4136</v>
      </c>
      <c r="E809" s="80" t="s">
        <v>4131</v>
      </c>
      <c r="F809" s="80" t="s">
        <v>4132</v>
      </c>
      <c r="G809" s="80" t="s">
        <v>4133</v>
      </c>
      <c r="H809" s="80" t="s">
        <v>115</v>
      </c>
      <c r="I809" s="80" t="s">
        <v>955</v>
      </c>
      <c r="J809" s="80" t="s">
        <v>117</v>
      </c>
      <c r="K809" s="80">
        <v>15</v>
      </c>
      <c r="L809" s="80" t="s">
        <v>4134</v>
      </c>
      <c r="M809" s="80" t="s">
        <v>4135</v>
      </c>
      <c r="N809" s="80" t="s">
        <v>120</v>
      </c>
      <c r="O809" s="80" t="s">
        <v>572</v>
      </c>
      <c r="P809" s="80" t="s">
        <v>135</v>
      </c>
      <c r="Q809" s="80" t="s">
        <v>123</v>
      </c>
      <c r="R809" s="80" t="s">
        <v>174</v>
      </c>
      <c r="S809" s="80">
        <v>7</v>
      </c>
      <c r="T809" s="80">
        <v>12</v>
      </c>
      <c r="U809" s="80" t="s">
        <v>613</v>
      </c>
      <c r="V809" s="80" t="s">
        <v>126</v>
      </c>
      <c r="W809" s="80" t="s">
        <v>127</v>
      </c>
      <c r="X809" s="80"/>
      <c r="Y809" s="80"/>
    </row>
    <row r="810" spans="1:25">
      <c r="A810" s="80">
        <f t="shared" si="12"/>
        <v>809</v>
      </c>
      <c r="B810" s="10">
        <v>45974.568368055603</v>
      </c>
      <c r="C810" s="13" t="s">
        <v>604</v>
      </c>
      <c r="D810" s="80" t="s">
        <v>4137</v>
      </c>
      <c r="E810" s="80" t="s">
        <v>4138</v>
      </c>
      <c r="F810" s="80" t="s">
        <v>4139</v>
      </c>
      <c r="G810" s="80" t="s">
        <v>4140</v>
      </c>
      <c r="H810" s="80" t="s">
        <v>115</v>
      </c>
      <c r="I810" s="80" t="s">
        <v>244</v>
      </c>
      <c r="J810" s="80" t="s">
        <v>117</v>
      </c>
      <c r="K810" s="80">
        <v>12</v>
      </c>
      <c r="L810" s="80" t="s">
        <v>4141</v>
      </c>
      <c r="M810" s="80" t="s">
        <v>4142</v>
      </c>
      <c r="N810" s="80" t="s">
        <v>120</v>
      </c>
      <c r="O810" s="80" t="s">
        <v>230</v>
      </c>
      <c r="P810" s="80" t="s">
        <v>231</v>
      </c>
      <c r="Q810" s="80" t="s">
        <v>123</v>
      </c>
      <c r="R810" s="80" t="s">
        <v>174</v>
      </c>
      <c r="S810" s="80">
        <v>9</v>
      </c>
      <c r="T810" s="80">
        <v>24</v>
      </c>
      <c r="U810" s="80" t="s">
        <v>613</v>
      </c>
      <c r="V810" s="80" t="s">
        <v>126</v>
      </c>
      <c r="W810" s="80" t="s">
        <v>127</v>
      </c>
      <c r="X810" s="80"/>
      <c r="Y810" s="80"/>
    </row>
    <row r="811" spans="1:25">
      <c r="A811" s="80">
        <f t="shared" si="12"/>
        <v>810</v>
      </c>
      <c r="B811" s="10">
        <v>45974.570844907401</v>
      </c>
      <c r="C811" s="13" t="s">
        <v>604</v>
      </c>
      <c r="D811" s="80" t="s">
        <v>4143</v>
      </c>
      <c r="E811" s="80" t="s">
        <v>3724</v>
      </c>
      <c r="F811" s="80" t="s">
        <v>3725</v>
      </c>
      <c r="G811" s="80" t="s">
        <v>3726</v>
      </c>
      <c r="H811" s="80" t="s">
        <v>174</v>
      </c>
      <c r="I811" s="80" t="s">
        <v>173</v>
      </c>
      <c r="J811" s="80" t="s">
        <v>149</v>
      </c>
      <c r="K811" s="80">
        <v>3</v>
      </c>
      <c r="L811" s="80" t="s">
        <v>3727</v>
      </c>
      <c r="M811" s="80" t="s">
        <v>3728</v>
      </c>
      <c r="N811" s="80" t="s">
        <v>120</v>
      </c>
      <c r="O811" s="80" t="s">
        <v>121</v>
      </c>
      <c r="P811" s="80" t="s">
        <v>122</v>
      </c>
      <c r="Q811" s="80" t="s">
        <v>123</v>
      </c>
      <c r="R811" s="80" t="s">
        <v>174</v>
      </c>
      <c r="S811" s="80">
        <v>3</v>
      </c>
      <c r="T811" s="80">
        <v>12</v>
      </c>
      <c r="U811" s="80" t="s">
        <v>613</v>
      </c>
      <c r="V811" s="80" t="s">
        <v>126</v>
      </c>
      <c r="W811" s="80" t="s">
        <v>127</v>
      </c>
      <c r="X811" s="80"/>
      <c r="Y811" s="80"/>
    </row>
    <row r="812" spans="1:25">
      <c r="A812" s="80">
        <f t="shared" si="12"/>
        <v>811</v>
      </c>
      <c r="B812" s="10">
        <v>45974.5708564815</v>
      </c>
      <c r="C812" s="13" t="s">
        <v>880</v>
      </c>
      <c r="D812" s="80" t="s">
        <v>4144</v>
      </c>
      <c r="E812" s="80" t="s">
        <v>3724</v>
      </c>
      <c r="F812" s="80" t="s">
        <v>3725</v>
      </c>
      <c r="G812" s="80" t="s">
        <v>3726</v>
      </c>
      <c r="H812" s="80" t="s">
        <v>174</v>
      </c>
      <c r="I812" s="80" t="s">
        <v>173</v>
      </c>
      <c r="J812" s="80" t="s">
        <v>149</v>
      </c>
      <c r="K812" s="80">
        <v>3</v>
      </c>
      <c r="L812" s="80" t="s">
        <v>3727</v>
      </c>
      <c r="M812" s="80" t="s">
        <v>3728</v>
      </c>
      <c r="N812" s="80" t="s">
        <v>120</v>
      </c>
      <c r="O812" s="80" t="s">
        <v>121</v>
      </c>
      <c r="P812" s="80" t="s">
        <v>122</v>
      </c>
      <c r="Q812" s="80" t="s">
        <v>123</v>
      </c>
      <c r="R812" s="80" t="s">
        <v>174</v>
      </c>
      <c r="S812" s="80">
        <v>3</v>
      </c>
      <c r="T812" s="80">
        <v>12</v>
      </c>
      <c r="U812" s="80" t="s">
        <v>882</v>
      </c>
      <c r="V812" s="80" t="s">
        <v>126</v>
      </c>
      <c r="W812" s="80" t="s">
        <v>127</v>
      </c>
      <c r="X812" s="80"/>
      <c r="Y812" s="80"/>
    </row>
    <row r="813" spans="1:25">
      <c r="A813" s="80">
        <f t="shared" si="12"/>
        <v>812</v>
      </c>
      <c r="B813" s="10">
        <v>45974.571666666699</v>
      </c>
      <c r="C813" s="13" t="s">
        <v>329</v>
      </c>
      <c r="D813" s="80" t="s">
        <v>4145</v>
      </c>
      <c r="E813" s="80" t="s">
        <v>4146</v>
      </c>
      <c r="F813" s="80" t="s">
        <v>4147</v>
      </c>
      <c r="G813" s="80" t="s">
        <v>4148</v>
      </c>
      <c r="H813" s="80" t="s">
        <v>115</v>
      </c>
      <c r="I813" s="80" t="s">
        <v>865</v>
      </c>
      <c r="J813" s="80" t="s">
        <v>149</v>
      </c>
      <c r="K813" s="80">
        <v>12</v>
      </c>
      <c r="L813" s="80" t="s">
        <v>4149</v>
      </c>
      <c r="M813" s="80" t="s">
        <v>4150</v>
      </c>
      <c r="N813" s="80" t="s">
        <v>120</v>
      </c>
      <c r="O813" s="80" t="s">
        <v>327</v>
      </c>
      <c r="P813" s="80" t="s">
        <v>214</v>
      </c>
      <c r="Q813" s="80" t="s">
        <v>123</v>
      </c>
      <c r="R813" s="80" t="s">
        <v>174</v>
      </c>
      <c r="S813" s="80">
        <v>2</v>
      </c>
      <c r="T813" s="80">
        <v>18</v>
      </c>
      <c r="U813" s="80" t="s">
        <v>336</v>
      </c>
      <c r="V813" s="80" t="s">
        <v>126</v>
      </c>
      <c r="W813" s="80" t="s">
        <v>127</v>
      </c>
      <c r="X813" s="80"/>
      <c r="Y813" s="80"/>
    </row>
    <row r="814" spans="1:25">
      <c r="A814" s="80">
        <f t="shared" si="12"/>
        <v>813</v>
      </c>
      <c r="B814" s="10">
        <v>45974.574479166702</v>
      </c>
      <c r="C814" s="13" t="s">
        <v>320</v>
      </c>
      <c r="D814" s="80" t="s">
        <v>4151</v>
      </c>
      <c r="E814" s="80" t="s">
        <v>4152</v>
      </c>
      <c r="F814" s="80" t="s">
        <v>4153</v>
      </c>
      <c r="G814" s="80" t="s">
        <v>4154</v>
      </c>
      <c r="H814" s="80" t="s">
        <v>115</v>
      </c>
      <c r="I814" s="80" t="s">
        <v>865</v>
      </c>
      <c r="J814" s="80" t="s">
        <v>149</v>
      </c>
      <c r="K814" s="80">
        <v>9</v>
      </c>
      <c r="L814" s="80" t="s">
        <v>4155</v>
      </c>
      <c r="M814" s="80" t="s">
        <v>4156</v>
      </c>
      <c r="N814" s="80" t="s">
        <v>120</v>
      </c>
      <c r="O814" s="80" t="s">
        <v>1196</v>
      </c>
      <c r="P814" s="80" t="s">
        <v>214</v>
      </c>
      <c r="Q814" s="80" t="s">
        <v>123</v>
      </c>
      <c r="R814" s="80" t="s">
        <v>174</v>
      </c>
      <c r="S814" s="80">
        <v>2</v>
      </c>
      <c r="T814" s="80">
        <v>24</v>
      </c>
      <c r="U814" s="80" t="s">
        <v>328</v>
      </c>
      <c r="V814" s="80" t="s">
        <v>126</v>
      </c>
      <c r="W814" s="80" t="s">
        <v>127</v>
      </c>
      <c r="X814" s="80"/>
      <c r="Y814" s="80"/>
    </row>
    <row r="815" spans="1:25">
      <c r="A815" s="80">
        <f t="shared" si="12"/>
        <v>814</v>
      </c>
      <c r="B815" s="10">
        <v>45974.574548611097</v>
      </c>
      <c r="C815" s="13" t="s">
        <v>157</v>
      </c>
      <c r="D815" s="80" t="s">
        <v>4157</v>
      </c>
      <c r="E815" s="80" t="s">
        <v>4152</v>
      </c>
      <c r="F815" s="80" t="s">
        <v>4153</v>
      </c>
      <c r="G815" s="80" t="s">
        <v>4154</v>
      </c>
      <c r="H815" s="80" t="s">
        <v>115</v>
      </c>
      <c r="I815" s="80" t="s">
        <v>865</v>
      </c>
      <c r="J815" s="80" t="s">
        <v>149</v>
      </c>
      <c r="K815" s="80">
        <v>9</v>
      </c>
      <c r="L815" s="80" t="s">
        <v>4155</v>
      </c>
      <c r="M815" s="80" t="s">
        <v>4156</v>
      </c>
      <c r="N815" s="80" t="s">
        <v>120</v>
      </c>
      <c r="O815" s="80" t="s">
        <v>1196</v>
      </c>
      <c r="P815" s="80" t="s">
        <v>214</v>
      </c>
      <c r="Q815" s="80" t="s">
        <v>123</v>
      </c>
      <c r="R815" s="80" t="s">
        <v>174</v>
      </c>
      <c r="S815" s="80">
        <v>2</v>
      </c>
      <c r="T815" s="80">
        <v>24</v>
      </c>
      <c r="U815" s="80" t="s">
        <v>167</v>
      </c>
      <c r="V815" s="80" t="s">
        <v>126</v>
      </c>
      <c r="W815" s="80" t="s">
        <v>127</v>
      </c>
      <c r="X815" s="80"/>
      <c r="Y815" s="80"/>
    </row>
    <row r="816" spans="1:25">
      <c r="A816" s="80">
        <f t="shared" si="12"/>
        <v>815</v>
      </c>
      <c r="B816" s="10">
        <v>45974.576388888898</v>
      </c>
      <c r="C816" s="13" t="s">
        <v>604</v>
      </c>
      <c r="D816" s="80" t="s">
        <v>4158</v>
      </c>
      <c r="E816" s="80" t="s">
        <v>4159</v>
      </c>
      <c r="F816" s="80" t="s">
        <v>4160</v>
      </c>
      <c r="G816" s="80" t="s">
        <v>4161</v>
      </c>
      <c r="H816" s="80" t="s">
        <v>115</v>
      </c>
      <c r="I816" s="80" t="s">
        <v>865</v>
      </c>
      <c r="J816" s="80" t="s">
        <v>117</v>
      </c>
      <c r="K816" s="80">
        <v>12</v>
      </c>
      <c r="L816" s="80" t="s">
        <v>4162</v>
      </c>
      <c r="M816" s="80" t="s">
        <v>4163</v>
      </c>
      <c r="N816" s="80" t="s">
        <v>164</v>
      </c>
      <c r="O816" s="80" t="s">
        <v>1501</v>
      </c>
      <c r="P816" s="80" t="s">
        <v>269</v>
      </c>
      <c r="Q816" s="80" t="s">
        <v>123</v>
      </c>
      <c r="R816" s="80" t="s">
        <v>174</v>
      </c>
      <c r="S816" s="80">
        <v>4</v>
      </c>
      <c r="T816" s="80">
        <v>18</v>
      </c>
      <c r="U816" s="80" t="s">
        <v>613</v>
      </c>
      <c r="V816" s="80" t="s">
        <v>126</v>
      </c>
      <c r="W816" s="80" t="s">
        <v>127</v>
      </c>
      <c r="X816" s="80"/>
      <c r="Y816" s="80"/>
    </row>
    <row r="817" spans="1:25">
      <c r="A817" s="80">
        <f t="shared" si="12"/>
        <v>816</v>
      </c>
      <c r="B817" s="10">
        <v>45974.5765509259</v>
      </c>
      <c r="C817" s="13" t="s">
        <v>2012</v>
      </c>
      <c r="D817" s="80" t="s">
        <v>4164</v>
      </c>
      <c r="E817" s="80" t="s">
        <v>4165</v>
      </c>
      <c r="F817" s="80" t="s">
        <v>4166</v>
      </c>
      <c r="G817" s="80" t="s">
        <v>4167</v>
      </c>
      <c r="H817" s="80" t="s">
        <v>115</v>
      </c>
      <c r="I817" s="80" t="s">
        <v>955</v>
      </c>
      <c r="J817" s="80" t="s">
        <v>117</v>
      </c>
      <c r="K817" s="80">
        <v>14</v>
      </c>
      <c r="L817" s="80" t="s">
        <v>4168</v>
      </c>
      <c r="M817" s="80" t="s">
        <v>4169</v>
      </c>
      <c r="N817" s="80" t="s">
        <v>164</v>
      </c>
      <c r="O817" s="80" t="s">
        <v>464</v>
      </c>
      <c r="P817" s="80" t="s">
        <v>135</v>
      </c>
      <c r="Q817" s="80" t="s">
        <v>123</v>
      </c>
      <c r="R817" s="80" t="s">
        <v>174</v>
      </c>
      <c r="S817" s="80">
        <v>3</v>
      </c>
      <c r="T817" s="80">
        <v>12</v>
      </c>
      <c r="U817" s="80" t="s">
        <v>2019</v>
      </c>
      <c r="V817" s="80" t="s">
        <v>126</v>
      </c>
      <c r="W817" s="80" t="s">
        <v>127</v>
      </c>
      <c r="X817" s="80"/>
      <c r="Y817" s="80"/>
    </row>
    <row r="818" spans="1:25">
      <c r="A818" s="80">
        <f t="shared" si="12"/>
        <v>817</v>
      </c>
      <c r="B818" s="10">
        <v>45974.5786689815</v>
      </c>
      <c r="C818" s="13" t="s">
        <v>604</v>
      </c>
      <c r="D818" s="80" t="s">
        <v>4170</v>
      </c>
      <c r="E818" s="80" t="s">
        <v>4171</v>
      </c>
      <c r="F818" s="80" t="s">
        <v>4172</v>
      </c>
      <c r="G818" s="80" t="s">
        <v>4173</v>
      </c>
      <c r="H818" s="80" t="s">
        <v>115</v>
      </c>
      <c r="I818" s="80" t="s">
        <v>244</v>
      </c>
      <c r="J818" s="80" t="s">
        <v>461</v>
      </c>
      <c r="K818" s="80">
        <v>12</v>
      </c>
      <c r="L818" s="80" t="s">
        <v>4174</v>
      </c>
      <c r="M818" s="80" t="s">
        <v>4175</v>
      </c>
      <c r="N818" s="80" t="s">
        <v>164</v>
      </c>
      <c r="O818" s="80" t="s">
        <v>4176</v>
      </c>
      <c r="P818" s="80" t="s">
        <v>214</v>
      </c>
      <c r="Q818" s="80" t="s">
        <v>123</v>
      </c>
      <c r="R818" s="80" t="s">
        <v>174</v>
      </c>
      <c r="S818" s="80">
        <v>14</v>
      </c>
      <c r="T818" s="80">
        <v>18</v>
      </c>
      <c r="U818" s="80" t="s">
        <v>613</v>
      </c>
      <c r="V818" s="80" t="s">
        <v>126</v>
      </c>
      <c r="W818" s="80" t="s">
        <v>127</v>
      </c>
      <c r="X818" s="80"/>
      <c r="Y818" s="80"/>
    </row>
    <row r="819" spans="1:25">
      <c r="A819" s="80">
        <f t="shared" si="12"/>
        <v>818</v>
      </c>
      <c r="B819" s="10">
        <v>45974.579131944403</v>
      </c>
      <c r="C819" s="13" t="s">
        <v>157</v>
      </c>
      <c r="D819" s="80" t="s">
        <v>4177</v>
      </c>
      <c r="E819" s="80" t="s">
        <v>4178</v>
      </c>
      <c r="F819" s="80" t="s">
        <v>4179</v>
      </c>
      <c r="G819" s="80" t="s">
        <v>4180</v>
      </c>
      <c r="H819" s="80" t="s">
        <v>477</v>
      </c>
      <c r="I819" s="80" t="s">
        <v>1165</v>
      </c>
      <c r="J819" s="80" t="s">
        <v>149</v>
      </c>
      <c r="K819" s="80">
        <v>7</v>
      </c>
      <c r="L819" s="80" t="s">
        <v>4181</v>
      </c>
      <c r="M819" s="80" t="s">
        <v>4182</v>
      </c>
      <c r="N819" s="80" t="s">
        <v>120</v>
      </c>
      <c r="O819" s="80" t="s">
        <v>240</v>
      </c>
      <c r="P819" s="80" t="s">
        <v>295</v>
      </c>
      <c r="Q819" s="80" t="s">
        <v>123</v>
      </c>
      <c r="R819" s="80" t="s">
        <v>136</v>
      </c>
      <c r="S819" s="80">
        <v>4</v>
      </c>
      <c r="T819" s="80">
        <v>18</v>
      </c>
      <c r="U819" s="80" t="s">
        <v>167</v>
      </c>
      <c r="V819" s="80" t="s">
        <v>126</v>
      </c>
      <c r="W819" s="80" t="s">
        <v>204</v>
      </c>
      <c r="X819" s="80" t="s">
        <v>205</v>
      </c>
      <c r="Y819" s="80"/>
    </row>
    <row r="820" spans="1:25">
      <c r="A820" s="80">
        <f t="shared" si="12"/>
        <v>819</v>
      </c>
      <c r="B820" s="10">
        <v>45974.581435185202</v>
      </c>
      <c r="C820" s="13" t="s">
        <v>222</v>
      </c>
      <c r="D820" s="80" t="s">
        <v>4183</v>
      </c>
      <c r="E820" s="80" t="s">
        <v>4152</v>
      </c>
      <c r="F820" s="80" t="s">
        <v>4153</v>
      </c>
      <c r="G820" s="80" t="s">
        <v>4154</v>
      </c>
      <c r="H820" s="80" t="s">
        <v>115</v>
      </c>
      <c r="I820" s="80" t="s">
        <v>865</v>
      </c>
      <c r="J820" s="80" t="s">
        <v>149</v>
      </c>
      <c r="K820" s="80">
        <v>9</v>
      </c>
      <c r="L820" s="80" t="s">
        <v>4155</v>
      </c>
      <c r="M820" s="80" t="s">
        <v>4156</v>
      </c>
      <c r="N820" s="80" t="s">
        <v>120</v>
      </c>
      <c r="O820" s="80" t="s">
        <v>1196</v>
      </c>
      <c r="P820" s="80" t="s">
        <v>214</v>
      </c>
      <c r="Q820" s="80" t="s">
        <v>123</v>
      </c>
      <c r="R820" s="80" t="s">
        <v>174</v>
      </c>
      <c r="S820" s="80">
        <v>2</v>
      </c>
      <c r="T820" s="80">
        <v>24</v>
      </c>
      <c r="U820" s="80" t="s">
        <v>232</v>
      </c>
      <c r="V820" s="80" t="s">
        <v>126</v>
      </c>
      <c r="W820" s="80" t="s">
        <v>127</v>
      </c>
      <c r="X820" s="80"/>
      <c r="Y820" s="80"/>
    </row>
    <row r="821" spans="1:25">
      <c r="A821" s="80">
        <f t="shared" si="12"/>
        <v>820</v>
      </c>
      <c r="B821" s="10">
        <v>45974.582210648201</v>
      </c>
      <c r="C821" s="13" t="s">
        <v>604</v>
      </c>
      <c r="D821" s="80" t="s">
        <v>4184</v>
      </c>
      <c r="E821" s="80" t="s">
        <v>4185</v>
      </c>
      <c r="F821" s="80" t="s">
        <v>4186</v>
      </c>
      <c r="G821" s="80" t="s">
        <v>4187</v>
      </c>
      <c r="H821" s="80" t="s">
        <v>115</v>
      </c>
      <c r="I821" s="80" t="s">
        <v>865</v>
      </c>
      <c r="J821" s="80" t="s">
        <v>117</v>
      </c>
      <c r="K821" s="80">
        <v>1</v>
      </c>
      <c r="L821" s="80" t="s">
        <v>4188</v>
      </c>
      <c r="M821" s="80" t="s">
        <v>4189</v>
      </c>
      <c r="N821" s="80" t="s">
        <v>164</v>
      </c>
      <c r="O821" s="80" t="s">
        <v>406</v>
      </c>
      <c r="P821" s="80" t="s">
        <v>178</v>
      </c>
      <c r="Q821" s="80" t="s">
        <v>123</v>
      </c>
      <c r="R821" s="80" t="s">
        <v>124</v>
      </c>
      <c r="S821" s="80">
        <v>10</v>
      </c>
      <c r="T821" s="80">
        <v>12</v>
      </c>
      <c r="U821" s="80" t="s">
        <v>613</v>
      </c>
      <c r="V821" s="80" t="s">
        <v>126</v>
      </c>
      <c r="W821" s="80" t="s">
        <v>127</v>
      </c>
      <c r="X821" s="80"/>
      <c r="Y821" s="80"/>
    </row>
    <row r="822" spans="1:25">
      <c r="A822" s="80">
        <f t="shared" si="12"/>
        <v>821</v>
      </c>
      <c r="B822" s="10">
        <v>45974.586215277799</v>
      </c>
      <c r="C822" s="13" t="s">
        <v>456</v>
      </c>
      <c r="D822" s="80" t="s">
        <v>4190</v>
      </c>
      <c r="E822" s="80" t="s">
        <v>1971</v>
      </c>
      <c r="F822" s="80" t="s">
        <v>1972</v>
      </c>
      <c r="G822" s="80" t="s">
        <v>1973</v>
      </c>
      <c r="H822" s="80" t="s">
        <v>115</v>
      </c>
      <c r="I822" s="80" t="s">
        <v>244</v>
      </c>
      <c r="J822" s="80" t="s">
        <v>117</v>
      </c>
      <c r="K822" s="80">
        <v>7</v>
      </c>
      <c r="L822" s="80" t="s">
        <v>1974</v>
      </c>
      <c r="M822" s="80" t="s">
        <v>1975</v>
      </c>
      <c r="N822" s="80" t="s">
        <v>164</v>
      </c>
      <c r="O822" s="80" t="s">
        <v>1976</v>
      </c>
      <c r="P822" s="80" t="s">
        <v>1279</v>
      </c>
      <c r="Q822" s="80" t="s">
        <v>123</v>
      </c>
      <c r="R822" s="80" t="s">
        <v>124</v>
      </c>
      <c r="S822" s="80">
        <v>7</v>
      </c>
      <c r="T822" s="80">
        <v>24</v>
      </c>
      <c r="U822" s="80" t="s">
        <v>466</v>
      </c>
      <c r="V822" s="80" t="s">
        <v>126</v>
      </c>
      <c r="W822" s="80" t="s">
        <v>127</v>
      </c>
      <c r="X822" s="80"/>
      <c r="Y822" s="80"/>
    </row>
    <row r="823" spans="1:25">
      <c r="A823" s="80">
        <f t="shared" si="12"/>
        <v>822</v>
      </c>
      <c r="B823" s="10">
        <v>45974.593668981499</v>
      </c>
      <c r="C823" s="13" t="s">
        <v>604</v>
      </c>
      <c r="D823" s="80" t="s">
        <v>4191</v>
      </c>
      <c r="E823" s="80" t="s">
        <v>952</v>
      </c>
      <c r="F823" s="80" t="s">
        <v>953</v>
      </c>
      <c r="G823" s="80" t="s">
        <v>954</v>
      </c>
      <c r="H823" s="80" t="s">
        <v>115</v>
      </c>
      <c r="I823" s="80" t="s">
        <v>955</v>
      </c>
      <c r="J823" s="80" t="s">
        <v>149</v>
      </c>
      <c r="K823" s="80">
        <v>16</v>
      </c>
      <c r="L823" s="80" t="s">
        <v>956</v>
      </c>
      <c r="M823" s="80" t="s">
        <v>957</v>
      </c>
      <c r="N823" s="80" t="s">
        <v>120</v>
      </c>
      <c r="O823" s="80" t="s">
        <v>240</v>
      </c>
      <c r="P823" s="80" t="s">
        <v>135</v>
      </c>
      <c r="Q823" s="80" t="s">
        <v>123</v>
      </c>
      <c r="R823" s="80" t="s">
        <v>174</v>
      </c>
      <c r="S823" s="80">
        <v>2</v>
      </c>
      <c r="T823" s="80">
        <v>12</v>
      </c>
      <c r="U823" s="80" t="s">
        <v>613</v>
      </c>
      <c r="V823" s="80" t="s">
        <v>126</v>
      </c>
      <c r="W823" s="80" t="s">
        <v>127</v>
      </c>
      <c r="X823" s="80"/>
      <c r="Y823" s="80"/>
    </row>
    <row r="824" spans="1:25">
      <c r="A824" s="80">
        <f t="shared" si="12"/>
        <v>823</v>
      </c>
      <c r="B824" s="10">
        <v>45974.600555555597</v>
      </c>
      <c r="C824" s="13" t="s">
        <v>359</v>
      </c>
      <c r="D824" s="80" t="s">
        <v>4192</v>
      </c>
      <c r="E824" s="80" t="s">
        <v>4193</v>
      </c>
      <c r="F824" s="80" t="s">
        <v>4194</v>
      </c>
      <c r="G824" s="80" t="s">
        <v>4195</v>
      </c>
      <c r="H824" s="80" t="s">
        <v>115</v>
      </c>
      <c r="I824" s="80" t="s">
        <v>1410</v>
      </c>
      <c r="J824" s="80" t="s">
        <v>117</v>
      </c>
      <c r="K824" s="80">
        <v>22</v>
      </c>
      <c r="L824" s="80" t="s">
        <v>4196</v>
      </c>
      <c r="M824" s="80" t="s">
        <v>4197</v>
      </c>
      <c r="N824" s="80" t="s">
        <v>120</v>
      </c>
      <c r="O824" s="80" t="s">
        <v>1319</v>
      </c>
      <c r="P824" s="80" t="s">
        <v>1720</v>
      </c>
      <c r="Q824" s="80" t="s">
        <v>123</v>
      </c>
      <c r="R824" s="80" t="s">
        <v>174</v>
      </c>
      <c r="S824" s="80">
        <v>15</v>
      </c>
      <c r="T824" s="80">
        <v>18</v>
      </c>
      <c r="U824" s="80" t="s">
        <v>361</v>
      </c>
      <c r="V824" s="80" t="s">
        <v>126</v>
      </c>
      <c r="W824" s="80" t="s">
        <v>127</v>
      </c>
      <c r="X824" s="80"/>
      <c r="Y824" s="80"/>
    </row>
    <row r="825" spans="1:25">
      <c r="A825" s="80">
        <f t="shared" si="12"/>
        <v>824</v>
      </c>
      <c r="B825" s="10">
        <v>45974.608587962997</v>
      </c>
      <c r="C825" s="13" t="s">
        <v>456</v>
      </c>
      <c r="D825" s="80" t="s">
        <v>4198</v>
      </c>
      <c r="E825" s="80" t="s">
        <v>4199</v>
      </c>
      <c r="F825" s="80" t="s">
        <v>4200</v>
      </c>
      <c r="G825" s="80" t="s">
        <v>4201</v>
      </c>
      <c r="H825" s="80" t="s">
        <v>184</v>
      </c>
      <c r="I825" s="80" t="s">
        <v>46</v>
      </c>
      <c r="J825" s="80" t="s">
        <v>149</v>
      </c>
      <c r="K825" s="80">
        <v>6</v>
      </c>
      <c r="L825" s="80" t="s">
        <v>4202</v>
      </c>
      <c r="M825" s="80" t="s">
        <v>4203</v>
      </c>
      <c r="N825" s="80" t="s">
        <v>120</v>
      </c>
      <c r="O825" s="80" t="s">
        <v>152</v>
      </c>
      <c r="P825" s="80" t="s">
        <v>304</v>
      </c>
      <c r="Q825" s="80" t="s">
        <v>123</v>
      </c>
      <c r="R825" s="80" t="s">
        <v>136</v>
      </c>
      <c r="S825" s="80">
        <v>9</v>
      </c>
      <c r="T825" s="80">
        <v>18</v>
      </c>
      <c r="U825" s="80" t="s">
        <v>466</v>
      </c>
      <c r="V825" s="80" t="s">
        <v>126</v>
      </c>
      <c r="W825" s="80" t="s">
        <v>1770</v>
      </c>
      <c r="X825" s="80"/>
      <c r="Y825" s="80"/>
    </row>
    <row r="826" spans="1:25">
      <c r="A826" s="80">
        <f t="shared" si="12"/>
        <v>825</v>
      </c>
      <c r="B826" s="10">
        <v>45974.630810185197</v>
      </c>
      <c r="C826" s="13" t="s">
        <v>818</v>
      </c>
      <c r="D826" s="80" t="s">
        <v>4204</v>
      </c>
      <c r="E826" s="80" t="s">
        <v>4205</v>
      </c>
      <c r="F826" s="80" t="s">
        <v>4206</v>
      </c>
      <c r="G826" s="80" t="s">
        <v>4207</v>
      </c>
      <c r="H826" s="80" t="s">
        <v>115</v>
      </c>
      <c r="I826" s="80" t="s">
        <v>1383</v>
      </c>
      <c r="J826" s="80" t="s">
        <v>117</v>
      </c>
      <c r="K826" s="80">
        <v>26</v>
      </c>
      <c r="L826" s="80" t="s">
        <v>4208</v>
      </c>
      <c r="M826" s="80" t="s">
        <v>4209</v>
      </c>
      <c r="N826" s="80" t="s">
        <v>164</v>
      </c>
      <c r="O826" s="80" t="s">
        <v>4210</v>
      </c>
      <c r="P826" s="80" t="s">
        <v>214</v>
      </c>
      <c r="Q826" s="80" t="s">
        <v>123</v>
      </c>
      <c r="R826" s="80" t="s">
        <v>174</v>
      </c>
      <c r="S826" s="80">
        <v>5</v>
      </c>
      <c r="T826" s="80">
        <v>24</v>
      </c>
      <c r="U826" s="80" t="s">
        <v>825</v>
      </c>
      <c r="V826" s="80" t="s">
        <v>126</v>
      </c>
      <c r="W826" s="80" t="s">
        <v>127</v>
      </c>
      <c r="X826" s="80"/>
      <c r="Y826" s="80"/>
    </row>
    <row r="827" spans="1:25">
      <c r="A827" s="80">
        <f t="shared" si="12"/>
        <v>826</v>
      </c>
      <c r="B827" s="10">
        <v>45974.643692129597</v>
      </c>
      <c r="C827" s="13" t="s">
        <v>157</v>
      </c>
      <c r="D827" s="80" t="s">
        <v>4211</v>
      </c>
      <c r="E827" s="80" t="s">
        <v>4212</v>
      </c>
      <c r="F827" s="80" t="s">
        <v>4213</v>
      </c>
      <c r="G827" s="80" t="s">
        <v>4214</v>
      </c>
      <c r="H827" s="80" t="s">
        <v>115</v>
      </c>
      <c r="I827" s="80" t="s">
        <v>244</v>
      </c>
      <c r="J827" s="80" t="s">
        <v>117</v>
      </c>
      <c r="K827" s="80">
        <v>24</v>
      </c>
      <c r="L827" s="80" t="s">
        <v>4215</v>
      </c>
      <c r="M827" s="80" t="s">
        <v>4216</v>
      </c>
      <c r="N827" s="80" t="s">
        <v>164</v>
      </c>
      <c r="O827" s="80" t="s">
        <v>345</v>
      </c>
      <c r="P827" s="80" t="s">
        <v>135</v>
      </c>
      <c r="Q827" s="80" t="s">
        <v>123</v>
      </c>
      <c r="R827" s="80" t="s">
        <v>174</v>
      </c>
      <c r="S827" s="80">
        <v>9</v>
      </c>
      <c r="T827" s="80">
        <v>12</v>
      </c>
      <c r="U827" s="80" t="s">
        <v>167</v>
      </c>
      <c r="V827" s="80" t="s">
        <v>126</v>
      </c>
      <c r="W827" s="80" t="s">
        <v>127</v>
      </c>
      <c r="X827" s="80"/>
      <c r="Y827" s="80"/>
    </row>
    <row r="828" spans="1:25">
      <c r="A828" s="80">
        <f t="shared" si="12"/>
        <v>827</v>
      </c>
      <c r="B828" s="10">
        <v>45974.644398148099</v>
      </c>
      <c r="C828" s="13" t="s">
        <v>222</v>
      </c>
      <c r="D828" s="80" t="s">
        <v>4217</v>
      </c>
      <c r="E828" s="80" t="s">
        <v>3027</v>
      </c>
      <c r="F828" s="80" t="s">
        <v>3028</v>
      </c>
      <c r="G828" s="80" t="s">
        <v>3029</v>
      </c>
      <c r="H828" s="80" t="s">
        <v>115</v>
      </c>
      <c r="I828" s="80" t="s">
        <v>865</v>
      </c>
      <c r="J828" s="80" t="s">
        <v>149</v>
      </c>
      <c r="K828" s="80">
        <v>19</v>
      </c>
      <c r="L828" s="80" t="s">
        <v>3030</v>
      </c>
      <c r="M828" s="80" t="s">
        <v>3031</v>
      </c>
      <c r="N828" s="80" t="s">
        <v>120</v>
      </c>
      <c r="O828" s="80" t="s">
        <v>247</v>
      </c>
      <c r="P828" s="80" t="s">
        <v>3032</v>
      </c>
      <c r="Q828" s="80" t="s">
        <v>123</v>
      </c>
      <c r="R828" s="80" t="s">
        <v>174</v>
      </c>
      <c r="S828" s="80">
        <v>2</v>
      </c>
      <c r="T828" s="80">
        <v>24</v>
      </c>
      <c r="U828" s="80" t="s">
        <v>232</v>
      </c>
      <c r="V828" s="80" t="s">
        <v>126</v>
      </c>
      <c r="W828" s="80" t="s">
        <v>127</v>
      </c>
      <c r="X828" s="80"/>
      <c r="Y828" s="80"/>
    </row>
    <row r="829" spans="1:25">
      <c r="A829" s="80">
        <f t="shared" si="12"/>
        <v>828</v>
      </c>
      <c r="B829" s="10">
        <v>45974.649907407402</v>
      </c>
      <c r="C829" s="13" t="s">
        <v>222</v>
      </c>
      <c r="D829" s="80" t="s">
        <v>4218</v>
      </c>
      <c r="E829" s="80" t="s">
        <v>4212</v>
      </c>
      <c r="F829" s="80" t="s">
        <v>4213</v>
      </c>
      <c r="G829" s="80" t="s">
        <v>4214</v>
      </c>
      <c r="H829" s="80" t="s">
        <v>115</v>
      </c>
      <c r="I829" s="80" t="s">
        <v>244</v>
      </c>
      <c r="J829" s="80" t="s">
        <v>117</v>
      </c>
      <c r="K829" s="80">
        <v>24</v>
      </c>
      <c r="L829" s="80" t="s">
        <v>4215</v>
      </c>
      <c r="M829" s="80" t="s">
        <v>4216</v>
      </c>
      <c r="N829" s="80" t="s">
        <v>164</v>
      </c>
      <c r="O829" s="80" t="s">
        <v>345</v>
      </c>
      <c r="P829" s="80" t="s">
        <v>135</v>
      </c>
      <c r="Q829" s="80" t="s">
        <v>123</v>
      </c>
      <c r="R829" s="80" t="s">
        <v>174</v>
      </c>
      <c r="S829" s="80">
        <v>9</v>
      </c>
      <c r="T829" s="80">
        <v>12</v>
      </c>
      <c r="U829" s="80" t="s">
        <v>232</v>
      </c>
      <c r="V829" s="80" t="s">
        <v>126</v>
      </c>
      <c r="W829" s="80" t="s">
        <v>127</v>
      </c>
      <c r="X829" s="80"/>
      <c r="Y829" s="80"/>
    </row>
    <row r="830" spans="1:25">
      <c r="A830" s="80">
        <f t="shared" si="12"/>
        <v>829</v>
      </c>
      <c r="B830" s="10">
        <v>45974.688032407401</v>
      </c>
      <c r="C830" s="13" t="s">
        <v>840</v>
      </c>
      <c r="D830" s="80" t="s">
        <v>4219</v>
      </c>
      <c r="E830" s="80" t="s">
        <v>241</v>
      </c>
      <c r="F830" s="80" t="s">
        <v>242</v>
      </c>
      <c r="G830" s="80" t="s">
        <v>243</v>
      </c>
      <c r="H830" s="80" t="s">
        <v>115</v>
      </c>
      <c r="I830" s="80" t="s">
        <v>244</v>
      </c>
      <c r="J830" s="80" t="s">
        <v>117</v>
      </c>
      <c r="K830" s="80">
        <v>21</v>
      </c>
      <c r="L830" s="80" t="s">
        <v>245</v>
      </c>
      <c r="M830" s="80" t="s">
        <v>246</v>
      </c>
      <c r="N830" s="80" t="s">
        <v>120</v>
      </c>
      <c r="O830" s="80" t="s">
        <v>247</v>
      </c>
      <c r="P830" s="80" t="s">
        <v>135</v>
      </c>
      <c r="Q830" s="80" t="s">
        <v>123</v>
      </c>
      <c r="R830" s="80" t="s">
        <v>174</v>
      </c>
      <c r="S830" s="80">
        <v>11</v>
      </c>
      <c r="T830" s="80">
        <v>12</v>
      </c>
      <c r="U830" s="80" t="s">
        <v>843</v>
      </c>
      <c r="V830" s="80" t="s">
        <v>126</v>
      </c>
      <c r="W830" s="80" t="s">
        <v>127</v>
      </c>
      <c r="X830" s="80"/>
      <c r="Y830" s="80"/>
    </row>
    <row r="831" spans="1:25">
      <c r="A831" s="80">
        <f t="shared" si="12"/>
        <v>830</v>
      </c>
      <c r="B831" s="10">
        <v>45974.6945023148</v>
      </c>
      <c r="C831" s="13" t="s">
        <v>143</v>
      </c>
      <c r="D831" s="80" t="s">
        <v>4220</v>
      </c>
      <c r="E831" s="80" t="s">
        <v>4221</v>
      </c>
      <c r="F831" s="80" t="s">
        <v>4222</v>
      </c>
      <c r="G831" s="80" t="s">
        <v>4223</v>
      </c>
      <c r="H831" s="80" t="s">
        <v>115</v>
      </c>
      <c r="I831" s="80" t="s">
        <v>865</v>
      </c>
      <c r="J831" s="80" t="s">
        <v>149</v>
      </c>
      <c r="K831" s="80">
        <v>18</v>
      </c>
      <c r="L831" s="80" t="s">
        <v>4224</v>
      </c>
      <c r="M831" s="80" t="s">
        <v>4225</v>
      </c>
      <c r="N831" s="80" t="s">
        <v>120</v>
      </c>
      <c r="O831" s="80" t="s">
        <v>652</v>
      </c>
      <c r="P831" s="80" t="s">
        <v>135</v>
      </c>
      <c r="Q831" s="80" t="s">
        <v>123</v>
      </c>
      <c r="R831" s="80" t="s">
        <v>174</v>
      </c>
      <c r="S831" s="80">
        <v>2</v>
      </c>
      <c r="T831" s="80">
        <v>12</v>
      </c>
      <c r="U831" s="80" t="s">
        <v>153</v>
      </c>
      <c r="V831" s="80" t="s">
        <v>126</v>
      </c>
      <c r="W831" s="80" t="s">
        <v>137</v>
      </c>
      <c r="X831" s="80"/>
      <c r="Y831" s="80"/>
    </row>
    <row r="832" spans="1:25">
      <c r="A832" s="80">
        <f t="shared" si="12"/>
        <v>831</v>
      </c>
      <c r="B832" s="10">
        <v>45974.695243055598</v>
      </c>
      <c r="C832" s="13" t="s">
        <v>143</v>
      </c>
      <c r="D832" s="80" t="s">
        <v>4226</v>
      </c>
      <c r="E832" s="80" t="s">
        <v>4227</v>
      </c>
      <c r="F832" s="80" t="s">
        <v>4228</v>
      </c>
      <c r="G832" s="80" t="s">
        <v>4229</v>
      </c>
      <c r="H832" s="80" t="s">
        <v>115</v>
      </c>
      <c r="I832" s="80" t="s">
        <v>865</v>
      </c>
      <c r="J832" s="80" t="s">
        <v>149</v>
      </c>
      <c r="K832" s="80">
        <v>15</v>
      </c>
      <c r="L832" s="80" t="s">
        <v>4230</v>
      </c>
      <c r="M832" s="80" t="s">
        <v>4231</v>
      </c>
      <c r="N832" s="80" t="s">
        <v>120</v>
      </c>
      <c r="O832" s="80" t="s">
        <v>501</v>
      </c>
      <c r="P832" s="80" t="s">
        <v>135</v>
      </c>
      <c r="Q832" s="80" t="s">
        <v>123</v>
      </c>
      <c r="R832" s="80" t="s">
        <v>174</v>
      </c>
      <c r="S832" s="80">
        <v>1</v>
      </c>
      <c r="T832" s="80">
        <v>24</v>
      </c>
      <c r="U832" s="80" t="s">
        <v>153</v>
      </c>
      <c r="V832" s="80" t="s">
        <v>126</v>
      </c>
      <c r="W832" s="80" t="s">
        <v>137</v>
      </c>
      <c r="X832" s="80"/>
      <c r="Y832" s="80"/>
    </row>
    <row r="833" spans="1:25">
      <c r="A833" s="80">
        <f t="shared" si="12"/>
        <v>832</v>
      </c>
      <c r="B833" s="10">
        <v>45974.722199074102</v>
      </c>
      <c r="C833" s="13" t="s">
        <v>2004</v>
      </c>
      <c r="D833" s="80" t="s">
        <v>4232</v>
      </c>
      <c r="E833" s="80" t="s">
        <v>4131</v>
      </c>
      <c r="F833" s="80" t="s">
        <v>4132</v>
      </c>
      <c r="G833" s="80" t="s">
        <v>4133</v>
      </c>
      <c r="H833" s="80" t="s">
        <v>115</v>
      </c>
      <c r="I833" s="80" t="s">
        <v>955</v>
      </c>
      <c r="J833" s="80" t="s">
        <v>117</v>
      </c>
      <c r="K833" s="80">
        <v>15</v>
      </c>
      <c r="L833" s="80" t="s">
        <v>4134</v>
      </c>
      <c r="M833" s="80" t="s">
        <v>4135</v>
      </c>
      <c r="N833" s="80" t="s">
        <v>120</v>
      </c>
      <c r="O833" s="80" t="s">
        <v>572</v>
      </c>
      <c r="P833" s="80" t="s">
        <v>135</v>
      </c>
      <c r="Q833" s="80" t="s">
        <v>123</v>
      </c>
      <c r="R833" s="80" t="s">
        <v>174</v>
      </c>
      <c r="S833" s="80">
        <v>7</v>
      </c>
      <c r="T833" s="80">
        <v>12</v>
      </c>
      <c r="U833" s="80" t="s">
        <v>2011</v>
      </c>
      <c r="V833" s="80" t="s">
        <v>126</v>
      </c>
      <c r="W833" s="80" t="s">
        <v>127</v>
      </c>
      <c r="X833" s="80"/>
      <c r="Y833" s="80"/>
    </row>
    <row r="834" spans="1:25">
      <c r="A834" s="80">
        <f t="shared" si="12"/>
        <v>833</v>
      </c>
      <c r="B834" s="10">
        <v>45974.724050925899</v>
      </c>
      <c r="C834" s="13" t="s">
        <v>2004</v>
      </c>
      <c r="D834" s="80" t="s">
        <v>4233</v>
      </c>
      <c r="E834" s="80" t="s">
        <v>4234</v>
      </c>
      <c r="F834" s="80" t="s">
        <v>4235</v>
      </c>
      <c r="G834" s="80" t="s">
        <v>4236</v>
      </c>
      <c r="H834" s="80" t="s">
        <v>115</v>
      </c>
      <c r="I834" s="80" t="s">
        <v>865</v>
      </c>
      <c r="J834" s="80" t="s">
        <v>117</v>
      </c>
      <c r="K834" s="80">
        <v>7</v>
      </c>
      <c r="L834" s="80" t="s">
        <v>4237</v>
      </c>
      <c r="M834" s="80" t="s">
        <v>4238</v>
      </c>
      <c r="N834" s="80" t="s">
        <v>164</v>
      </c>
      <c r="O834" s="80" t="s">
        <v>4239</v>
      </c>
      <c r="P834" s="80" t="s">
        <v>178</v>
      </c>
      <c r="Q834" s="80" t="s">
        <v>123</v>
      </c>
      <c r="R834" s="80" t="s">
        <v>174</v>
      </c>
      <c r="S834" s="80">
        <v>10</v>
      </c>
      <c r="T834" s="80">
        <v>12</v>
      </c>
      <c r="U834" s="80" t="s">
        <v>2011</v>
      </c>
      <c r="V834" s="80" t="s">
        <v>126</v>
      </c>
      <c r="W834" s="80" t="s">
        <v>127</v>
      </c>
      <c r="X834" s="80"/>
      <c r="Y834" s="80"/>
    </row>
    <row r="835" spans="1:25">
      <c r="A835" s="80">
        <f t="shared" si="12"/>
        <v>834</v>
      </c>
      <c r="B835" s="10">
        <v>45974.727708333303</v>
      </c>
      <c r="C835" s="13" t="s">
        <v>2004</v>
      </c>
      <c r="D835" s="80" t="s">
        <v>4240</v>
      </c>
      <c r="E835" s="80" t="s">
        <v>1169</v>
      </c>
      <c r="F835" s="80" t="s">
        <v>1170</v>
      </c>
      <c r="G835" s="80" t="s">
        <v>1171</v>
      </c>
      <c r="H835" s="80" t="s">
        <v>115</v>
      </c>
      <c r="I835" s="80" t="s">
        <v>865</v>
      </c>
      <c r="J835" s="80" t="s">
        <v>117</v>
      </c>
      <c r="K835" s="80">
        <v>17</v>
      </c>
      <c r="L835" s="80" t="s">
        <v>1172</v>
      </c>
      <c r="M835" s="80" t="s">
        <v>1173</v>
      </c>
      <c r="N835" s="80" t="s">
        <v>120</v>
      </c>
      <c r="O835" s="80" t="s">
        <v>152</v>
      </c>
      <c r="P835" s="80" t="s">
        <v>135</v>
      </c>
      <c r="Q835" s="80" t="s">
        <v>123</v>
      </c>
      <c r="R835" s="80" t="s">
        <v>174</v>
      </c>
      <c r="S835" s="80">
        <v>8</v>
      </c>
      <c r="T835" s="80">
        <v>12</v>
      </c>
      <c r="U835" s="80" t="s">
        <v>2011</v>
      </c>
      <c r="V835" s="80" t="s">
        <v>126</v>
      </c>
      <c r="W835" s="80" t="s">
        <v>127</v>
      </c>
      <c r="X835" s="80"/>
      <c r="Y835" s="80"/>
    </row>
    <row r="836" spans="1:25">
      <c r="A836" s="80">
        <f t="shared" ref="A836:A880" si="13">A835+1</f>
        <v>835</v>
      </c>
      <c r="B836" s="10">
        <v>45974.740347222199</v>
      </c>
      <c r="C836" s="13" t="s">
        <v>359</v>
      </c>
      <c r="D836" s="80" t="s">
        <v>4241</v>
      </c>
      <c r="E836" s="80" t="s">
        <v>4242</v>
      </c>
      <c r="F836" s="80" t="s">
        <v>4243</v>
      </c>
      <c r="G836" s="80" t="s">
        <v>4244</v>
      </c>
      <c r="H836" s="80" t="s">
        <v>115</v>
      </c>
      <c r="I836" s="80" t="s">
        <v>227</v>
      </c>
      <c r="J836" s="80" t="s">
        <v>117</v>
      </c>
      <c r="K836" s="80">
        <v>1</v>
      </c>
      <c r="L836" s="80" t="s">
        <v>4245</v>
      </c>
      <c r="M836" s="80" t="s">
        <v>4246</v>
      </c>
      <c r="N836" s="80" t="s">
        <v>120</v>
      </c>
      <c r="O836" s="80" t="s">
        <v>152</v>
      </c>
      <c r="P836" s="80" t="s">
        <v>135</v>
      </c>
      <c r="Q836" s="80" t="s">
        <v>123</v>
      </c>
      <c r="R836" s="80" t="s">
        <v>166</v>
      </c>
      <c r="S836" s="80">
        <v>12</v>
      </c>
      <c r="T836" s="80">
        <v>12</v>
      </c>
      <c r="U836" s="80" t="s">
        <v>361</v>
      </c>
      <c r="V836" s="80" t="s">
        <v>126</v>
      </c>
      <c r="W836" s="80" t="s">
        <v>127</v>
      </c>
      <c r="X836" s="80"/>
      <c r="Y836" s="80"/>
    </row>
    <row r="837" spans="1:25">
      <c r="A837" s="80">
        <f t="shared" si="13"/>
        <v>836</v>
      </c>
      <c r="B837" s="10">
        <v>45974.769004629597</v>
      </c>
      <c r="C837" s="13" t="s">
        <v>110</v>
      </c>
      <c r="D837" s="80" t="s">
        <v>4247</v>
      </c>
      <c r="E837" s="80" t="s">
        <v>4248</v>
      </c>
      <c r="F837" s="80" t="s">
        <v>4249</v>
      </c>
      <c r="G837" s="80" t="s">
        <v>4250</v>
      </c>
      <c r="H837" s="80" t="s">
        <v>115</v>
      </c>
      <c r="I837" s="80" t="s">
        <v>865</v>
      </c>
      <c r="J837" s="80" t="s">
        <v>9</v>
      </c>
      <c r="K837" s="80">
        <v>15</v>
      </c>
      <c r="L837" s="80" t="s">
        <v>4251</v>
      </c>
      <c r="M837" s="80" t="s">
        <v>4252</v>
      </c>
      <c r="N837" s="80" t="s">
        <v>164</v>
      </c>
      <c r="O837" s="80" t="s">
        <v>487</v>
      </c>
      <c r="P837" s="80" t="s">
        <v>231</v>
      </c>
      <c r="Q837" s="80" t="s">
        <v>123</v>
      </c>
      <c r="R837" s="80" t="s">
        <v>174</v>
      </c>
      <c r="S837" s="80">
        <v>2</v>
      </c>
      <c r="T837" s="80">
        <v>24</v>
      </c>
      <c r="U837" s="80" t="s">
        <v>125</v>
      </c>
      <c r="V837" s="80" t="s">
        <v>126</v>
      </c>
      <c r="W837" s="80" t="s">
        <v>127</v>
      </c>
      <c r="X837" s="80"/>
      <c r="Y837" s="80"/>
    </row>
    <row r="838" spans="1:25">
      <c r="A838" s="80">
        <f t="shared" si="13"/>
        <v>837</v>
      </c>
      <c r="B838" s="10">
        <v>45974.836458333302</v>
      </c>
      <c r="C838" s="13" t="s">
        <v>110</v>
      </c>
      <c r="D838" s="80" t="s">
        <v>4253</v>
      </c>
      <c r="E838" s="80" t="s">
        <v>4254</v>
      </c>
      <c r="F838" s="80" t="s">
        <v>4255</v>
      </c>
      <c r="G838" s="80" t="s">
        <v>4256</v>
      </c>
      <c r="H838" s="80" t="s">
        <v>115</v>
      </c>
      <c r="I838" s="80" t="s">
        <v>865</v>
      </c>
      <c r="J838" s="80" t="s">
        <v>9</v>
      </c>
      <c r="K838" s="80">
        <v>15</v>
      </c>
      <c r="L838" s="80" t="s">
        <v>4257</v>
      </c>
      <c r="M838" s="80" t="s">
        <v>4258</v>
      </c>
      <c r="N838" s="80" t="s">
        <v>120</v>
      </c>
      <c r="O838" s="80" t="s">
        <v>1231</v>
      </c>
      <c r="P838" s="80" t="s">
        <v>269</v>
      </c>
      <c r="Q838" s="80" t="s">
        <v>123</v>
      </c>
      <c r="R838" s="80" t="s">
        <v>174</v>
      </c>
      <c r="S838" s="80">
        <v>1</v>
      </c>
      <c r="T838" s="80">
        <v>24</v>
      </c>
      <c r="U838" s="80" t="s">
        <v>125</v>
      </c>
      <c r="V838" s="80" t="s">
        <v>126</v>
      </c>
      <c r="W838" s="80" t="s">
        <v>127</v>
      </c>
      <c r="X838" s="80"/>
      <c r="Y838" s="80"/>
    </row>
    <row r="839" spans="1:25">
      <c r="A839" s="80">
        <f t="shared" si="13"/>
        <v>838</v>
      </c>
      <c r="B839" s="10">
        <v>45975.333171296297</v>
      </c>
      <c r="C839" s="13" t="s">
        <v>168</v>
      </c>
      <c r="D839" s="80" t="s">
        <v>4259</v>
      </c>
      <c r="E839" s="80" t="s">
        <v>4260</v>
      </c>
      <c r="F839" s="80" t="s">
        <v>4261</v>
      </c>
      <c r="G839" s="80" t="s">
        <v>4262</v>
      </c>
      <c r="H839" s="80" t="s">
        <v>115</v>
      </c>
      <c r="I839" s="80" t="s">
        <v>918</v>
      </c>
      <c r="J839" s="80" t="s">
        <v>117</v>
      </c>
      <c r="K839" s="80">
        <v>13</v>
      </c>
      <c r="L839" s="80" t="s">
        <v>4263</v>
      </c>
      <c r="M839" s="80" t="s">
        <v>4264</v>
      </c>
      <c r="N839" s="80" t="s">
        <v>120</v>
      </c>
      <c r="O839" s="80" t="s">
        <v>152</v>
      </c>
      <c r="P839" s="80" t="s">
        <v>581</v>
      </c>
      <c r="Q839" s="80" t="s">
        <v>123</v>
      </c>
      <c r="R839" s="80" t="s">
        <v>174</v>
      </c>
      <c r="S839" s="80">
        <v>6</v>
      </c>
      <c r="T839" s="80">
        <v>24</v>
      </c>
      <c r="U839" s="80" t="s">
        <v>179</v>
      </c>
      <c r="V839" s="80" t="s">
        <v>126</v>
      </c>
      <c r="W839" s="80" t="s">
        <v>127</v>
      </c>
      <c r="X839" s="80"/>
      <c r="Y839" s="80"/>
    </row>
    <row r="840" spans="1:25">
      <c r="A840" s="80">
        <f t="shared" si="13"/>
        <v>839</v>
      </c>
      <c r="B840" s="10">
        <v>45975.356701388897</v>
      </c>
      <c r="C840" s="13" t="s">
        <v>280</v>
      </c>
      <c r="D840" s="80" t="s">
        <v>4265</v>
      </c>
      <c r="E840" s="80" t="s">
        <v>4266</v>
      </c>
      <c r="F840" s="80" t="s">
        <v>4267</v>
      </c>
      <c r="G840" s="80" t="s">
        <v>4268</v>
      </c>
      <c r="H840" s="80" t="s">
        <v>115</v>
      </c>
      <c r="I840" s="80" t="s">
        <v>865</v>
      </c>
      <c r="J840" s="80" t="s">
        <v>9</v>
      </c>
      <c r="K840" s="80">
        <v>22</v>
      </c>
      <c r="L840" s="80" t="s">
        <v>4269</v>
      </c>
      <c r="M840" s="80" t="s">
        <v>4270</v>
      </c>
      <c r="N840" s="80" t="s">
        <v>120</v>
      </c>
      <c r="O840" s="80" t="s">
        <v>449</v>
      </c>
      <c r="P840" s="80" t="s">
        <v>135</v>
      </c>
      <c r="Q840" s="80" t="s">
        <v>123</v>
      </c>
      <c r="R840" s="80" t="s">
        <v>174</v>
      </c>
      <c r="S840" s="80">
        <v>1</v>
      </c>
      <c r="T840" s="80">
        <v>12</v>
      </c>
      <c r="U840" s="80" t="s">
        <v>288</v>
      </c>
      <c r="V840" s="80" t="s">
        <v>126</v>
      </c>
      <c r="W840" s="80" t="s">
        <v>127</v>
      </c>
      <c r="X840" s="80"/>
      <c r="Y840" s="80"/>
    </row>
    <row r="841" spans="1:25">
      <c r="A841" s="80">
        <f t="shared" si="13"/>
        <v>840</v>
      </c>
      <c r="B841" s="10">
        <v>45975.357430555603</v>
      </c>
      <c r="C841" s="13" t="s">
        <v>143</v>
      </c>
      <c r="D841" s="80" t="s">
        <v>4271</v>
      </c>
      <c r="E841" s="80" t="s">
        <v>4272</v>
      </c>
      <c r="F841" s="80" t="s">
        <v>4273</v>
      </c>
      <c r="G841" s="80" t="s">
        <v>4274</v>
      </c>
      <c r="H841" s="80" t="s">
        <v>3517</v>
      </c>
      <c r="I841" s="80" t="s">
        <v>46</v>
      </c>
      <c r="J841" s="80" t="s">
        <v>9</v>
      </c>
      <c r="K841" s="80">
        <v>21</v>
      </c>
      <c r="L841" s="80" t="s">
        <v>4275</v>
      </c>
      <c r="M841" s="80" t="s">
        <v>4276</v>
      </c>
      <c r="N841" s="80" t="s">
        <v>120</v>
      </c>
      <c r="O841" s="80" t="s">
        <v>240</v>
      </c>
      <c r="P841" s="80" t="s">
        <v>135</v>
      </c>
      <c r="Q841" s="80" t="s">
        <v>123</v>
      </c>
      <c r="R841" s="80" t="s">
        <v>136</v>
      </c>
      <c r="S841" s="80">
        <v>6</v>
      </c>
      <c r="T841" s="80">
        <v>18</v>
      </c>
      <c r="U841" s="80" t="s">
        <v>153</v>
      </c>
      <c r="V841" s="80" t="s">
        <v>126</v>
      </c>
      <c r="W841" s="80" t="s">
        <v>137</v>
      </c>
      <c r="X841" s="80"/>
      <c r="Y841" s="80"/>
    </row>
    <row r="842" spans="1:25">
      <c r="A842" s="80">
        <f t="shared" si="13"/>
        <v>841</v>
      </c>
      <c r="B842" s="10">
        <v>45975.443865740701</v>
      </c>
      <c r="C842" s="13" t="s">
        <v>1305</v>
      </c>
      <c r="D842" s="80" t="s">
        <v>4277</v>
      </c>
      <c r="E842" s="80" t="s">
        <v>4278</v>
      </c>
      <c r="F842" s="80" t="s">
        <v>4279</v>
      </c>
      <c r="G842" s="80" t="s">
        <v>4280</v>
      </c>
      <c r="H842" s="80" t="s">
        <v>115</v>
      </c>
      <c r="I842" s="80" t="s">
        <v>842</v>
      </c>
      <c r="J842" s="80" t="s">
        <v>117</v>
      </c>
      <c r="K842" s="80">
        <v>4</v>
      </c>
      <c r="L842" s="80" t="s">
        <v>4281</v>
      </c>
      <c r="M842" s="80" t="s">
        <v>4282</v>
      </c>
      <c r="N842" s="80" t="s">
        <v>164</v>
      </c>
      <c r="O842" s="80" t="s">
        <v>3141</v>
      </c>
      <c r="P842" s="80" t="s">
        <v>214</v>
      </c>
      <c r="Q842" s="80" t="s">
        <v>123</v>
      </c>
      <c r="R842" s="80" t="s">
        <v>136</v>
      </c>
      <c r="S842" s="80">
        <v>17</v>
      </c>
      <c r="T842" s="80">
        <v>18</v>
      </c>
      <c r="U842" s="80" t="s">
        <v>1312</v>
      </c>
      <c r="V842" s="80" t="s">
        <v>126</v>
      </c>
      <c r="W842" s="80" t="s">
        <v>127</v>
      </c>
      <c r="X842" s="80"/>
      <c r="Y842" s="80"/>
    </row>
    <row r="843" spans="1:25">
      <c r="A843" s="80">
        <f t="shared" si="13"/>
        <v>842</v>
      </c>
      <c r="B843" s="10">
        <v>45975.478935185201</v>
      </c>
      <c r="C843" s="13" t="s">
        <v>110</v>
      </c>
      <c r="D843" s="80" t="s">
        <v>4283</v>
      </c>
      <c r="E843" s="80" t="s">
        <v>4284</v>
      </c>
      <c r="F843" s="80" t="s">
        <v>4285</v>
      </c>
      <c r="G843" s="80" t="s">
        <v>4286</v>
      </c>
      <c r="H843" s="80" t="s">
        <v>115</v>
      </c>
      <c r="I843" s="80" t="s">
        <v>865</v>
      </c>
      <c r="J843" s="80" t="s">
        <v>117</v>
      </c>
      <c r="K843" s="80">
        <v>17</v>
      </c>
      <c r="L843" s="80" t="s">
        <v>4287</v>
      </c>
      <c r="M843" s="80" t="s">
        <v>4288</v>
      </c>
      <c r="N843" s="80" t="s">
        <v>164</v>
      </c>
      <c r="O843" s="80" t="s">
        <v>464</v>
      </c>
      <c r="P843" s="80" t="s">
        <v>231</v>
      </c>
      <c r="Q843" s="80" t="s">
        <v>123</v>
      </c>
      <c r="R843" s="80" t="s">
        <v>174</v>
      </c>
      <c r="S843" s="80">
        <v>5</v>
      </c>
      <c r="T843" s="80">
        <v>24</v>
      </c>
      <c r="U843" s="80" t="s">
        <v>125</v>
      </c>
      <c r="V843" s="80" t="s">
        <v>126</v>
      </c>
      <c r="W843" s="80" t="s">
        <v>127</v>
      </c>
      <c r="X843" s="80"/>
      <c r="Y843" s="80"/>
    </row>
    <row r="844" spans="1:25">
      <c r="A844" s="80">
        <f t="shared" si="13"/>
        <v>843</v>
      </c>
      <c r="B844" s="10">
        <v>45975.5065046296</v>
      </c>
      <c r="C844" s="13" t="s">
        <v>222</v>
      </c>
      <c r="D844" s="80" t="s">
        <v>4289</v>
      </c>
      <c r="E844" s="80" t="s">
        <v>2933</v>
      </c>
      <c r="F844" s="80" t="s">
        <v>2934</v>
      </c>
      <c r="G844" s="80" t="s">
        <v>2935</v>
      </c>
      <c r="H844" s="80" t="s">
        <v>115</v>
      </c>
      <c r="I844" s="80" t="s">
        <v>865</v>
      </c>
      <c r="J844" s="80" t="s">
        <v>9</v>
      </c>
      <c r="K844" s="80">
        <v>20</v>
      </c>
      <c r="L844" s="80" t="s">
        <v>2936</v>
      </c>
      <c r="M844" s="80" t="s">
        <v>2937</v>
      </c>
      <c r="N844" s="80" t="s">
        <v>120</v>
      </c>
      <c r="O844" s="80" t="s">
        <v>247</v>
      </c>
      <c r="P844" s="80" t="s">
        <v>214</v>
      </c>
      <c r="Q844" s="80" t="s">
        <v>123</v>
      </c>
      <c r="R844" s="80" t="s">
        <v>174</v>
      </c>
      <c r="S844" s="80">
        <v>2</v>
      </c>
      <c r="T844" s="80">
        <v>24</v>
      </c>
      <c r="U844" s="80" t="s">
        <v>232</v>
      </c>
      <c r="V844" s="80" t="s">
        <v>126</v>
      </c>
      <c r="W844" s="80" t="s">
        <v>127</v>
      </c>
      <c r="X844" s="80"/>
      <c r="Y844" s="80"/>
    </row>
    <row r="845" spans="1:25">
      <c r="A845" s="80">
        <f t="shared" si="13"/>
        <v>844</v>
      </c>
      <c r="B845" s="10">
        <v>45975.507916666698</v>
      </c>
      <c r="C845" s="13" t="s">
        <v>222</v>
      </c>
      <c r="D845" s="80" t="s">
        <v>4290</v>
      </c>
      <c r="E845" s="80" t="s">
        <v>4291</v>
      </c>
      <c r="F845" s="80" t="s">
        <v>4292</v>
      </c>
      <c r="G845" s="80" t="s">
        <v>4293</v>
      </c>
      <c r="H845" s="80" t="s">
        <v>115</v>
      </c>
      <c r="I845" s="80" t="s">
        <v>275</v>
      </c>
      <c r="J845" s="80" t="s">
        <v>117</v>
      </c>
      <c r="K845" s="80">
        <v>25</v>
      </c>
      <c r="L845" s="80" t="s">
        <v>4294</v>
      </c>
      <c r="M845" s="80" t="s">
        <v>4295</v>
      </c>
      <c r="N845" s="80" t="s">
        <v>120</v>
      </c>
      <c r="O845" s="80" t="s">
        <v>572</v>
      </c>
      <c r="P845" s="80" t="s">
        <v>214</v>
      </c>
      <c r="Q845" s="80" t="s">
        <v>123</v>
      </c>
      <c r="R845" s="80" t="s">
        <v>174</v>
      </c>
      <c r="S845" s="80">
        <v>4</v>
      </c>
      <c r="T845" s="80">
        <v>24</v>
      </c>
      <c r="U845" s="80" t="s">
        <v>232</v>
      </c>
      <c r="V845" s="80" t="s">
        <v>126</v>
      </c>
      <c r="W845" s="80" t="s">
        <v>127</v>
      </c>
      <c r="X845" s="80"/>
      <c r="Y845" s="80"/>
    </row>
    <row r="846" spans="1:25">
      <c r="A846" s="80">
        <f t="shared" si="13"/>
        <v>845</v>
      </c>
      <c r="B846" s="10">
        <v>45975.512488425898</v>
      </c>
      <c r="C846" s="13" t="s">
        <v>320</v>
      </c>
      <c r="D846" s="80" t="s">
        <v>4296</v>
      </c>
      <c r="E846" s="80" t="s">
        <v>4297</v>
      </c>
      <c r="F846" s="80" t="s">
        <v>4298</v>
      </c>
      <c r="G846" s="80" t="s">
        <v>4299</v>
      </c>
      <c r="H846" s="80" t="s">
        <v>115</v>
      </c>
      <c r="I846" s="80" t="s">
        <v>865</v>
      </c>
      <c r="J846" s="80" t="s">
        <v>117</v>
      </c>
      <c r="K846" s="80">
        <v>19</v>
      </c>
      <c r="L846" s="80" t="s">
        <v>4300</v>
      </c>
      <c r="M846" s="80" t="s">
        <v>4301</v>
      </c>
      <c r="N846" s="80" t="s">
        <v>164</v>
      </c>
      <c r="O846" s="80" t="s">
        <v>4302</v>
      </c>
      <c r="P846" s="80" t="s">
        <v>465</v>
      </c>
      <c r="Q846" s="80" t="s">
        <v>123</v>
      </c>
      <c r="R846" s="80" t="s">
        <v>174</v>
      </c>
      <c r="S846" s="80">
        <v>11</v>
      </c>
      <c r="T846" s="80">
        <v>18</v>
      </c>
      <c r="U846" s="80" t="s">
        <v>328</v>
      </c>
      <c r="V846" s="80" t="s">
        <v>126</v>
      </c>
      <c r="W846" s="80" t="s">
        <v>127</v>
      </c>
      <c r="X846" s="80"/>
      <c r="Y846" s="80"/>
    </row>
    <row r="847" spans="1:25">
      <c r="A847" s="80">
        <f t="shared" si="13"/>
        <v>846</v>
      </c>
      <c r="B847" s="10">
        <v>45975.515231481499</v>
      </c>
      <c r="C847" s="13" t="s">
        <v>320</v>
      </c>
      <c r="D847" s="80" t="s">
        <v>4303</v>
      </c>
      <c r="E847" s="80" t="s">
        <v>4304</v>
      </c>
      <c r="F847" s="80" t="s">
        <v>4305</v>
      </c>
      <c r="G847" s="80" t="s">
        <v>4306</v>
      </c>
      <c r="H847" s="80" t="s">
        <v>174</v>
      </c>
      <c r="I847" s="80" t="s">
        <v>173</v>
      </c>
      <c r="J847" s="80" t="s">
        <v>9</v>
      </c>
      <c r="K847" s="80">
        <v>1</v>
      </c>
      <c r="L847" s="80" t="s">
        <v>4307</v>
      </c>
      <c r="M847" s="80" t="s">
        <v>4308</v>
      </c>
      <c r="N847" s="80" t="s">
        <v>120</v>
      </c>
      <c r="O847" s="80" t="s">
        <v>152</v>
      </c>
      <c r="P847" s="80" t="s">
        <v>581</v>
      </c>
      <c r="Q847" s="80" t="s">
        <v>123</v>
      </c>
      <c r="R847" s="80" t="s">
        <v>174</v>
      </c>
      <c r="S847" s="80">
        <v>2</v>
      </c>
      <c r="T847" s="80">
        <v>24</v>
      </c>
      <c r="U847" s="80" t="s">
        <v>328</v>
      </c>
      <c r="V847" s="80" t="s">
        <v>126</v>
      </c>
      <c r="W847" s="80" t="s">
        <v>127</v>
      </c>
      <c r="X847" s="80"/>
      <c r="Y847" s="80"/>
    </row>
    <row r="848" spans="1:25">
      <c r="A848" s="80">
        <f t="shared" si="13"/>
        <v>847</v>
      </c>
      <c r="B848" s="10">
        <v>45975.550821759301</v>
      </c>
      <c r="C848" s="13" t="s">
        <v>880</v>
      </c>
      <c r="D848" s="80" t="s">
        <v>4309</v>
      </c>
      <c r="E848" s="80" t="s">
        <v>2543</v>
      </c>
      <c r="F848" s="80" t="s">
        <v>2544</v>
      </c>
      <c r="G848" s="80" t="s">
        <v>2545</v>
      </c>
      <c r="H848" s="80" t="s">
        <v>115</v>
      </c>
      <c r="I848" s="80" t="s">
        <v>865</v>
      </c>
      <c r="J848" s="80" t="s">
        <v>117</v>
      </c>
      <c r="K848" s="80">
        <v>22</v>
      </c>
      <c r="L848" s="80" t="s">
        <v>2546</v>
      </c>
      <c r="M848" s="80" t="s">
        <v>2547</v>
      </c>
      <c r="N848" s="80" t="s">
        <v>164</v>
      </c>
      <c r="O848" s="80" t="s">
        <v>1877</v>
      </c>
      <c r="P848" s="80" t="s">
        <v>178</v>
      </c>
      <c r="Q848" s="80" t="s">
        <v>123</v>
      </c>
      <c r="R848" s="80" t="s">
        <v>174</v>
      </c>
      <c r="S848" s="80">
        <v>4</v>
      </c>
      <c r="T848" s="80">
        <v>12</v>
      </c>
      <c r="U848" s="80" t="s">
        <v>882</v>
      </c>
      <c r="V848" s="80" t="s">
        <v>126</v>
      </c>
      <c r="W848" s="80" t="s">
        <v>127</v>
      </c>
      <c r="X848" s="80"/>
      <c r="Y848" s="80"/>
    </row>
    <row r="849" spans="1:25">
      <c r="A849" s="80">
        <f t="shared" si="13"/>
        <v>848</v>
      </c>
      <c r="B849" s="10">
        <v>45975.5535185185</v>
      </c>
      <c r="C849" s="13" t="s">
        <v>880</v>
      </c>
      <c r="D849" s="80" t="s">
        <v>4310</v>
      </c>
      <c r="E849" s="80" t="s">
        <v>4311</v>
      </c>
      <c r="F849" s="80" t="s">
        <v>4312</v>
      </c>
      <c r="G849" s="80" t="s">
        <v>4313</v>
      </c>
      <c r="H849" s="80" t="s">
        <v>174</v>
      </c>
      <c r="I849" s="80" t="s">
        <v>173</v>
      </c>
      <c r="J849" s="80" t="s">
        <v>9</v>
      </c>
      <c r="K849" s="80">
        <v>1</v>
      </c>
      <c r="L849" s="80" t="s">
        <v>4314</v>
      </c>
      <c r="M849" s="80" t="s">
        <v>4315</v>
      </c>
      <c r="N849" s="80" t="s">
        <v>120</v>
      </c>
      <c r="O849" s="80" t="s">
        <v>152</v>
      </c>
      <c r="P849" s="80" t="s">
        <v>2098</v>
      </c>
      <c r="Q849" s="80" t="s">
        <v>123</v>
      </c>
      <c r="R849" s="80" t="s">
        <v>174</v>
      </c>
      <c r="S849" s="80">
        <v>16</v>
      </c>
      <c r="T849" s="80">
        <v>18</v>
      </c>
      <c r="U849" s="80" t="s">
        <v>882</v>
      </c>
      <c r="V849" s="80" t="s">
        <v>126</v>
      </c>
      <c r="W849" s="80" t="s">
        <v>127</v>
      </c>
      <c r="X849" s="80"/>
      <c r="Y849" s="80"/>
    </row>
    <row r="850" spans="1:25">
      <c r="A850" s="80">
        <f t="shared" si="13"/>
        <v>849</v>
      </c>
      <c r="B850" s="10">
        <v>45975.560775462996</v>
      </c>
      <c r="C850" s="13" t="s">
        <v>563</v>
      </c>
      <c r="D850" s="80" t="s">
        <v>4316</v>
      </c>
      <c r="E850" s="80" t="s">
        <v>4317</v>
      </c>
      <c r="F850" s="80" t="s">
        <v>4318</v>
      </c>
      <c r="G850" s="80" t="s">
        <v>4319</v>
      </c>
      <c r="H850" s="80" t="s">
        <v>115</v>
      </c>
      <c r="I850" s="80" t="s">
        <v>865</v>
      </c>
      <c r="J850" s="80" t="s">
        <v>117</v>
      </c>
      <c r="K850" s="80">
        <v>14</v>
      </c>
      <c r="L850" s="80" t="s">
        <v>4320</v>
      </c>
      <c r="M850" s="80" t="s">
        <v>4321</v>
      </c>
      <c r="N850" s="80" t="s">
        <v>517</v>
      </c>
      <c r="O850" s="80" t="s">
        <v>518</v>
      </c>
      <c r="P850" s="80" t="s">
        <v>588</v>
      </c>
      <c r="Q850" s="80" t="s">
        <v>123</v>
      </c>
      <c r="R850" s="80" t="s">
        <v>174</v>
      </c>
      <c r="S850" s="80">
        <v>7</v>
      </c>
      <c r="T850" s="80">
        <v>18</v>
      </c>
      <c r="U850" s="80" t="s">
        <v>565</v>
      </c>
      <c r="V850" s="80" t="s">
        <v>126</v>
      </c>
      <c r="W850" s="80" t="s">
        <v>127</v>
      </c>
      <c r="X850" s="80"/>
      <c r="Y850" s="80"/>
    </row>
    <row r="851" spans="1:25">
      <c r="A851" s="80">
        <f t="shared" si="13"/>
        <v>850</v>
      </c>
      <c r="B851" s="10">
        <v>45975.5713888889</v>
      </c>
      <c r="C851" s="13" t="s">
        <v>329</v>
      </c>
      <c r="D851" s="80" t="s">
        <v>4322</v>
      </c>
      <c r="E851" s="80" t="s">
        <v>4323</v>
      </c>
      <c r="F851" s="80" t="s">
        <v>4324</v>
      </c>
      <c r="G851" s="80" t="s">
        <v>4325</v>
      </c>
      <c r="H851" s="80" t="s">
        <v>174</v>
      </c>
      <c r="I851" s="80" t="s">
        <v>173</v>
      </c>
      <c r="J851" s="80" t="s">
        <v>9</v>
      </c>
      <c r="K851" s="80">
        <v>1</v>
      </c>
      <c r="L851" s="80" t="s">
        <v>4326</v>
      </c>
      <c r="M851" s="80" t="s">
        <v>4327</v>
      </c>
      <c r="N851" s="80" t="s">
        <v>120</v>
      </c>
      <c r="O851" s="80" t="s">
        <v>4328</v>
      </c>
      <c r="P851" s="80" t="s">
        <v>269</v>
      </c>
      <c r="Q851" s="80" t="s">
        <v>123</v>
      </c>
      <c r="R851" s="80" t="s">
        <v>174</v>
      </c>
      <c r="S851" s="80">
        <v>18</v>
      </c>
      <c r="T851" s="80">
        <v>18</v>
      </c>
      <c r="U851" s="80" t="s">
        <v>336</v>
      </c>
      <c r="V851" s="80" t="s">
        <v>126</v>
      </c>
      <c r="W851" s="80" t="s">
        <v>127</v>
      </c>
      <c r="X851" s="80"/>
      <c r="Y851" s="80"/>
    </row>
    <row r="852" spans="1:25">
      <c r="A852" s="80">
        <f t="shared" si="13"/>
        <v>851</v>
      </c>
      <c r="B852" s="10">
        <v>45975.609363425901</v>
      </c>
      <c r="C852" s="13" t="s">
        <v>261</v>
      </c>
      <c r="D852" s="80" t="s">
        <v>4329</v>
      </c>
      <c r="E852" s="80" t="s">
        <v>4330</v>
      </c>
      <c r="F852" s="80" t="s">
        <v>4331</v>
      </c>
      <c r="G852" s="80" t="s">
        <v>4332</v>
      </c>
      <c r="H852" s="80" t="s">
        <v>115</v>
      </c>
      <c r="I852" s="80" t="s">
        <v>865</v>
      </c>
      <c r="J852" s="80" t="s">
        <v>117</v>
      </c>
      <c r="K852" s="80">
        <v>18</v>
      </c>
      <c r="L852" s="80" t="s">
        <v>4333</v>
      </c>
      <c r="M852" s="80" t="s">
        <v>4334</v>
      </c>
      <c r="N852" s="80" t="s">
        <v>120</v>
      </c>
      <c r="O852" s="80" t="s">
        <v>152</v>
      </c>
      <c r="P852" s="80" t="s">
        <v>178</v>
      </c>
      <c r="Q852" s="80" t="s">
        <v>123</v>
      </c>
      <c r="R852" s="80" t="s">
        <v>174</v>
      </c>
      <c r="S852" s="80">
        <v>12</v>
      </c>
      <c r="T852" s="80">
        <v>12</v>
      </c>
      <c r="U852" s="80" t="s">
        <v>270</v>
      </c>
      <c r="V852" s="80" t="s">
        <v>126</v>
      </c>
      <c r="W852" s="80" t="s">
        <v>127</v>
      </c>
      <c r="X852" s="80"/>
      <c r="Y852" s="80"/>
    </row>
    <row r="853" spans="1:25">
      <c r="A853" s="80">
        <f t="shared" si="13"/>
        <v>852</v>
      </c>
      <c r="B853" s="10">
        <v>45975.609861111101</v>
      </c>
      <c r="C853" s="13" t="s">
        <v>320</v>
      </c>
      <c r="D853" s="80" t="s">
        <v>4335</v>
      </c>
      <c r="E853" s="80" t="s">
        <v>4336</v>
      </c>
      <c r="F853" s="80" t="s">
        <v>4337</v>
      </c>
      <c r="G853" s="80" t="s">
        <v>4338</v>
      </c>
      <c r="H853" s="80" t="s">
        <v>174</v>
      </c>
      <c r="I853" s="80" t="s">
        <v>173</v>
      </c>
      <c r="J853" s="80" t="s">
        <v>9</v>
      </c>
      <c r="K853" s="80">
        <v>1</v>
      </c>
      <c r="L853" s="80" t="s">
        <v>4339</v>
      </c>
      <c r="M853" s="80" t="s">
        <v>4340</v>
      </c>
      <c r="N853" s="80" t="s">
        <v>120</v>
      </c>
      <c r="O853" s="80" t="s">
        <v>213</v>
      </c>
      <c r="P853" s="80" t="s">
        <v>269</v>
      </c>
      <c r="Q853" s="80" t="s">
        <v>123</v>
      </c>
      <c r="R853" s="80" t="s">
        <v>174</v>
      </c>
      <c r="S853" s="80">
        <v>23</v>
      </c>
      <c r="T853" s="80">
        <v>24</v>
      </c>
      <c r="U853" s="80" t="s">
        <v>328</v>
      </c>
      <c r="V853" s="80" t="s">
        <v>126</v>
      </c>
      <c r="W853" s="80" t="s">
        <v>127</v>
      </c>
      <c r="X853" s="80"/>
      <c r="Y853" s="80"/>
    </row>
    <row r="854" spans="1:25">
      <c r="A854" s="80">
        <f t="shared" si="13"/>
        <v>853</v>
      </c>
      <c r="B854" s="10">
        <v>45975.610023148103</v>
      </c>
      <c r="C854" s="13" t="s">
        <v>604</v>
      </c>
      <c r="D854" s="80" t="s">
        <v>4341</v>
      </c>
      <c r="E854" s="80" t="s">
        <v>4342</v>
      </c>
      <c r="F854" s="80" t="s">
        <v>4343</v>
      </c>
      <c r="G854" s="80" t="s">
        <v>4344</v>
      </c>
      <c r="H854" s="80" t="s">
        <v>115</v>
      </c>
      <c r="I854" s="80" t="s">
        <v>918</v>
      </c>
      <c r="J854" s="80" t="s">
        <v>117</v>
      </c>
      <c r="K854" s="80">
        <v>11</v>
      </c>
      <c r="L854" s="80" t="s">
        <v>4345</v>
      </c>
      <c r="M854" s="80" t="s">
        <v>4346</v>
      </c>
      <c r="N854" s="80" t="s">
        <v>120</v>
      </c>
      <c r="O854" s="80" t="s">
        <v>152</v>
      </c>
      <c r="P854" s="80" t="s">
        <v>588</v>
      </c>
      <c r="Q854" s="80" t="s">
        <v>123</v>
      </c>
      <c r="R854" s="80" t="s">
        <v>174</v>
      </c>
      <c r="S854" s="80">
        <v>12</v>
      </c>
      <c r="T854" s="80">
        <v>24</v>
      </c>
      <c r="U854" s="80" t="s">
        <v>613</v>
      </c>
      <c r="V854" s="80" t="s">
        <v>126</v>
      </c>
      <c r="W854" s="80" t="s">
        <v>127</v>
      </c>
      <c r="X854" s="80"/>
      <c r="Y854" s="80"/>
    </row>
    <row r="855" spans="1:25">
      <c r="A855" s="80">
        <f t="shared" si="13"/>
        <v>854</v>
      </c>
      <c r="B855" s="10">
        <v>45975.6116203704</v>
      </c>
      <c r="C855" s="13" t="s">
        <v>563</v>
      </c>
      <c r="D855" s="80" t="s">
        <v>4347</v>
      </c>
      <c r="E855" s="80" t="s">
        <v>4348</v>
      </c>
      <c r="F855" s="80" t="s">
        <v>4349</v>
      </c>
      <c r="G855" s="80" t="s">
        <v>4350</v>
      </c>
      <c r="H855" s="80" t="s">
        <v>115</v>
      </c>
      <c r="I855" s="80" t="s">
        <v>865</v>
      </c>
      <c r="J855" s="80" t="s">
        <v>117</v>
      </c>
      <c r="K855" s="80">
        <v>9</v>
      </c>
      <c r="L855" s="80" t="s">
        <v>4351</v>
      </c>
      <c r="M855" s="80" t="s">
        <v>4352</v>
      </c>
      <c r="N855" s="80" t="s">
        <v>120</v>
      </c>
      <c r="O855" s="80" t="s">
        <v>449</v>
      </c>
      <c r="P855" s="80" t="s">
        <v>178</v>
      </c>
      <c r="Q855" s="80" t="s">
        <v>123</v>
      </c>
      <c r="R855" s="80" t="s">
        <v>174</v>
      </c>
      <c r="S855" s="80">
        <v>5</v>
      </c>
      <c r="T855" s="80">
        <v>18</v>
      </c>
      <c r="U855" s="80" t="s">
        <v>565</v>
      </c>
      <c r="V855" s="80" t="s">
        <v>126</v>
      </c>
      <c r="W855" s="80" t="s">
        <v>127</v>
      </c>
      <c r="X855" s="80"/>
      <c r="Y855" s="80"/>
    </row>
    <row r="856" spans="1:25">
      <c r="A856" s="80">
        <f t="shared" si="13"/>
        <v>855</v>
      </c>
      <c r="B856" s="10">
        <v>45975.613437499997</v>
      </c>
      <c r="C856" s="13" t="s">
        <v>604</v>
      </c>
      <c r="D856" s="80" t="s">
        <v>4353</v>
      </c>
      <c r="E856" s="80" t="s">
        <v>4354</v>
      </c>
      <c r="F856" s="80" t="s">
        <v>4355</v>
      </c>
      <c r="G856" s="80" t="s">
        <v>4356</v>
      </c>
      <c r="H856" s="80" t="s">
        <v>1185</v>
      </c>
      <c r="I856" s="80" t="s">
        <v>1186</v>
      </c>
      <c r="J856" s="80" t="s">
        <v>9</v>
      </c>
      <c r="K856" s="80">
        <v>19</v>
      </c>
      <c r="L856" s="80" t="s">
        <v>4357</v>
      </c>
      <c r="M856" s="80" t="s">
        <v>4358</v>
      </c>
      <c r="N856" s="80" t="s">
        <v>120</v>
      </c>
      <c r="O856" s="80" t="s">
        <v>152</v>
      </c>
      <c r="P856" s="80" t="s">
        <v>178</v>
      </c>
      <c r="Q856" s="80" t="s">
        <v>123</v>
      </c>
      <c r="R856" s="80" t="s">
        <v>136</v>
      </c>
      <c r="S856" s="80">
        <v>2</v>
      </c>
      <c r="T856" s="80">
        <v>18</v>
      </c>
      <c r="U856" s="80" t="s">
        <v>613</v>
      </c>
      <c r="V856" s="80" t="s">
        <v>126</v>
      </c>
      <c r="W856" s="80" t="s">
        <v>1770</v>
      </c>
      <c r="X856" s="80"/>
      <c r="Y856" s="80"/>
    </row>
    <row r="857" spans="1:25">
      <c r="A857" s="80">
        <f t="shared" si="13"/>
        <v>856</v>
      </c>
      <c r="B857" s="10">
        <v>45975.613564814797</v>
      </c>
      <c r="C857" s="13" t="s">
        <v>329</v>
      </c>
      <c r="D857" s="80" t="s">
        <v>4359</v>
      </c>
      <c r="E857" s="80" t="s">
        <v>4360</v>
      </c>
      <c r="F857" s="80" t="s">
        <v>4361</v>
      </c>
      <c r="G857" s="80" t="s">
        <v>4362</v>
      </c>
      <c r="H857" s="80" t="s">
        <v>174</v>
      </c>
      <c r="I857" s="80" t="s">
        <v>173</v>
      </c>
      <c r="J857" s="80" t="s">
        <v>9</v>
      </c>
      <c r="K857" s="80">
        <v>1</v>
      </c>
      <c r="L857" s="80" t="s">
        <v>4363</v>
      </c>
      <c r="M857" s="80" t="s">
        <v>4364</v>
      </c>
      <c r="N857" s="80" t="s">
        <v>120</v>
      </c>
      <c r="O857" s="80" t="s">
        <v>152</v>
      </c>
      <c r="P857" s="80" t="s">
        <v>2290</v>
      </c>
      <c r="Q857" s="80" t="s">
        <v>123</v>
      </c>
      <c r="R857" s="80" t="s">
        <v>174</v>
      </c>
      <c r="S857" s="80">
        <v>3</v>
      </c>
      <c r="T857" s="80">
        <v>12</v>
      </c>
      <c r="U857" s="80" t="s">
        <v>336</v>
      </c>
      <c r="V857" s="80" t="s">
        <v>126</v>
      </c>
      <c r="W857" s="80" t="s">
        <v>127</v>
      </c>
      <c r="X857" s="80"/>
      <c r="Y857" s="80"/>
    </row>
    <row r="858" spans="1:25">
      <c r="A858" s="80">
        <f t="shared" si="13"/>
        <v>857</v>
      </c>
      <c r="B858" s="10">
        <v>45975.613726851901</v>
      </c>
      <c r="C858" s="13" t="s">
        <v>222</v>
      </c>
      <c r="D858" s="80" t="s">
        <v>4365</v>
      </c>
      <c r="E858" s="80" t="s">
        <v>4360</v>
      </c>
      <c r="F858" s="80" t="s">
        <v>4361</v>
      </c>
      <c r="G858" s="80" t="s">
        <v>4362</v>
      </c>
      <c r="H858" s="80" t="s">
        <v>174</v>
      </c>
      <c r="I858" s="80" t="s">
        <v>173</v>
      </c>
      <c r="J858" s="80" t="s">
        <v>9</v>
      </c>
      <c r="K858" s="80">
        <v>1</v>
      </c>
      <c r="L858" s="80" t="s">
        <v>4363</v>
      </c>
      <c r="M858" s="80" t="s">
        <v>4364</v>
      </c>
      <c r="N858" s="80" t="s">
        <v>120</v>
      </c>
      <c r="O858" s="80" t="s">
        <v>152</v>
      </c>
      <c r="P858" s="80" t="s">
        <v>2290</v>
      </c>
      <c r="Q858" s="80" t="s">
        <v>123</v>
      </c>
      <c r="R858" s="80" t="s">
        <v>174</v>
      </c>
      <c r="S858" s="80">
        <v>3</v>
      </c>
      <c r="T858" s="80">
        <v>12</v>
      </c>
      <c r="U858" s="80" t="s">
        <v>232</v>
      </c>
      <c r="V858" s="80" t="s">
        <v>126</v>
      </c>
      <c r="W858" s="80" t="s">
        <v>127</v>
      </c>
      <c r="X858" s="80"/>
      <c r="Y858" s="80"/>
    </row>
    <row r="859" spans="1:25">
      <c r="A859" s="80">
        <f t="shared" si="13"/>
        <v>858</v>
      </c>
      <c r="B859" s="10">
        <v>45975.615162037</v>
      </c>
      <c r="C859" s="13" t="s">
        <v>563</v>
      </c>
      <c r="D859" s="80" t="s">
        <v>4366</v>
      </c>
      <c r="E859" s="80" t="s">
        <v>4367</v>
      </c>
      <c r="F859" s="80" t="s">
        <v>4368</v>
      </c>
      <c r="G859" s="80" t="s">
        <v>4369</v>
      </c>
      <c r="H859" s="80" t="s">
        <v>115</v>
      </c>
      <c r="I859" s="80" t="s">
        <v>252</v>
      </c>
      <c r="J859" s="80" t="s">
        <v>117</v>
      </c>
      <c r="K859" s="80">
        <v>8</v>
      </c>
      <c r="L859" s="80" t="s">
        <v>4370</v>
      </c>
      <c r="M859" s="80" t="s">
        <v>4371</v>
      </c>
      <c r="N859" s="80" t="s">
        <v>164</v>
      </c>
      <c r="O859" s="80" t="s">
        <v>538</v>
      </c>
      <c r="P859" s="80" t="s">
        <v>231</v>
      </c>
      <c r="Q859" s="80" t="s">
        <v>123</v>
      </c>
      <c r="R859" s="80" t="s">
        <v>174</v>
      </c>
      <c r="S859" s="80">
        <v>12</v>
      </c>
      <c r="T859" s="80">
        <v>12</v>
      </c>
      <c r="U859" s="80" t="s">
        <v>565</v>
      </c>
      <c r="V859" s="80" t="s">
        <v>126</v>
      </c>
      <c r="W859" s="80" t="s">
        <v>127</v>
      </c>
      <c r="X859" s="80"/>
      <c r="Y859" s="80"/>
    </row>
    <row r="860" spans="1:25">
      <c r="A860" s="80">
        <f t="shared" si="13"/>
        <v>859</v>
      </c>
      <c r="B860" s="10">
        <v>45975.619814814803</v>
      </c>
      <c r="C860" s="13" t="s">
        <v>563</v>
      </c>
      <c r="D860" s="80" t="s">
        <v>4372</v>
      </c>
      <c r="E860" s="80" t="s">
        <v>4373</v>
      </c>
      <c r="F860" s="80" t="s">
        <v>4374</v>
      </c>
      <c r="G860" s="80" t="s">
        <v>4375</v>
      </c>
      <c r="H860" s="80" t="s">
        <v>174</v>
      </c>
      <c r="I860" s="80" t="s">
        <v>173</v>
      </c>
      <c r="J860" s="80" t="s">
        <v>9</v>
      </c>
      <c r="K860" s="80">
        <v>8</v>
      </c>
      <c r="L860" s="80" t="s">
        <v>4376</v>
      </c>
      <c r="M860" s="80" t="s">
        <v>4377</v>
      </c>
      <c r="N860" s="80" t="s">
        <v>164</v>
      </c>
      <c r="O860" s="80" t="s">
        <v>2774</v>
      </c>
      <c r="P860" s="80" t="s">
        <v>135</v>
      </c>
      <c r="Q860" s="80" t="s">
        <v>123</v>
      </c>
      <c r="R860" s="80" t="s">
        <v>174</v>
      </c>
      <c r="S860" s="80">
        <v>4</v>
      </c>
      <c r="T860" s="80">
        <v>18</v>
      </c>
      <c r="U860" s="80" t="s">
        <v>565</v>
      </c>
      <c r="V860" s="80" t="s">
        <v>126</v>
      </c>
      <c r="W860" s="80" t="s">
        <v>127</v>
      </c>
      <c r="X860" s="80"/>
      <c r="Y860" s="80"/>
    </row>
    <row r="861" spans="1:25">
      <c r="A861" s="80">
        <f t="shared" si="13"/>
        <v>860</v>
      </c>
      <c r="B861" s="10">
        <v>45975.619976851798</v>
      </c>
      <c r="C861" s="13" t="s">
        <v>320</v>
      </c>
      <c r="D861" s="80" t="s">
        <v>4378</v>
      </c>
      <c r="E861" s="80" t="s">
        <v>4379</v>
      </c>
      <c r="F861" s="80" t="s">
        <v>1577</v>
      </c>
      <c r="G861" s="80" t="s">
        <v>4380</v>
      </c>
      <c r="H861" s="80" t="s">
        <v>115</v>
      </c>
      <c r="I861" s="80" t="s">
        <v>865</v>
      </c>
      <c r="J861" s="80" t="s">
        <v>117</v>
      </c>
      <c r="K861" s="80">
        <v>21</v>
      </c>
      <c r="L861" s="80" t="s">
        <v>4381</v>
      </c>
      <c r="M861" s="80" t="s">
        <v>4382</v>
      </c>
      <c r="N861" s="80" t="s">
        <v>120</v>
      </c>
      <c r="O861" s="80" t="s">
        <v>152</v>
      </c>
      <c r="P861" s="80" t="s">
        <v>304</v>
      </c>
      <c r="Q861" s="80" t="s">
        <v>123</v>
      </c>
      <c r="R861" s="80" t="s">
        <v>174</v>
      </c>
      <c r="S861" s="80">
        <v>5</v>
      </c>
      <c r="T861" s="80">
        <v>18</v>
      </c>
      <c r="U861" s="80" t="s">
        <v>328</v>
      </c>
      <c r="V861" s="80" t="s">
        <v>126</v>
      </c>
      <c r="W861" s="80" t="s">
        <v>127</v>
      </c>
      <c r="X861" s="80"/>
      <c r="Y861" s="80"/>
    </row>
    <row r="862" spans="1:25">
      <c r="A862" s="80">
        <f t="shared" si="13"/>
        <v>861</v>
      </c>
      <c r="B862" s="10">
        <v>45975.626400462999</v>
      </c>
      <c r="C862" s="13" t="s">
        <v>320</v>
      </c>
      <c r="D862" s="80" t="s">
        <v>4383</v>
      </c>
      <c r="E862" s="80" t="s">
        <v>4384</v>
      </c>
      <c r="F862" s="80" t="s">
        <v>4385</v>
      </c>
      <c r="G862" s="80" t="s">
        <v>4386</v>
      </c>
      <c r="H862" s="80" t="s">
        <v>115</v>
      </c>
      <c r="I862" s="80" t="s">
        <v>865</v>
      </c>
      <c r="J862" s="80" t="s">
        <v>117</v>
      </c>
      <c r="K862" s="80">
        <v>15</v>
      </c>
      <c r="L862" s="80" t="s">
        <v>4387</v>
      </c>
      <c r="M862" s="80" t="s">
        <v>4388</v>
      </c>
      <c r="N862" s="80" t="s">
        <v>164</v>
      </c>
      <c r="O862" s="80" t="s">
        <v>3247</v>
      </c>
      <c r="P862" s="80" t="s">
        <v>135</v>
      </c>
      <c r="Q862" s="80" t="s">
        <v>123</v>
      </c>
      <c r="R862" s="80" t="s">
        <v>174</v>
      </c>
      <c r="S862" s="80">
        <v>4</v>
      </c>
      <c r="T862" s="80">
        <v>12</v>
      </c>
      <c r="U862" s="80" t="s">
        <v>328</v>
      </c>
      <c r="V862" s="80" t="s">
        <v>126</v>
      </c>
      <c r="W862" s="80" t="s">
        <v>127</v>
      </c>
      <c r="X862" s="80"/>
      <c r="Y862" s="80"/>
    </row>
    <row r="863" spans="1:25">
      <c r="A863" s="80">
        <f t="shared" si="13"/>
        <v>862</v>
      </c>
      <c r="B863" s="10">
        <v>45975.626840277801</v>
      </c>
      <c r="C863" s="13" t="s">
        <v>320</v>
      </c>
      <c r="D863" s="80" t="s">
        <v>4389</v>
      </c>
      <c r="E863" s="80" t="s">
        <v>4390</v>
      </c>
      <c r="F863" s="80" t="s">
        <v>4391</v>
      </c>
      <c r="G863" s="80" t="s">
        <v>4392</v>
      </c>
      <c r="H863" s="80" t="s">
        <v>115</v>
      </c>
      <c r="I863" s="80" t="s">
        <v>865</v>
      </c>
      <c r="J863" s="80" t="s">
        <v>9</v>
      </c>
      <c r="K863" s="80">
        <v>9</v>
      </c>
      <c r="L863" s="80" t="s">
        <v>4393</v>
      </c>
      <c r="M863" s="80" t="s">
        <v>4394</v>
      </c>
      <c r="N863" s="80" t="s">
        <v>120</v>
      </c>
      <c r="O863" s="80" t="s">
        <v>943</v>
      </c>
      <c r="P863" s="80" t="s">
        <v>214</v>
      </c>
      <c r="Q863" s="80" t="s">
        <v>123</v>
      </c>
      <c r="R863" s="80" t="s">
        <v>174</v>
      </c>
      <c r="S863" s="80">
        <v>1</v>
      </c>
      <c r="T863" s="80">
        <v>18</v>
      </c>
      <c r="U863" s="80" t="s">
        <v>328</v>
      </c>
      <c r="V863" s="80" t="s">
        <v>126</v>
      </c>
      <c r="W863" s="80" t="s">
        <v>127</v>
      </c>
      <c r="X863" s="80"/>
      <c r="Y863" s="80"/>
    </row>
    <row r="864" spans="1:25">
      <c r="A864" s="80">
        <f t="shared" si="13"/>
        <v>863</v>
      </c>
      <c r="B864" s="10">
        <v>45975.635358796302</v>
      </c>
      <c r="C864" s="13" t="s">
        <v>320</v>
      </c>
      <c r="D864" s="80" t="s">
        <v>4395</v>
      </c>
      <c r="E864" s="80" t="s">
        <v>1041</v>
      </c>
      <c r="F864" s="80" t="s">
        <v>1042</v>
      </c>
      <c r="G864" s="80" t="s">
        <v>1043</v>
      </c>
      <c r="H864" s="80" t="s">
        <v>115</v>
      </c>
      <c r="I864" s="80" t="s">
        <v>865</v>
      </c>
      <c r="J864" s="80" t="s">
        <v>9</v>
      </c>
      <c r="K864" s="80">
        <v>20</v>
      </c>
      <c r="L864" s="80" t="s">
        <v>1044</v>
      </c>
      <c r="M864" s="80" t="s">
        <v>1045</v>
      </c>
      <c r="N864" s="80" t="s">
        <v>120</v>
      </c>
      <c r="O864" s="80" t="s">
        <v>449</v>
      </c>
      <c r="P864" s="80" t="s">
        <v>135</v>
      </c>
      <c r="Q864" s="80" t="s">
        <v>123</v>
      </c>
      <c r="R864" s="80" t="s">
        <v>174</v>
      </c>
      <c r="S864" s="80">
        <v>1</v>
      </c>
      <c r="T864" s="80">
        <v>18</v>
      </c>
      <c r="U864" s="80" t="s">
        <v>328</v>
      </c>
      <c r="V864" s="80" t="s">
        <v>126</v>
      </c>
      <c r="W864" s="80" t="s">
        <v>127</v>
      </c>
      <c r="X864" s="80"/>
      <c r="Y864" s="80"/>
    </row>
    <row r="865" spans="1:25">
      <c r="A865" s="80">
        <f t="shared" si="13"/>
        <v>864</v>
      </c>
      <c r="B865" s="10">
        <v>45975.640046296299</v>
      </c>
      <c r="C865" s="13" t="s">
        <v>280</v>
      </c>
      <c r="D865" s="80" t="s">
        <v>4396</v>
      </c>
      <c r="E865" s="80" t="s">
        <v>4397</v>
      </c>
      <c r="F865" s="80" t="s">
        <v>20</v>
      </c>
      <c r="G865" s="80" t="s">
        <v>4398</v>
      </c>
      <c r="H865" s="80" t="s">
        <v>115</v>
      </c>
      <c r="I865" s="80" t="s">
        <v>918</v>
      </c>
      <c r="J865" s="80" t="s">
        <v>117</v>
      </c>
      <c r="K865" s="80">
        <v>15</v>
      </c>
      <c r="L865" s="80" t="s">
        <v>4399</v>
      </c>
      <c r="M865" s="80" t="s">
        <v>4400</v>
      </c>
      <c r="N865" s="80" t="s">
        <v>164</v>
      </c>
      <c r="O865" s="80" t="s">
        <v>4176</v>
      </c>
      <c r="P865" s="80" t="s">
        <v>135</v>
      </c>
      <c r="Q865" s="80" t="s">
        <v>123</v>
      </c>
      <c r="R865" s="80" t="s">
        <v>174</v>
      </c>
      <c r="S865" s="80">
        <v>16</v>
      </c>
      <c r="T865" s="80">
        <v>24</v>
      </c>
      <c r="U865" s="80" t="s">
        <v>288</v>
      </c>
      <c r="V865" s="80" t="s">
        <v>126</v>
      </c>
      <c r="W865" s="80" t="s">
        <v>127</v>
      </c>
      <c r="X865" s="80"/>
      <c r="Y865" s="80"/>
    </row>
    <row r="866" spans="1:25">
      <c r="A866" s="80">
        <f t="shared" si="13"/>
        <v>865</v>
      </c>
      <c r="B866" s="10">
        <v>45975.640185185199</v>
      </c>
      <c r="C866" s="13" t="s">
        <v>359</v>
      </c>
      <c r="D866" s="80" t="s">
        <v>4401</v>
      </c>
      <c r="E866" s="80" t="s">
        <v>4397</v>
      </c>
      <c r="F866" s="80" t="s">
        <v>20</v>
      </c>
      <c r="G866" s="80" t="s">
        <v>4398</v>
      </c>
      <c r="H866" s="80" t="s">
        <v>115</v>
      </c>
      <c r="I866" s="80" t="s">
        <v>918</v>
      </c>
      <c r="J866" s="80" t="s">
        <v>117</v>
      </c>
      <c r="K866" s="80">
        <v>15</v>
      </c>
      <c r="L866" s="80" t="s">
        <v>4399</v>
      </c>
      <c r="M866" s="80" t="s">
        <v>4400</v>
      </c>
      <c r="N866" s="80" t="s">
        <v>164</v>
      </c>
      <c r="O866" s="80" t="s">
        <v>4176</v>
      </c>
      <c r="P866" s="80" t="s">
        <v>135</v>
      </c>
      <c r="Q866" s="80" t="s">
        <v>123</v>
      </c>
      <c r="R866" s="80" t="s">
        <v>174</v>
      </c>
      <c r="S866" s="80">
        <v>16</v>
      </c>
      <c r="T866" s="80">
        <v>24</v>
      </c>
      <c r="U866" s="80" t="s">
        <v>361</v>
      </c>
      <c r="V866" s="80" t="s">
        <v>126</v>
      </c>
      <c r="W866" s="80" t="s">
        <v>127</v>
      </c>
      <c r="X866" s="80"/>
      <c r="Y866" s="80"/>
    </row>
    <row r="867" spans="1:25">
      <c r="A867" s="80">
        <f t="shared" si="13"/>
        <v>866</v>
      </c>
      <c r="B867" s="10">
        <v>45975.643819444398</v>
      </c>
      <c r="C867" s="13" t="s">
        <v>563</v>
      </c>
      <c r="D867" s="80" t="s">
        <v>4402</v>
      </c>
      <c r="E867" s="80" t="s">
        <v>4403</v>
      </c>
      <c r="F867" s="80" t="s">
        <v>4404</v>
      </c>
      <c r="G867" s="80" t="s">
        <v>4405</v>
      </c>
      <c r="H867" s="80" t="s">
        <v>115</v>
      </c>
      <c r="I867" s="80" t="s">
        <v>252</v>
      </c>
      <c r="J867" s="80" t="s">
        <v>117</v>
      </c>
      <c r="K867" s="80">
        <v>8</v>
      </c>
      <c r="L867" s="80" t="s">
        <v>4406</v>
      </c>
      <c r="M867" s="80" t="s">
        <v>4407</v>
      </c>
      <c r="N867" s="80" t="s">
        <v>164</v>
      </c>
      <c r="O867" s="80" t="s">
        <v>3294</v>
      </c>
      <c r="P867" s="80" t="s">
        <v>269</v>
      </c>
      <c r="Q867" s="80" t="s">
        <v>123</v>
      </c>
      <c r="R867" s="80" t="s">
        <v>174</v>
      </c>
      <c r="S867" s="80">
        <v>8</v>
      </c>
      <c r="T867" s="80">
        <v>24</v>
      </c>
      <c r="U867" s="80" t="s">
        <v>565</v>
      </c>
      <c r="V867" s="80" t="s">
        <v>126</v>
      </c>
      <c r="W867" s="80" t="s">
        <v>127</v>
      </c>
      <c r="X867" s="80"/>
      <c r="Y867" s="80"/>
    </row>
    <row r="868" spans="1:25">
      <c r="A868" s="80">
        <f t="shared" si="13"/>
        <v>867</v>
      </c>
      <c r="B868" s="10">
        <v>45975.645104166702</v>
      </c>
      <c r="C868" s="13" t="s">
        <v>329</v>
      </c>
      <c r="D868" s="80" t="s">
        <v>4408</v>
      </c>
      <c r="E868" s="80" t="s">
        <v>4384</v>
      </c>
      <c r="F868" s="80" t="s">
        <v>4385</v>
      </c>
      <c r="G868" s="80" t="s">
        <v>4386</v>
      </c>
      <c r="H868" s="80" t="s">
        <v>115</v>
      </c>
      <c r="I868" s="80" t="s">
        <v>865</v>
      </c>
      <c r="J868" s="80" t="s">
        <v>117</v>
      </c>
      <c r="K868" s="80">
        <v>15</v>
      </c>
      <c r="L868" s="80" t="s">
        <v>4387</v>
      </c>
      <c r="M868" s="80" t="s">
        <v>4388</v>
      </c>
      <c r="N868" s="80" t="s">
        <v>164</v>
      </c>
      <c r="O868" s="80" t="s">
        <v>3247</v>
      </c>
      <c r="P868" s="80" t="s">
        <v>135</v>
      </c>
      <c r="Q868" s="80" t="s">
        <v>123</v>
      </c>
      <c r="R868" s="80" t="s">
        <v>174</v>
      </c>
      <c r="S868" s="80">
        <v>4</v>
      </c>
      <c r="T868" s="80">
        <v>12</v>
      </c>
      <c r="U868" s="80" t="s">
        <v>336</v>
      </c>
      <c r="V868" s="80" t="s">
        <v>126</v>
      </c>
      <c r="W868" s="80" t="s">
        <v>127</v>
      </c>
      <c r="X868" s="80"/>
      <c r="Y868" s="80"/>
    </row>
    <row r="869" spans="1:25">
      <c r="A869" s="80">
        <f t="shared" si="13"/>
        <v>868</v>
      </c>
      <c r="B869" s="10">
        <v>45975.645902777796</v>
      </c>
      <c r="C869" s="13" t="s">
        <v>362</v>
      </c>
      <c r="D869" s="80" t="s">
        <v>4409</v>
      </c>
      <c r="E869" s="80" t="s">
        <v>4410</v>
      </c>
      <c r="F869" s="80" t="s">
        <v>4411</v>
      </c>
      <c r="G869" s="80" t="s">
        <v>4412</v>
      </c>
      <c r="H869" s="80" t="s">
        <v>210</v>
      </c>
      <c r="I869" s="80" t="s">
        <v>49</v>
      </c>
      <c r="J869" s="80" t="s">
        <v>9</v>
      </c>
      <c r="K869" s="80">
        <v>24</v>
      </c>
      <c r="L869" s="80" t="s">
        <v>4413</v>
      </c>
      <c r="M869" s="80" t="s">
        <v>4414</v>
      </c>
      <c r="N869" s="80" t="s">
        <v>120</v>
      </c>
      <c r="O869" s="80" t="s">
        <v>121</v>
      </c>
      <c r="P869" s="80" t="s">
        <v>1223</v>
      </c>
      <c r="Q869" s="80" t="s">
        <v>123</v>
      </c>
      <c r="R869" s="80" t="s">
        <v>136</v>
      </c>
      <c r="S869" s="80">
        <v>12</v>
      </c>
      <c r="T869" s="80">
        <v>12</v>
      </c>
      <c r="U869" s="80" t="s">
        <v>364</v>
      </c>
      <c r="V869" s="80" t="s">
        <v>126</v>
      </c>
      <c r="W869" s="80" t="s">
        <v>1770</v>
      </c>
      <c r="X869" s="80"/>
      <c r="Y869" s="80"/>
    </row>
    <row r="870" spans="1:25">
      <c r="A870" s="80">
        <f t="shared" si="13"/>
        <v>869</v>
      </c>
      <c r="B870" s="10">
        <v>45975.649837962999</v>
      </c>
      <c r="C870" s="13" t="s">
        <v>604</v>
      </c>
      <c r="D870" s="80" t="s">
        <v>4415</v>
      </c>
      <c r="E870" s="80" t="s">
        <v>4416</v>
      </c>
      <c r="F870" s="80" t="s">
        <v>4417</v>
      </c>
      <c r="G870" s="80" t="s">
        <v>4418</v>
      </c>
      <c r="H870" s="80" t="s">
        <v>115</v>
      </c>
      <c r="I870" s="80" t="s">
        <v>227</v>
      </c>
      <c r="J870" s="80" t="s">
        <v>117</v>
      </c>
      <c r="K870" s="80">
        <v>18</v>
      </c>
      <c r="L870" s="80" t="s">
        <v>4419</v>
      </c>
      <c r="M870" s="80" t="s">
        <v>4420</v>
      </c>
      <c r="N870" s="80" t="s">
        <v>164</v>
      </c>
      <c r="O870" s="80" t="s">
        <v>464</v>
      </c>
      <c r="P870" s="80" t="s">
        <v>269</v>
      </c>
      <c r="Q870" s="80" t="s">
        <v>123</v>
      </c>
      <c r="R870" s="80" t="s">
        <v>174</v>
      </c>
      <c r="S870" s="80">
        <v>16</v>
      </c>
      <c r="T870" s="80">
        <v>18</v>
      </c>
      <c r="U870" s="80" t="s">
        <v>613</v>
      </c>
      <c r="V870" s="80" t="s">
        <v>126</v>
      </c>
      <c r="W870" s="80" t="s">
        <v>127</v>
      </c>
      <c r="X870" s="80"/>
      <c r="Y870" s="80"/>
    </row>
    <row r="871" spans="1:25">
      <c r="A871" s="80">
        <f t="shared" si="13"/>
        <v>870</v>
      </c>
      <c r="B871" s="10">
        <v>45975.653321759302</v>
      </c>
      <c r="C871" s="13" t="s">
        <v>456</v>
      </c>
      <c r="D871" s="80" t="s">
        <v>4421</v>
      </c>
      <c r="E871" s="80" t="s">
        <v>4422</v>
      </c>
      <c r="F871" s="80" t="s">
        <v>4423</v>
      </c>
      <c r="G871" s="80" t="s">
        <v>4424</v>
      </c>
      <c r="H871" s="80" t="s">
        <v>115</v>
      </c>
      <c r="I871" s="80" t="s">
        <v>1410</v>
      </c>
      <c r="J871" s="80" t="s">
        <v>117</v>
      </c>
      <c r="K871" s="80">
        <v>15</v>
      </c>
      <c r="L871" s="80" t="s">
        <v>4425</v>
      </c>
      <c r="M871" s="80" t="s">
        <v>4426</v>
      </c>
      <c r="N871" s="80" t="s">
        <v>164</v>
      </c>
      <c r="O871" s="80" t="s">
        <v>202</v>
      </c>
      <c r="P871" s="80" t="s">
        <v>178</v>
      </c>
      <c r="Q871" s="80" t="s">
        <v>123</v>
      </c>
      <c r="R871" s="80" t="s">
        <v>174</v>
      </c>
      <c r="S871" s="80">
        <v>8</v>
      </c>
      <c r="T871" s="80">
        <v>18</v>
      </c>
      <c r="U871" s="80" t="s">
        <v>466</v>
      </c>
      <c r="V871" s="80" t="s">
        <v>126</v>
      </c>
      <c r="W871" s="80" t="s">
        <v>127</v>
      </c>
      <c r="X871" s="80"/>
      <c r="Y871" s="80"/>
    </row>
    <row r="872" spans="1:25">
      <c r="A872" s="80">
        <f t="shared" si="13"/>
        <v>871</v>
      </c>
      <c r="B872" s="10">
        <v>45975.656863425902</v>
      </c>
      <c r="C872" s="13" t="s">
        <v>329</v>
      </c>
      <c r="D872" s="80" t="s">
        <v>4427</v>
      </c>
      <c r="E872" s="80" t="s">
        <v>1891</v>
      </c>
      <c r="F872" s="80" t="s">
        <v>1892</v>
      </c>
      <c r="G872" s="80" t="s">
        <v>1893</v>
      </c>
      <c r="H872" s="80" t="s">
        <v>115</v>
      </c>
      <c r="I872" s="80" t="s">
        <v>865</v>
      </c>
      <c r="J872" s="80" t="s">
        <v>117</v>
      </c>
      <c r="K872" s="80">
        <v>17</v>
      </c>
      <c r="L872" s="80" t="s">
        <v>1894</v>
      </c>
      <c r="M872" s="80" t="s">
        <v>1895</v>
      </c>
      <c r="N872" s="80" t="s">
        <v>120</v>
      </c>
      <c r="O872" s="80" t="s">
        <v>327</v>
      </c>
      <c r="P872" s="80" t="s">
        <v>135</v>
      </c>
      <c r="Q872" s="80" t="s">
        <v>123</v>
      </c>
      <c r="R872" s="80" t="s">
        <v>174</v>
      </c>
      <c r="S872" s="80">
        <v>4</v>
      </c>
      <c r="T872" s="80">
        <v>18</v>
      </c>
      <c r="U872" s="80" t="s">
        <v>336</v>
      </c>
      <c r="V872" s="80" t="s">
        <v>126</v>
      </c>
      <c r="W872" s="80" t="s">
        <v>127</v>
      </c>
      <c r="X872" s="80"/>
      <c r="Y872" s="80"/>
    </row>
    <row r="873" spans="1:25">
      <c r="A873" s="80">
        <f t="shared" si="13"/>
        <v>872</v>
      </c>
      <c r="B873" s="10">
        <v>45975.657349537003</v>
      </c>
      <c r="C873" s="13" t="s">
        <v>329</v>
      </c>
      <c r="D873" s="80" t="s">
        <v>4428</v>
      </c>
      <c r="E873" s="80" t="s">
        <v>1428</v>
      </c>
      <c r="F873" s="80" t="s">
        <v>1429</v>
      </c>
      <c r="G873" s="80" t="s">
        <v>1430</v>
      </c>
      <c r="H873" s="80" t="s">
        <v>477</v>
      </c>
      <c r="I873" s="80" t="s">
        <v>1165</v>
      </c>
      <c r="J873" s="80" t="s">
        <v>9</v>
      </c>
      <c r="K873" s="80">
        <v>2</v>
      </c>
      <c r="L873" s="80" t="s">
        <v>1431</v>
      </c>
      <c r="M873" s="80" t="s">
        <v>1432</v>
      </c>
      <c r="N873" s="80" t="s">
        <v>120</v>
      </c>
      <c r="O873" s="80" t="s">
        <v>213</v>
      </c>
      <c r="P873" s="80" t="s">
        <v>135</v>
      </c>
      <c r="Q873" s="80" t="s">
        <v>123</v>
      </c>
      <c r="R873" s="80" t="s">
        <v>215</v>
      </c>
      <c r="S873" s="80">
        <v>19</v>
      </c>
      <c r="T873" s="80">
        <v>24</v>
      </c>
      <c r="U873" s="80" t="s">
        <v>336</v>
      </c>
      <c r="V873" s="80" t="s">
        <v>126</v>
      </c>
      <c r="W873" s="80" t="s">
        <v>127</v>
      </c>
      <c r="X873" s="80"/>
      <c r="Y873" s="80"/>
    </row>
    <row r="874" spans="1:25">
      <c r="A874" s="80">
        <f t="shared" si="13"/>
        <v>873</v>
      </c>
      <c r="B874" s="10">
        <v>45975.659039351798</v>
      </c>
      <c r="C874" s="13" t="s">
        <v>329</v>
      </c>
      <c r="D874" s="80" t="s">
        <v>4429</v>
      </c>
      <c r="E874" s="80" t="s">
        <v>4430</v>
      </c>
      <c r="F874" s="80" t="s">
        <v>4431</v>
      </c>
      <c r="G874" s="80" t="s">
        <v>4432</v>
      </c>
      <c r="H874" s="80" t="s">
        <v>115</v>
      </c>
      <c r="I874" s="80" t="s">
        <v>865</v>
      </c>
      <c r="J874" s="80" t="s">
        <v>117</v>
      </c>
      <c r="K874" s="80">
        <v>16</v>
      </c>
      <c r="L874" s="80" t="s">
        <v>4433</v>
      </c>
      <c r="M874" s="80" t="s">
        <v>4434</v>
      </c>
      <c r="N874" s="80" t="s">
        <v>120</v>
      </c>
      <c r="O874" s="80" t="s">
        <v>240</v>
      </c>
      <c r="P874" s="80" t="s">
        <v>295</v>
      </c>
      <c r="Q874" s="80" t="s">
        <v>123</v>
      </c>
      <c r="R874" s="80" t="s">
        <v>174</v>
      </c>
      <c r="S874" s="80">
        <v>4</v>
      </c>
      <c r="T874" s="80">
        <v>24</v>
      </c>
      <c r="U874" s="80" t="s">
        <v>336</v>
      </c>
      <c r="V874" s="80" t="s">
        <v>126</v>
      </c>
      <c r="W874" s="80" t="s">
        <v>127</v>
      </c>
      <c r="X874" s="80"/>
      <c r="Y874" s="80"/>
    </row>
    <row r="875" spans="1:25">
      <c r="A875" s="80">
        <f t="shared" si="13"/>
        <v>874</v>
      </c>
      <c r="B875" s="10">
        <v>45975.659861111097</v>
      </c>
      <c r="C875" s="13" t="s">
        <v>589</v>
      </c>
      <c r="D875" s="80" t="s">
        <v>4435</v>
      </c>
      <c r="E875" s="80" t="s">
        <v>4436</v>
      </c>
      <c r="F875" s="80" t="s">
        <v>4437</v>
      </c>
      <c r="G875" s="80" t="s">
        <v>4438</v>
      </c>
      <c r="H875" s="80" t="s">
        <v>115</v>
      </c>
      <c r="I875" s="80" t="s">
        <v>865</v>
      </c>
      <c r="J875" s="80" t="s">
        <v>9</v>
      </c>
      <c r="K875" s="80">
        <v>18</v>
      </c>
      <c r="L875" s="80" t="s">
        <v>4439</v>
      </c>
      <c r="M875" s="80" t="s">
        <v>4440</v>
      </c>
      <c r="N875" s="80" t="s">
        <v>164</v>
      </c>
      <c r="O875" s="80" t="s">
        <v>4441</v>
      </c>
      <c r="P875" s="80" t="s">
        <v>214</v>
      </c>
      <c r="Q875" s="80" t="s">
        <v>123</v>
      </c>
      <c r="R875" s="80" t="s">
        <v>174</v>
      </c>
      <c r="S875" s="80">
        <v>1</v>
      </c>
      <c r="T875" s="80">
        <v>12</v>
      </c>
      <c r="U875" s="80" t="s">
        <v>596</v>
      </c>
      <c r="V875" s="80" t="s">
        <v>126</v>
      </c>
      <c r="W875" s="80" t="s">
        <v>127</v>
      </c>
      <c r="X875" s="80"/>
      <c r="Y875" s="80"/>
    </row>
    <row r="876" spans="1:25">
      <c r="A876" s="80">
        <f t="shared" si="13"/>
        <v>875</v>
      </c>
      <c r="B876" s="10">
        <v>45975.661527777796</v>
      </c>
      <c r="C876" s="13" t="s">
        <v>329</v>
      </c>
      <c r="D876" s="80" t="s">
        <v>4442</v>
      </c>
      <c r="E876" s="80" t="s">
        <v>224</v>
      </c>
      <c r="F876" s="80" t="s">
        <v>225</v>
      </c>
      <c r="G876" s="80" t="s">
        <v>226</v>
      </c>
      <c r="H876" s="80" t="s">
        <v>115</v>
      </c>
      <c r="I876" s="80" t="s">
        <v>227</v>
      </c>
      <c r="J876" s="80" t="s">
        <v>117</v>
      </c>
      <c r="K876" s="80">
        <v>11</v>
      </c>
      <c r="L876" s="80" t="s">
        <v>228</v>
      </c>
      <c r="M876" s="80" t="s">
        <v>229</v>
      </c>
      <c r="N876" s="80" t="s">
        <v>120</v>
      </c>
      <c r="O876" s="80" t="s">
        <v>230</v>
      </c>
      <c r="P876" s="80" t="s">
        <v>231</v>
      </c>
      <c r="Q876" s="80" t="s">
        <v>123</v>
      </c>
      <c r="R876" s="80" t="s">
        <v>174</v>
      </c>
      <c r="S876" s="80">
        <v>10</v>
      </c>
      <c r="T876" s="80">
        <v>12</v>
      </c>
      <c r="U876" s="80" t="s">
        <v>336</v>
      </c>
      <c r="V876" s="80" t="s">
        <v>126</v>
      </c>
      <c r="W876" s="80" t="s">
        <v>127</v>
      </c>
      <c r="X876" s="80"/>
      <c r="Y876" s="80"/>
    </row>
    <row r="877" spans="1:25">
      <c r="A877" s="80">
        <f t="shared" si="13"/>
        <v>876</v>
      </c>
      <c r="B877" s="10">
        <v>45975.661655092597</v>
      </c>
      <c r="C877" s="13" t="s">
        <v>329</v>
      </c>
      <c r="D877" s="80" t="s">
        <v>4443</v>
      </c>
      <c r="E877" s="80" t="s">
        <v>241</v>
      </c>
      <c r="F877" s="80" t="s">
        <v>242</v>
      </c>
      <c r="G877" s="80" t="s">
        <v>243</v>
      </c>
      <c r="H877" s="80" t="s">
        <v>115</v>
      </c>
      <c r="I877" s="80" t="s">
        <v>244</v>
      </c>
      <c r="J877" s="80" t="s">
        <v>117</v>
      </c>
      <c r="K877" s="80">
        <v>21</v>
      </c>
      <c r="L877" s="80" t="s">
        <v>245</v>
      </c>
      <c r="M877" s="80" t="s">
        <v>246</v>
      </c>
      <c r="N877" s="80" t="s">
        <v>120</v>
      </c>
      <c r="O877" s="80" t="s">
        <v>247</v>
      </c>
      <c r="P877" s="80" t="s">
        <v>135</v>
      </c>
      <c r="Q877" s="80" t="s">
        <v>123</v>
      </c>
      <c r="R877" s="80" t="s">
        <v>174</v>
      </c>
      <c r="S877" s="80">
        <v>11</v>
      </c>
      <c r="T877" s="80">
        <v>12</v>
      </c>
      <c r="U877" s="80" t="s">
        <v>336</v>
      </c>
      <c r="V877" s="80" t="s">
        <v>126</v>
      </c>
      <c r="W877" s="80" t="s">
        <v>127</v>
      </c>
      <c r="X877" s="80"/>
      <c r="Y877" s="80"/>
    </row>
    <row r="878" spans="1:25">
      <c r="A878" s="80">
        <f t="shared" si="13"/>
        <v>877</v>
      </c>
      <c r="B878" s="10">
        <v>45975.6808564815</v>
      </c>
      <c r="C878" s="13" t="s">
        <v>553</v>
      </c>
      <c r="D878" s="80" t="s">
        <v>4444</v>
      </c>
      <c r="E878" s="80" t="s">
        <v>4445</v>
      </c>
      <c r="F878" s="80" t="s">
        <v>4446</v>
      </c>
      <c r="G878" s="80" t="s">
        <v>4447</v>
      </c>
      <c r="H878" s="80" t="s">
        <v>115</v>
      </c>
      <c r="I878" s="80" t="s">
        <v>918</v>
      </c>
      <c r="J878" s="80" t="s">
        <v>117</v>
      </c>
      <c r="K878" s="80">
        <v>21</v>
      </c>
      <c r="L878" s="80" t="s">
        <v>4448</v>
      </c>
      <c r="M878" s="80" t="s">
        <v>4449</v>
      </c>
      <c r="N878" s="80" t="s">
        <v>120</v>
      </c>
      <c r="O878" s="80" t="s">
        <v>240</v>
      </c>
      <c r="P878" s="80" t="s">
        <v>135</v>
      </c>
      <c r="Q878" s="80" t="s">
        <v>123</v>
      </c>
      <c r="R878" s="80" t="s">
        <v>174</v>
      </c>
      <c r="S878" s="80">
        <v>6</v>
      </c>
      <c r="T878" s="80">
        <v>12</v>
      </c>
      <c r="U878" s="80" t="s">
        <v>562</v>
      </c>
      <c r="V878" s="80" t="s">
        <v>126</v>
      </c>
      <c r="W878" s="80" t="s">
        <v>127</v>
      </c>
      <c r="X878" s="80"/>
      <c r="Y878" s="80"/>
    </row>
    <row r="879" spans="1:25">
      <c r="A879" s="80">
        <f t="shared" si="13"/>
        <v>878</v>
      </c>
      <c r="B879" s="10">
        <v>45975.689965277801</v>
      </c>
      <c r="C879" s="13" t="s">
        <v>840</v>
      </c>
      <c r="D879" s="80" t="s">
        <v>4450</v>
      </c>
      <c r="E879" s="80" t="s">
        <v>4451</v>
      </c>
      <c r="F879" s="80" t="s">
        <v>4452</v>
      </c>
      <c r="G879" s="80" t="s">
        <v>4453</v>
      </c>
      <c r="H879" s="80" t="s">
        <v>115</v>
      </c>
      <c r="I879" s="80" t="s">
        <v>252</v>
      </c>
      <c r="J879" s="80" t="s">
        <v>117</v>
      </c>
      <c r="K879" s="80">
        <v>20</v>
      </c>
      <c r="L879" s="80" t="s">
        <v>4454</v>
      </c>
      <c r="M879" s="80" t="s">
        <v>4455</v>
      </c>
      <c r="N879" s="80" t="s">
        <v>120</v>
      </c>
      <c r="O879" s="80" t="s">
        <v>121</v>
      </c>
      <c r="P879" s="80" t="s">
        <v>2070</v>
      </c>
      <c r="Q879" s="80" t="s">
        <v>123</v>
      </c>
      <c r="R879" s="80" t="s">
        <v>174</v>
      </c>
      <c r="S879" s="80">
        <v>6</v>
      </c>
      <c r="T879" s="80">
        <v>24</v>
      </c>
      <c r="U879" s="80" t="s">
        <v>843</v>
      </c>
      <c r="V879" s="80" t="s">
        <v>126</v>
      </c>
      <c r="W879" s="80" t="s">
        <v>127</v>
      </c>
      <c r="X879" s="80"/>
      <c r="Y879" s="80"/>
    </row>
    <row r="880" spans="1:25">
      <c r="A880" s="80">
        <f t="shared" si="13"/>
        <v>879</v>
      </c>
      <c r="B880" s="10">
        <v>45975.694374999999</v>
      </c>
      <c r="C880" s="13" t="s">
        <v>840</v>
      </c>
      <c r="D880" s="80" t="s">
        <v>4456</v>
      </c>
      <c r="E880" s="80" t="s">
        <v>4457</v>
      </c>
      <c r="F880" s="80" t="s">
        <v>4458</v>
      </c>
      <c r="G880" s="80" t="s">
        <v>4459</v>
      </c>
      <c r="H880" s="80" t="s">
        <v>115</v>
      </c>
      <c r="I880" s="80" t="s">
        <v>227</v>
      </c>
      <c r="J880" s="80" t="s">
        <v>117</v>
      </c>
      <c r="K880" s="80">
        <v>1</v>
      </c>
      <c r="L880" s="80" t="s">
        <v>4460</v>
      </c>
      <c r="M880" s="80" t="s">
        <v>4461</v>
      </c>
      <c r="N880" s="80" t="s">
        <v>120</v>
      </c>
      <c r="O880" s="80" t="s">
        <v>327</v>
      </c>
      <c r="P880" s="80" t="s">
        <v>214</v>
      </c>
      <c r="Q880" s="80" t="s">
        <v>123</v>
      </c>
      <c r="R880" s="80" t="s">
        <v>136</v>
      </c>
      <c r="S880" s="80">
        <v>8</v>
      </c>
      <c r="T880" s="80">
        <v>12</v>
      </c>
      <c r="U880" s="80" t="s">
        <v>843</v>
      </c>
      <c r="V880" s="80" t="s">
        <v>126</v>
      </c>
      <c r="W880" s="80" t="s">
        <v>127</v>
      </c>
      <c r="X880" s="80"/>
      <c r="Y880" s="80"/>
    </row>
    <row r="881" spans="1:25">
      <c r="A881" s="80">
        <f t="shared" ref="A881:A888" si="14">A880+1</f>
        <v>880</v>
      </c>
      <c r="B881" s="10">
        <v>45975.704525462999</v>
      </c>
      <c r="C881" s="13" t="s">
        <v>222</v>
      </c>
      <c r="D881" s="13" t="s">
        <v>4462</v>
      </c>
      <c r="E881" s="13" t="s">
        <v>985</v>
      </c>
      <c r="F881" s="80" t="s">
        <v>986</v>
      </c>
      <c r="G881" s="80" t="s">
        <v>987</v>
      </c>
      <c r="H881" s="80" t="s">
        <v>115</v>
      </c>
      <c r="I881" s="80" t="s">
        <v>865</v>
      </c>
      <c r="J881" s="80" t="s">
        <v>117</v>
      </c>
      <c r="K881" s="80">
        <v>15</v>
      </c>
      <c r="L881" s="80" t="s">
        <v>988</v>
      </c>
      <c r="M881" s="80" t="s">
        <v>989</v>
      </c>
      <c r="N881" s="80" t="s">
        <v>120</v>
      </c>
      <c r="O881" s="80" t="s">
        <v>990</v>
      </c>
      <c r="P881" s="80" t="s">
        <v>269</v>
      </c>
      <c r="Q881" s="80" t="s">
        <v>123</v>
      </c>
      <c r="R881" s="80" t="s">
        <v>174</v>
      </c>
      <c r="S881" s="80">
        <v>7</v>
      </c>
      <c r="T881" s="80">
        <v>12</v>
      </c>
      <c r="U881" s="80" t="s">
        <v>232</v>
      </c>
      <c r="V881" s="80" t="s">
        <v>126</v>
      </c>
      <c r="W881" s="80" t="s">
        <v>127</v>
      </c>
      <c r="X881" s="80"/>
      <c r="Y881" s="80"/>
    </row>
    <row r="882" spans="1:25">
      <c r="A882" s="80">
        <f t="shared" si="14"/>
        <v>881</v>
      </c>
      <c r="B882" s="10">
        <v>45975.705381944397</v>
      </c>
      <c r="C882" s="13" t="s">
        <v>222</v>
      </c>
      <c r="D882" s="13" t="s">
        <v>4462</v>
      </c>
      <c r="E882" s="13" t="s">
        <v>4379</v>
      </c>
      <c r="F882" s="80" t="s">
        <v>1577</v>
      </c>
      <c r="G882" s="80" t="s">
        <v>4380</v>
      </c>
      <c r="H882" s="80" t="s">
        <v>115</v>
      </c>
      <c r="I882" s="80" t="s">
        <v>865</v>
      </c>
      <c r="J882" s="80" t="s">
        <v>117</v>
      </c>
      <c r="K882" s="80">
        <v>21</v>
      </c>
      <c r="L882" s="80" t="s">
        <v>4381</v>
      </c>
      <c r="M882" s="80" t="s">
        <v>4382</v>
      </c>
      <c r="N882" s="80" t="s">
        <v>120</v>
      </c>
      <c r="O882" s="80" t="s">
        <v>152</v>
      </c>
      <c r="P882" s="80" t="s">
        <v>304</v>
      </c>
      <c r="Q882" s="80" t="s">
        <v>123</v>
      </c>
      <c r="R882" s="80" t="s">
        <v>174</v>
      </c>
      <c r="S882" s="80">
        <v>5</v>
      </c>
      <c r="T882" s="80">
        <v>18</v>
      </c>
      <c r="U882" s="80" t="s">
        <v>232</v>
      </c>
      <c r="V882" s="80" t="s">
        <v>126</v>
      </c>
      <c r="W882" s="80" t="s">
        <v>127</v>
      </c>
      <c r="X882" s="80"/>
      <c r="Y882" s="80"/>
    </row>
    <row r="883" spans="1:25">
      <c r="A883" s="80">
        <f t="shared" si="14"/>
        <v>882</v>
      </c>
      <c r="B883" s="10">
        <v>45975.709884259297</v>
      </c>
      <c r="C883" s="13" t="s">
        <v>362</v>
      </c>
      <c r="D883" s="13" t="s">
        <v>4463</v>
      </c>
      <c r="E883" s="13" t="s">
        <v>4464</v>
      </c>
      <c r="F883" s="80" t="s">
        <v>4465</v>
      </c>
      <c r="G883" s="80" t="s">
        <v>4466</v>
      </c>
      <c r="H883" s="80" t="s">
        <v>115</v>
      </c>
      <c r="I883" s="80" t="s">
        <v>865</v>
      </c>
      <c r="J883" s="80" t="s">
        <v>9</v>
      </c>
      <c r="K883" s="80">
        <v>13</v>
      </c>
      <c r="L883" s="80" t="s">
        <v>4467</v>
      </c>
      <c r="M883" s="80" t="s">
        <v>4468</v>
      </c>
      <c r="N883" s="80" t="s">
        <v>120</v>
      </c>
      <c r="O883" s="80" t="s">
        <v>152</v>
      </c>
      <c r="P883" s="80" t="s">
        <v>135</v>
      </c>
      <c r="Q883" s="80" t="s">
        <v>123</v>
      </c>
      <c r="R883" s="80" t="s">
        <v>174</v>
      </c>
      <c r="S883" s="80">
        <v>1</v>
      </c>
      <c r="T883" s="80">
        <v>18</v>
      </c>
      <c r="U883" s="80" t="s">
        <v>364</v>
      </c>
      <c r="V883" s="80" t="s">
        <v>126</v>
      </c>
      <c r="W883" s="80" t="s">
        <v>127</v>
      </c>
      <c r="X883" s="80"/>
      <c r="Y883" s="80"/>
    </row>
    <row r="884" spans="1:25">
      <c r="A884" s="80">
        <f t="shared" si="14"/>
        <v>883</v>
      </c>
      <c r="B884" s="10">
        <v>45975.710740740702</v>
      </c>
      <c r="C884" s="13" t="s">
        <v>362</v>
      </c>
      <c r="D884" s="13" t="s">
        <v>4469</v>
      </c>
      <c r="E884" s="13" t="s">
        <v>3807</v>
      </c>
      <c r="F884" s="80" t="s">
        <v>3808</v>
      </c>
      <c r="G884" s="80" t="s">
        <v>3809</v>
      </c>
      <c r="H884" s="80" t="s">
        <v>115</v>
      </c>
      <c r="I884" s="80" t="s">
        <v>1410</v>
      </c>
      <c r="J884" s="80" t="s">
        <v>117</v>
      </c>
      <c r="K884" s="80">
        <v>15</v>
      </c>
      <c r="L884" s="80" t="s">
        <v>3810</v>
      </c>
      <c r="M884" s="80" t="s">
        <v>3811</v>
      </c>
      <c r="N884" s="80" t="s">
        <v>517</v>
      </c>
      <c r="O884" s="80" t="s">
        <v>518</v>
      </c>
      <c r="P884" s="80" t="s">
        <v>135</v>
      </c>
      <c r="Q884" s="80" t="s">
        <v>123</v>
      </c>
      <c r="R884" s="80" t="s">
        <v>174</v>
      </c>
      <c r="S884" s="80">
        <v>4</v>
      </c>
      <c r="T884" s="80">
        <v>18</v>
      </c>
      <c r="U884" s="80" t="s">
        <v>364</v>
      </c>
      <c r="V884" s="80" t="s">
        <v>126</v>
      </c>
      <c r="W884" s="80" t="s">
        <v>127</v>
      </c>
      <c r="X884" s="80"/>
      <c r="Y884" s="80"/>
    </row>
    <row r="885" spans="1:25">
      <c r="A885" s="80">
        <f t="shared" si="14"/>
        <v>884</v>
      </c>
      <c r="B885" s="10">
        <v>45975.747418981497</v>
      </c>
      <c r="C885" s="13" t="s">
        <v>157</v>
      </c>
      <c r="D885" s="13" t="s">
        <v>4470</v>
      </c>
      <c r="E885" s="13" t="s">
        <v>2516</v>
      </c>
      <c r="F885" s="80" t="s">
        <v>2517</v>
      </c>
      <c r="G885" s="80" t="s">
        <v>2518</v>
      </c>
      <c r="H885" s="80" t="s">
        <v>115</v>
      </c>
      <c r="I885" s="80" t="s">
        <v>252</v>
      </c>
      <c r="J885" s="80" t="s">
        <v>117</v>
      </c>
      <c r="K885" s="80">
        <v>4</v>
      </c>
      <c r="L885" s="80" t="s">
        <v>2519</v>
      </c>
      <c r="M885" s="80" t="s">
        <v>2520</v>
      </c>
      <c r="N885" s="80" t="s">
        <v>120</v>
      </c>
      <c r="O885" s="80" t="s">
        <v>990</v>
      </c>
      <c r="P885" s="80" t="s">
        <v>135</v>
      </c>
      <c r="Q885" s="80" t="s">
        <v>123</v>
      </c>
      <c r="R885" s="80" t="s">
        <v>136</v>
      </c>
      <c r="S885" s="80">
        <v>4</v>
      </c>
      <c r="T885" s="80">
        <v>18</v>
      </c>
      <c r="U885" s="80" t="s">
        <v>167</v>
      </c>
      <c r="V885" s="80" t="s">
        <v>126</v>
      </c>
      <c r="W885" s="80" t="s">
        <v>127</v>
      </c>
      <c r="X885" s="80"/>
      <c r="Y885" s="80"/>
    </row>
    <row r="886" spans="1:25">
      <c r="A886" s="80">
        <f t="shared" si="14"/>
        <v>885</v>
      </c>
      <c r="B886" s="10">
        <v>45975.760833333297</v>
      </c>
      <c r="C886" s="13" t="s">
        <v>1465</v>
      </c>
      <c r="D886" s="13" t="s">
        <v>4471</v>
      </c>
      <c r="E886" s="13" t="s">
        <v>884</v>
      </c>
      <c r="F886" s="80" t="s">
        <v>885</v>
      </c>
      <c r="G886" s="80" t="s">
        <v>886</v>
      </c>
      <c r="H886" s="80" t="s">
        <v>115</v>
      </c>
      <c r="I886" s="80" t="s">
        <v>4472</v>
      </c>
      <c r="J886" s="80" t="s">
        <v>117</v>
      </c>
      <c r="K886" s="80">
        <v>3</v>
      </c>
      <c r="L886" s="80" t="s">
        <v>887</v>
      </c>
      <c r="M886" s="80" t="s">
        <v>888</v>
      </c>
      <c r="N886" s="80" t="s">
        <v>120</v>
      </c>
      <c r="O886" s="80" t="s">
        <v>230</v>
      </c>
      <c r="P886" s="80" t="s">
        <v>269</v>
      </c>
      <c r="Q886" s="80" t="s">
        <v>123</v>
      </c>
      <c r="R886" s="80" t="s">
        <v>136</v>
      </c>
      <c r="S886" s="80">
        <v>10</v>
      </c>
      <c r="T886" s="80">
        <v>18</v>
      </c>
      <c r="U886" s="80" t="s">
        <v>1473</v>
      </c>
      <c r="V886" s="80" t="s">
        <v>126</v>
      </c>
      <c r="W886" s="80" t="s">
        <v>127</v>
      </c>
      <c r="X886" s="80"/>
      <c r="Y886" s="80"/>
    </row>
    <row r="887" spans="1:25">
      <c r="A887" s="80">
        <f t="shared" si="14"/>
        <v>886</v>
      </c>
      <c r="B887" s="10">
        <v>45975.854594907403</v>
      </c>
      <c r="C887" s="13" t="s">
        <v>1465</v>
      </c>
      <c r="D887" s="13" t="s">
        <v>4473</v>
      </c>
      <c r="E887" s="13" t="s">
        <v>409</v>
      </c>
      <c r="F887" s="80" t="s">
        <v>410</v>
      </c>
      <c r="G887" s="80" t="s">
        <v>411</v>
      </c>
      <c r="H887" s="80" t="s">
        <v>115</v>
      </c>
      <c r="I887" s="80" t="s">
        <v>252</v>
      </c>
      <c r="J887" s="80" t="s">
        <v>117</v>
      </c>
      <c r="K887" s="80">
        <v>3</v>
      </c>
      <c r="L887" s="80" t="s">
        <v>412</v>
      </c>
      <c r="M887" s="80" t="s">
        <v>413</v>
      </c>
      <c r="N887" s="80" t="s">
        <v>120</v>
      </c>
      <c r="O887" s="80" t="s">
        <v>187</v>
      </c>
      <c r="P887" s="80" t="s">
        <v>414</v>
      </c>
      <c r="Q887" s="80" t="s">
        <v>123</v>
      </c>
      <c r="R887" s="80" t="s">
        <v>136</v>
      </c>
      <c r="S887" s="80">
        <v>9</v>
      </c>
      <c r="T887" s="80">
        <v>18</v>
      </c>
      <c r="U887" s="80" t="s">
        <v>1473</v>
      </c>
      <c r="V887" s="80" t="s">
        <v>126</v>
      </c>
      <c r="W887" s="80" t="s">
        <v>127</v>
      </c>
      <c r="X887" s="80"/>
      <c r="Y887" s="80"/>
    </row>
    <row r="888" spans="1:25">
      <c r="A888" s="80">
        <f t="shared" si="14"/>
        <v>887</v>
      </c>
      <c r="B888" s="10">
        <v>45975.943900462997</v>
      </c>
      <c r="C888" s="13" t="s">
        <v>4474</v>
      </c>
      <c r="D888" s="13" t="s">
        <v>4475</v>
      </c>
      <c r="E888" s="13" t="s">
        <v>4476</v>
      </c>
      <c r="F888" s="80" t="s">
        <v>4477</v>
      </c>
      <c r="G888" s="80" t="s">
        <v>4478</v>
      </c>
      <c r="H888" s="80" t="s">
        <v>115</v>
      </c>
      <c r="I888" s="80" t="s">
        <v>1383</v>
      </c>
      <c r="J888" s="80" t="s">
        <v>117</v>
      </c>
      <c r="K888" s="80">
        <v>4</v>
      </c>
      <c r="L888" s="80" t="s">
        <v>4479</v>
      </c>
      <c r="M888" s="80" t="s">
        <v>4480</v>
      </c>
      <c r="N888" s="80" t="s">
        <v>120</v>
      </c>
      <c r="O888" s="80" t="s">
        <v>943</v>
      </c>
      <c r="P888" s="80" t="s">
        <v>295</v>
      </c>
      <c r="Q888" s="80" t="s">
        <v>123</v>
      </c>
      <c r="R888" s="80" t="s">
        <v>124</v>
      </c>
      <c r="S888" s="80">
        <v>3</v>
      </c>
      <c r="T888" s="80">
        <v>12</v>
      </c>
      <c r="U888" s="80" t="s">
        <v>4481</v>
      </c>
      <c r="V888" s="80" t="s">
        <v>126</v>
      </c>
      <c r="W888" s="80" t="s">
        <v>127</v>
      </c>
      <c r="X888" s="80"/>
      <c r="Y888" s="80"/>
    </row>
    <row r="889" spans="1:25">
      <c r="A889" s="80">
        <f t="shared" ref="A889:A920" si="15">A888+1</f>
        <v>888</v>
      </c>
      <c r="B889" s="10">
        <v>45976.387719907398</v>
      </c>
      <c r="C889" s="13" t="s">
        <v>297</v>
      </c>
      <c r="D889" s="80" t="s">
        <v>4482</v>
      </c>
      <c r="E889" s="80" t="s">
        <v>4483</v>
      </c>
      <c r="F889" s="80" t="s">
        <v>4484</v>
      </c>
      <c r="G889" s="80" t="s">
        <v>4485</v>
      </c>
      <c r="H889" s="80" t="s">
        <v>115</v>
      </c>
      <c r="I889" s="80" t="s">
        <v>4472</v>
      </c>
      <c r="J889" s="80" t="s">
        <v>117</v>
      </c>
      <c r="K889" s="80">
        <v>12</v>
      </c>
      <c r="L889" s="80" t="s">
        <v>4486</v>
      </c>
      <c r="M889" s="80" t="s">
        <v>4487</v>
      </c>
      <c r="N889" s="80" t="s">
        <v>120</v>
      </c>
      <c r="O889" s="80" t="s">
        <v>247</v>
      </c>
      <c r="P889" s="80" t="s">
        <v>135</v>
      </c>
      <c r="Q889" s="80" t="s">
        <v>123</v>
      </c>
      <c r="R889" s="80" t="s">
        <v>174</v>
      </c>
      <c r="S889" s="80">
        <v>13</v>
      </c>
      <c r="T889" s="80">
        <v>18</v>
      </c>
      <c r="U889" s="80" t="s">
        <v>305</v>
      </c>
      <c r="V889" s="80" t="s">
        <v>126</v>
      </c>
      <c r="W889" s="80" t="s">
        <v>137</v>
      </c>
      <c r="X889" s="80"/>
      <c r="Y889" s="80"/>
    </row>
    <row r="890" spans="1:25">
      <c r="A890" s="80">
        <f t="shared" si="15"/>
        <v>889</v>
      </c>
      <c r="B890" s="10">
        <v>45976.508750000001</v>
      </c>
      <c r="C890" s="13" t="s">
        <v>222</v>
      </c>
      <c r="D890" s="80" t="s">
        <v>4488</v>
      </c>
      <c r="E890" s="80" t="s">
        <v>2027</v>
      </c>
      <c r="F890" s="80" t="s">
        <v>2028</v>
      </c>
      <c r="G890" s="80" t="s">
        <v>2029</v>
      </c>
      <c r="H890" s="80" t="s">
        <v>115</v>
      </c>
      <c r="I890" s="80" t="s">
        <v>244</v>
      </c>
      <c r="J890" s="80" t="s">
        <v>117</v>
      </c>
      <c r="K890" s="80">
        <v>22</v>
      </c>
      <c r="L890" s="80" t="s">
        <v>2030</v>
      </c>
      <c r="M890" s="80" t="s">
        <v>2031</v>
      </c>
      <c r="N890" s="80" t="s">
        <v>120</v>
      </c>
      <c r="O890" s="80" t="s">
        <v>152</v>
      </c>
      <c r="P890" s="80" t="s">
        <v>581</v>
      </c>
      <c r="Q890" s="80" t="s">
        <v>123</v>
      </c>
      <c r="R890" s="80" t="s">
        <v>174</v>
      </c>
      <c r="S890" s="80">
        <v>9</v>
      </c>
      <c r="T890" s="80">
        <v>12</v>
      </c>
      <c r="U890" s="80" t="s">
        <v>232</v>
      </c>
      <c r="V890" s="80" t="s">
        <v>126</v>
      </c>
      <c r="W890" s="80" t="s">
        <v>127</v>
      </c>
      <c r="X890" s="80"/>
      <c r="Y890" s="80"/>
    </row>
    <row r="891" spans="1:25">
      <c r="A891" s="80">
        <f t="shared" si="15"/>
        <v>890</v>
      </c>
      <c r="B891" s="10">
        <v>45976.5088888889</v>
      </c>
      <c r="C891" s="13" t="s">
        <v>222</v>
      </c>
      <c r="D891" s="80" t="s">
        <v>4489</v>
      </c>
      <c r="E891" s="80" t="s">
        <v>2137</v>
      </c>
      <c r="F891" s="80" t="s">
        <v>2138</v>
      </c>
      <c r="G891" s="80" t="s">
        <v>2139</v>
      </c>
      <c r="H891" s="80" t="s">
        <v>115</v>
      </c>
      <c r="I891" s="80" t="s">
        <v>244</v>
      </c>
      <c r="J891" s="80" t="s">
        <v>117</v>
      </c>
      <c r="K891" s="80">
        <v>12</v>
      </c>
      <c r="L891" s="80" t="s">
        <v>2140</v>
      </c>
      <c r="M891" s="80" t="s">
        <v>2141</v>
      </c>
      <c r="N891" s="80" t="s">
        <v>120</v>
      </c>
      <c r="O891" s="80" t="s">
        <v>2142</v>
      </c>
      <c r="P891" s="80" t="s">
        <v>269</v>
      </c>
      <c r="Q891" s="80" t="s">
        <v>123</v>
      </c>
      <c r="R891" s="80" t="s">
        <v>174</v>
      </c>
      <c r="S891" s="80">
        <v>5</v>
      </c>
      <c r="T891" s="80">
        <v>6</v>
      </c>
      <c r="U891" s="80" t="s">
        <v>232</v>
      </c>
      <c r="V891" s="80" t="s">
        <v>126</v>
      </c>
      <c r="W891" s="80" t="s">
        <v>127</v>
      </c>
      <c r="X891" s="80"/>
      <c r="Y891" s="80"/>
    </row>
    <row r="892" spans="1:25">
      <c r="A892" s="80">
        <f t="shared" si="15"/>
        <v>891</v>
      </c>
      <c r="B892" s="10">
        <v>45976.5369444444</v>
      </c>
      <c r="C892" s="13" t="s">
        <v>563</v>
      </c>
      <c r="D892" s="80" t="s">
        <v>4490</v>
      </c>
      <c r="E892" s="80" t="s">
        <v>4035</v>
      </c>
      <c r="F892" s="80" t="s">
        <v>4036</v>
      </c>
      <c r="G892" s="80" t="s">
        <v>4037</v>
      </c>
      <c r="H892" s="80" t="s">
        <v>115</v>
      </c>
      <c r="I892" s="80" t="s">
        <v>842</v>
      </c>
      <c r="J892" s="80" t="s">
        <v>9</v>
      </c>
      <c r="K892" s="80">
        <v>10</v>
      </c>
      <c r="L892" s="80" t="s">
        <v>4038</v>
      </c>
      <c r="M892" s="80" t="s">
        <v>4039</v>
      </c>
      <c r="N892" s="80" t="s">
        <v>120</v>
      </c>
      <c r="O892" s="80" t="s">
        <v>152</v>
      </c>
      <c r="P892" s="80" t="s">
        <v>304</v>
      </c>
      <c r="Q892" s="80" t="s">
        <v>123</v>
      </c>
      <c r="R892" s="80" t="s">
        <v>174</v>
      </c>
      <c r="S892" s="80">
        <v>13</v>
      </c>
      <c r="T892" s="80">
        <v>24</v>
      </c>
      <c r="U892" s="80" t="s">
        <v>565</v>
      </c>
      <c r="V892" s="80" t="s">
        <v>126</v>
      </c>
      <c r="W892" s="80" t="s">
        <v>127</v>
      </c>
      <c r="X892" s="80"/>
      <c r="Y892" s="80"/>
    </row>
    <row r="893" spans="1:25">
      <c r="A893" s="80">
        <f t="shared" si="15"/>
        <v>892</v>
      </c>
      <c r="B893" s="10">
        <v>45976.543182870402</v>
      </c>
      <c r="C893" s="13" t="s">
        <v>563</v>
      </c>
      <c r="D893" s="80" t="s">
        <v>4491</v>
      </c>
      <c r="E893" s="80" t="s">
        <v>591</v>
      </c>
      <c r="F893" s="80" t="s">
        <v>592</v>
      </c>
      <c r="G893" s="80" t="s">
        <v>593</v>
      </c>
      <c r="H893" s="80" t="s">
        <v>174</v>
      </c>
      <c r="I893" s="80" t="s">
        <v>173</v>
      </c>
      <c r="J893" s="80" t="s">
        <v>9</v>
      </c>
      <c r="K893" s="80">
        <v>1</v>
      </c>
      <c r="L893" s="80" t="s">
        <v>594</v>
      </c>
      <c r="M893" s="80" t="s">
        <v>595</v>
      </c>
      <c r="N893" s="80" t="s">
        <v>120</v>
      </c>
      <c r="O893" s="80" t="s">
        <v>371</v>
      </c>
      <c r="P893" s="80" t="s">
        <v>178</v>
      </c>
      <c r="Q893" s="80" t="s">
        <v>123</v>
      </c>
      <c r="R893" s="80" t="s">
        <v>174</v>
      </c>
      <c r="S893" s="80">
        <v>11</v>
      </c>
      <c r="T893" s="80">
        <v>12</v>
      </c>
      <c r="U893" s="80" t="s">
        <v>565</v>
      </c>
      <c r="V893" s="80" t="s">
        <v>126</v>
      </c>
      <c r="W893" s="80" t="s">
        <v>127</v>
      </c>
      <c r="X893" s="80"/>
      <c r="Y893" s="80"/>
    </row>
    <row r="894" spans="1:25">
      <c r="A894" s="80">
        <f t="shared" si="15"/>
        <v>893</v>
      </c>
      <c r="B894" s="10">
        <v>45976.547303240703</v>
      </c>
      <c r="C894" s="13" t="s">
        <v>553</v>
      </c>
      <c r="D894" s="80" t="s">
        <v>4492</v>
      </c>
      <c r="E894" s="80" t="s">
        <v>4493</v>
      </c>
      <c r="F894" s="80" t="s">
        <v>4494</v>
      </c>
      <c r="G894" s="80" t="s">
        <v>4495</v>
      </c>
      <c r="H894" s="80" t="s">
        <v>115</v>
      </c>
      <c r="I894" s="80" t="s">
        <v>275</v>
      </c>
      <c r="J894" s="80" t="s">
        <v>461</v>
      </c>
      <c r="K894" s="80">
        <v>23</v>
      </c>
      <c r="L894" s="80" t="s">
        <v>4496</v>
      </c>
      <c r="M894" s="80" t="s">
        <v>4497</v>
      </c>
      <c r="N894" s="80" t="s">
        <v>164</v>
      </c>
      <c r="O894" s="80" t="s">
        <v>406</v>
      </c>
      <c r="P894" s="80" t="s">
        <v>178</v>
      </c>
      <c r="Q894" s="80" t="s">
        <v>123</v>
      </c>
      <c r="R894" s="80" t="s">
        <v>174</v>
      </c>
      <c r="S894" s="80">
        <v>11</v>
      </c>
      <c r="T894" s="80">
        <v>12</v>
      </c>
      <c r="U894" s="80" t="s">
        <v>562</v>
      </c>
      <c r="V894" s="80" t="s">
        <v>126</v>
      </c>
      <c r="W894" s="80" t="s">
        <v>127</v>
      </c>
      <c r="X894" s="80"/>
      <c r="Y894" s="80"/>
    </row>
    <row r="895" spans="1:25">
      <c r="A895" s="80">
        <f t="shared" si="15"/>
        <v>894</v>
      </c>
      <c r="B895" s="10">
        <v>45976.547500000001</v>
      </c>
      <c r="C895" s="13" t="s">
        <v>840</v>
      </c>
      <c r="D895" s="80" t="s">
        <v>4498</v>
      </c>
      <c r="E895" s="80" t="s">
        <v>1922</v>
      </c>
      <c r="F895" s="80" t="s">
        <v>1923</v>
      </c>
      <c r="G895" s="80" t="s">
        <v>1924</v>
      </c>
      <c r="H895" s="80" t="s">
        <v>115</v>
      </c>
      <c r="I895" s="80" t="s">
        <v>252</v>
      </c>
      <c r="J895" s="80" t="s">
        <v>117</v>
      </c>
      <c r="K895" s="80">
        <v>2</v>
      </c>
      <c r="L895" s="80" t="s">
        <v>1925</v>
      </c>
      <c r="M895" s="80" t="s">
        <v>1926</v>
      </c>
      <c r="N895" s="80" t="s">
        <v>120</v>
      </c>
      <c r="O895" s="80" t="s">
        <v>240</v>
      </c>
      <c r="P895" s="80" t="s">
        <v>135</v>
      </c>
      <c r="Q895" s="80" t="s">
        <v>123</v>
      </c>
      <c r="R895" s="80" t="s">
        <v>136</v>
      </c>
      <c r="S895" s="80">
        <v>6</v>
      </c>
      <c r="T895" s="80">
        <v>18</v>
      </c>
      <c r="U895" s="80" t="s">
        <v>843</v>
      </c>
      <c r="V895" s="80" t="s">
        <v>126</v>
      </c>
      <c r="W895" s="80" t="s">
        <v>127</v>
      </c>
      <c r="X895" s="80"/>
      <c r="Y895" s="80"/>
    </row>
    <row r="896" spans="1:25">
      <c r="A896" s="80">
        <f t="shared" si="15"/>
        <v>895</v>
      </c>
      <c r="B896" s="10">
        <v>45976.552060185197</v>
      </c>
      <c r="C896" s="13" t="s">
        <v>563</v>
      </c>
      <c r="D896" s="80" t="s">
        <v>4499</v>
      </c>
      <c r="E896" s="80" t="s">
        <v>4500</v>
      </c>
      <c r="F896" s="80" t="s">
        <v>4501</v>
      </c>
      <c r="G896" s="80" t="s">
        <v>4502</v>
      </c>
      <c r="H896" s="80" t="s">
        <v>115</v>
      </c>
      <c r="I896" s="80" t="s">
        <v>227</v>
      </c>
      <c r="J896" s="80" t="s">
        <v>117</v>
      </c>
      <c r="K896" s="80">
        <v>8</v>
      </c>
      <c r="L896" s="80" t="s">
        <v>4503</v>
      </c>
      <c r="M896" s="80" t="s">
        <v>4504</v>
      </c>
      <c r="N896" s="80" t="s">
        <v>164</v>
      </c>
      <c r="O896" s="80" t="s">
        <v>757</v>
      </c>
      <c r="P896" s="80" t="s">
        <v>1943</v>
      </c>
      <c r="Q896" s="80" t="s">
        <v>123</v>
      </c>
      <c r="R896" s="80" t="s">
        <v>166</v>
      </c>
      <c r="S896" s="80">
        <v>9</v>
      </c>
      <c r="T896" s="80">
        <v>12</v>
      </c>
      <c r="U896" s="80" t="s">
        <v>565</v>
      </c>
      <c r="V896" s="80" t="s">
        <v>126</v>
      </c>
      <c r="W896" s="80" t="s">
        <v>127</v>
      </c>
      <c r="X896" s="80"/>
      <c r="Y896" s="80"/>
    </row>
    <row r="897" spans="1:25">
      <c r="A897" s="80">
        <f t="shared" si="15"/>
        <v>896</v>
      </c>
      <c r="B897" s="10">
        <v>45976.552060185197</v>
      </c>
      <c r="C897" s="13" t="s">
        <v>553</v>
      </c>
      <c r="D897" s="80" t="s">
        <v>4505</v>
      </c>
      <c r="E897" s="80" t="s">
        <v>4500</v>
      </c>
      <c r="F897" s="80" t="s">
        <v>4501</v>
      </c>
      <c r="G897" s="80" t="s">
        <v>4502</v>
      </c>
      <c r="H897" s="80" t="s">
        <v>115</v>
      </c>
      <c r="I897" s="80" t="s">
        <v>227</v>
      </c>
      <c r="J897" s="80" t="s">
        <v>117</v>
      </c>
      <c r="K897" s="80">
        <v>8</v>
      </c>
      <c r="L897" s="80" t="s">
        <v>4503</v>
      </c>
      <c r="M897" s="80" t="s">
        <v>4504</v>
      </c>
      <c r="N897" s="80" t="s">
        <v>164</v>
      </c>
      <c r="O897" s="80" t="s">
        <v>757</v>
      </c>
      <c r="P897" s="80" t="s">
        <v>1943</v>
      </c>
      <c r="Q897" s="80" t="s">
        <v>123</v>
      </c>
      <c r="R897" s="80" t="s">
        <v>166</v>
      </c>
      <c r="S897" s="80">
        <v>9</v>
      </c>
      <c r="T897" s="80">
        <v>12</v>
      </c>
      <c r="U897" s="80" t="s">
        <v>562</v>
      </c>
      <c r="V897" s="80" t="s">
        <v>126</v>
      </c>
      <c r="W897" s="80" t="s">
        <v>127</v>
      </c>
      <c r="X897" s="80"/>
      <c r="Y897" s="80"/>
    </row>
    <row r="898" spans="1:25">
      <c r="A898" s="80">
        <f t="shared" si="15"/>
        <v>897</v>
      </c>
      <c r="B898" s="10">
        <v>45976.552488425899</v>
      </c>
      <c r="C898" s="13" t="s">
        <v>880</v>
      </c>
      <c r="D898" s="80" t="s">
        <v>4506</v>
      </c>
      <c r="E898" s="80" t="s">
        <v>2146</v>
      </c>
      <c r="F898" s="80" t="s">
        <v>2147</v>
      </c>
      <c r="G898" s="80" t="s">
        <v>2148</v>
      </c>
      <c r="H898" s="80" t="s">
        <v>115</v>
      </c>
      <c r="I898" s="80" t="s">
        <v>275</v>
      </c>
      <c r="J898" s="80" t="s">
        <v>117</v>
      </c>
      <c r="K898" s="80">
        <v>20</v>
      </c>
      <c r="L898" s="80" t="s">
        <v>2149</v>
      </c>
      <c r="M898" s="80" t="s">
        <v>2150</v>
      </c>
      <c r="N898" s="80" t="s">
        <v>120</v>
      </c>
      <c r="O898" s="80" t="s">
        <v>572</v>
      </c>
      <c r="P898" s="80" t="s">
        <v>279</v>
      </c>
      <c r="Q898" s="80" t="s">
        <v>123</v>
      </c>
      <c r="R898" s="80" t="s">
        <v>174</v>
      </c>
      <c r="S898" s="80">
        <v>8</v>
      </c>
      <c r="T898" s="80">
        <v>12</v>
      </c>
      <c r="U898" s="80" t="s">
        <v>882</v>
      </c>
      <c r="V898" s="80" t="s">
        <v>126</v>
      </c>
      <c r="W898" s="80" t="s">
        <v>127</v>
      </c>
      <c r="X898" s="80"/>
      <c r="Y898" s="80"/>
    </row>
    <row r="899" spans="1:25">
      <c r="A899" s="80">
        <f t="shared" si="15"/>
        <v>898</v>
      </c>
      <c r="B899" s="10">
        <v>45976.552534722199</v>
      </c>
      <c r="C899" s="13" t="s">
        <v>553</v>
      </c>
      <c r="D899" s="80" t="s">
        <v>4507</v>
      </c>
      <c r="E899" s="80" t="s">
        <v>2146</v>
      </c>
      <c r="F899" s="80" t="s">
        <v>2147</v>
      </c>
      <c r="G899" s="80" t="s">
        <v>2148</v>
      </c>
      <c r="H899" s="80" t="s">
        <v>115</v>
      </c>
      <c r="I899" s="80" t="s">
        <v>275</v>
      </c>
      <c r="J899" s="80" t="s">
        <v>117</v>
      </c>
      <c r="K899" s="80">
        <v>20</v>
      </c>
      <c r="L899" s="80" t="s">
        <v>2149</v>
      </c>
      <c r="M899" s="80" t="s">
        <v>2150</v>
      </c>
      <c r="N899" s="80" t="s">
        <v>120</v>
      </c>
      <c r="O899" s="80" t="s">
        <v>572</v>
      </c>
      <c r="P899" s="80" t="s">
        <v>279</v>
      </c>
      <c r="Q899" s="80" t="s">
        <v>123</v>
      </c>
      <c r="R899" s="80" t="s">
        <v>174</v>
      </c>
      <c r="S899" s="80">
        <v>8</v>
      </c>
      <c r="T899" s="80">
        <v>12</v>
      </c>
      <c r="U899" s="80" t="s">
        <v>562</v>
      </c>
      <c r="V899" s="80" t="s">
        <v>126</v>
      </c>
      <c r="W899" s="80" t="s">
        <v>127</v>
      </c>
      <c r="X899" s="80"/>
      <c r="Y899" s="80"/>
    </row>
    <row r="900" spans="1:25">
      <c r="A900" s="80">
        <f t="shared" si="15"/>
        <v>899</v>
      </c>
      <c r="B900" s="10">
        <v>45976.559502314798</v>
      </c>
      <c r="C900" s="13" t="s">
        <v>359</v>
      </c>
      <c r="D900" s="80" t="s">
        <v>4508</v>
      </c>
      <c r="E900" s="80" t="s">
        <v>3027</v>
      </c>
      <c r="F900" s="80" t="s">
        <v>3028</v>
      </c>
      <c r="G900" s="80" t="s">
        <v>3029</v>
      </c>
      <c r="H900" s="80" t="s">
        <v>115</v>
      </c>
      <c r="I900" s="80" t="s">
        <v>865</v>
      </c>
      <c r="J900" s="80" t="s">
        <v>9</v>
      </c>
      <c r="K900" s="80">
        <v>19</v>
      </c>
      <c r="L900" s="80" t="s">
        <v>3030</v>
      </c>
      <c r="M900" s="80" t="s">
        <v>3031</v>
      </c>
      <c r="N900" s="80" t="s">
        <v>120</v>
      </c>
      <c r="O900" s="80" t="s">
        <v>247</v>
      </c>
      <c r="P900" s="80" t="s">
        <v>3032</v>
      </c>
      <c r="Q900" s="80" t="s">
        <v>123</v>
      </c>
      <c r="R900" s="80" t="s">
        <v>174</v>
      </c>
      <c r="S900" s="80">
        <v>2</v>
      </c>
      <c r="T900" s="80">
        <v>24</v>
      </c>
      <c r="U900" s="80" t="s">
        <v>361</v>
      </c>
      <c r="V900" s="80" t="s">
        <v>126</v>
      </c>
      <c r="W900" s="80" t="s">
        <v>127</v>
      </c>
      <c r="X900" s="80"/>
      <c r="Y900" s="80"/>
    </row>
    <row r="901" spans="1:25">
      <c r="A901" s="80">
        <f t="shared" si="15"/>
        <v>900</v>
      </c>
      <c r="B901" s="10">
        <v>45976.559675925899</v>
      </c>
      <c r="C901" s="13" t="s">
        <v>359</v>
      </c>
      <c r="D901" s="80" t="s">
        <v>4508</v>
      </c>
      <c r="E901" s="80" t="s">
        <v>4509</v>
      </c>
      <c r="F901" s="80" t="s">
        <v>4510</v>
      </c>
      <c r="G901" s="80" t="s">
        <v>4511</v>
      </c>
      <c r="H901" s="80" t="s">
        <v>115</v>
      </c>
      <c r="I901" s="80" t="s">
        <v>252</v>
      </c>
      <c r="J901" s="80" t="s">
        <v>117</v>
      </c>
      <c r="K901" s="80">
        <v>8</v>
      </c>
      <c r="L901" s="80" t="s">
        <v>4512</v>
      </c>
      <c r="M901" s="80" t="s">
        <v>4513</v>
      </c>
      <c r="N901" s="80" t="s">
        <v>120</v>
      </c>
      <c r="O901" s="80" t="s">
        <v>230</v>
      </c>
      <c r="P901" s="80" t="s">
        <v>269</v>
      </c>
      <c r="Q901" s="80" t="s">
        <v>123</v>
      </c>
      <c r="R901" s="80" t="s">
        <v>174</v>
      </c>
      <c r="S901" s="80">
        <v>7</v>
      </c>
      <c r="T901" s="80">
        <v>18</v>
      </c>
      <c r="U901" s="80" t="s">
        <v>361</v>
      </c>
      <c r="V901" s="80" t="s">
        <v>126</v>
      </c>
      <c r="W901" s="80" t="s">
        <v>127</v>
      </c>
      <c r="X901" s="80"/>
      <c r="Y901" s="80"/>
    </row>
    <row r="902" spans="1:25">
      <c r="A902" s="80">
        <f t="shared" si="15"/>
        <v>901</v>
      </c>
      <c r="B902" s="10">
        <v>45976.560289351903</v>
      </c>
      <c r="C902" s="13" t="s">
        <v>280</v>
      </c>
      <c r="D902" s="80" t="s">
        <v>4514</v>
      </c>
      <c r="E902" s="80" t="s">
        <v>4515</v>
      </c>
      <c r="F902" s="80" t="s">
        <v>4516</v>
      </c>
      <c r="G902" s="80" t="s">
        <v>4517</v>
      </c>
      <c r="H902" s="80" t="s">
        <v>115</v>
      </c>
      <c r="I902" s="80" t="s">
        <v>865</v>
      </c>
      <c r="J902" s="80" t="s">
        <v>117</v>
      </c>
      <c r="K902" s="80">
        <v>13</v>
      </c>
      <c r="L902" s="80" t="s">
        <v>4518</v>
      </c>
      <c r="M902" s="80" t="s">
        <v>4519</v>
      </c>
      <c r="N902" s="80" t="s">
        <v>120</v>
      </c>
      <c r="O902" s="80" t="s">
        <v>572</v>
      </c>
      <c r="P902" s="80" t="s">
        <v>287</v>
      </c>
      <c r="Q902" s="80" t="s">
        <v>123</v>
      </c>
      <c r="R902" s="80" t="s">
        <v>174</v>
      </c>
      <c r="S902" s="80">
        <v>10</v>
      </c>
      <c r="T902" s="80">
        <v>12</v>
      </c>
      <c r="U902" s="80" t="s">
        <v>288</v>
      </c>
      <c r="V902" s="80" t="s">
        <v>126</v>
      </c>
      <c r="W902" s="80" t="s">
        <v>127</v>
      </c>
      <c r="X902" s="80"/>
      <c r="Y902" s="80"/>
    </row>
    <row r="903" spans="1:25">
      <c r="A903" s="80">
        <f t="shared" si="15"/>
        <v>902</v>
      </c>
      <c r="B903" s="10">
        <v>45976.572500000002</v>
      </c>
      <c r="C903" s="13" t="s">
        <v>362</v>
      </c>
      <c r="D903" s="80" t="s">
        <v>4520</v>
      </c>
      <c r="E903" s="80" t="s">
        <v>4521</v>
      </c>
      <c r="F903" s="80" t="s">
        <v>4522</v>
      </c>
      <c r="G903" s="80" t="s">
        <v>4523</v>
      </c>
      <c r="H903" s="80" t="s">
        <v>115</v>
      </c>
      <c r="I903" s="80" t="s">
        <v>244</v>
      </c>
      <c r="J903" s="80" t="s">
        <v>117</v>
      </c>
      <c r="K903" s="80">
        <v>19</v>
      </c>
      <c r="L903" s="80" t="s">
        <v>4524</v>
      </c>
      <c r="M903" s="80" t="s">
        <v>4525</v>
      </c>
      <c r="N903" s="80" t="s">
        <v>120</v>
      </c>
      <c r="O903" s="80" t="s">
        <v>247</v>
      </c>
      <c r="P903" s="80" t="s">
        <v>135</v>
      </c>
      <c r="Q903" s="80" t="s">
        <v>123</v>
      </c>
      <c r="R903" s="80" t="s">
        <v>174</v>
      </c>
      <c r="S903" s="80">
        <v>6</v>
      </c>
      <c r="T903" s="80">
        <v>12</v>
      </c>
      <c r="U903" s="80" t="s">
        <v>364</v>
      </c>
      <c r="V903" s="80" t="s">
        <v>126</v>
      </c>
      <c r="W903" s="80" t="s">
        <v>127</v>
      </c>
      <c r="X903" s="80"/>
      <c r="Y903" s="80"/>
    </row>
    <row r="904" spans="1:25">
      <c r="A904" s="80">
        <f t="shared" si="15"/>
        <v>903</v>
      </c>
      <c r="B904" s="10">
        <v>45976.572627314803</v>
      </c>
      <c r="C904" s="13" t="s">
        <v>280</v>
      </c>
      <c r="D904" s="80" t="s">
        <v>4526</v>
      </c>
      <c r="E904" s="80" t="s">
        <v>4527</v>
      </c>
      <c r="F904" s="80" t="s">
        <v>4528</v>
      </c>
      <c r="G904" s="80" t="s">
        <v>4529</v>
      </c>
      <c r="H904" s="80" t="s">
        <v>115</v>
      </c>
      <c r="I904" s="80" t="s">
        <v>1069</v>
      </c>
      <c r="J904" s="80" t="s">
        <v>117</v>
      </c>
      <c r="K904" s="80">
        <v>4</v>
      </c>
      <c r="L904" s="80" t="s">
        <v>4530</v>
      </c>
      <c r="M904" s="80" t="s">
        <v>4531</v>
      </c>
      <c r="N904" s="80" t="s">
        <v>120</v>
      </c>
      <c r="O904" s="80" t="s">
        <v>121</v>
      </c>
      <c r="P904" s="80" t="s">
        <v>178</v>
      </c>
      <c r="Q904" s="80" t="s">
        <v>123</v>
      </c>
      <c r="R904" s="80" t="s">
        <v>136</v>
      </c>
      <c r="S904" s="80">
        <v>5</v>
      </c>
      <c r="T904" s="80">
        <v>12</v>
      </c>
      <c r="U904" s="80" t="s">
        <v>288</v>
      </c>
      <c r="V904" s="80" t="s">
        <v>126</v>
      </c>
      <c r="W904" s="80" t="s">
        <v>127</v>
      </c>
      <c r="X904" s="80"/>
      <c r="Y904" s="80"/>
    </row>
    <row r="905" spans="1:25">
      <c r="A905" s="80">
        <f t="shared" si="15"/>
        <v>904</v>
      </c>
      <c r="B905" s="10">
        <v>45976.573437500003</v>
      </c>
      <c r="C905" s="13" t="s">
        <v>4532</v>
      </c>
      <c r="D905" s="80" t="s">
        <v>4533</v>
      </c>
      <c r="E905" s="80" t="s">
        <v>4534</v>
      </c>
      <c r="F905" s="80" t="s">
        <v>4535</v>
      </c>
      <c r="G905" s="80" t="s">
        <v>4536</v>
      </c>
      <c r="H905" s="80" t="s">
        <v>115</v>
      </c>
      <c r="I905" s="80" t="s">
        <v>252</v>
      </c>
      <c r="J905" s="80" t="s">
        <v>117</v>
      </c>
      <c r="K905" s="80">
        <v>1</v>
      </c>
      <c r="L905" s="80" t="s">
        <v>4537</v>
      </c>
      <c r="M905" s="80" t="s">
        <v>4538</v>
      </c>
      <c r="N905" s="80" t="s">
        <v>120</v>
      </c>
      <c r="O905" s="80" t="s">
        <v>611</v>
      </c>
      <c r="P905" s="80" t="s">
        <v>214</v>
      </c>
      <c r="Q905" s="80" t="s">
        <v>123</v>
      </c>
      <c r="R905" s="80" t="s">
        <v>136</v>
      </c>
      <c r="S905" s="80">
        <v>3</v>
      </c>
      <c r="T905" s="80">
        <v>18</v>
      </c>
      <c r="U905" s="80" t="s">
        <v>4539</v>
      </c>
      <c r="V905" s="80" t="s">
        <v>126</v>
      </c>
      <c r="W905" s="80" t="s">
        <v>127</v>
      </c>
      <c r="X905" s="80"/>
      <c r="Y905" s="80"/>
    </row>
    <row r="906" spans="1:25">
      <c r="A906" s="80">
        <f t="shared" si="15"/>
        <v>905</v>
      </c>
      <c r="B906" s="10">
        <v>45976.587638888901</v>
      </c>
      <c r="C906" s="13" t="s">
        <v>154</v>
      </c>
      <c r="D906" s="80" t="s">
        <v>4540</v>
      </c>
      <c r="E906" s="80" t="s">
        <v>4541</v>
      </c>
      <c r="F906" s="80" t="s">
        <v>2172</v>
      </c>
      <c r="G906" s="80" t="s">
        <v>4542</v>
      </c>
      <c r="H906" s="80" t="s">
        <v>1185</v>
      </c>
      <c r="I906" s="80" t="s">
        <v>1186</v>
      </c>
      <c r="J906" s="80" t="s">
        <v>9</v>
      </c>
      <c r="K906" s="80">
        <v>7</v>
      </c>
      <c r="L906" s="80" t="s">
        <v>4543</v>
      </c>
      <c r="M906" s="80" t="s">
        <v>4544</v>
      </c>
      <c r="N906" s="80" t="s">
        <v>164</v>
      </c>
      <c r="O906" s="80" t="s">
        <v>464</v>
      </c>
      <c r="P906" s="80" t="s">
        <v>269</v>
      </c>
      <c r="Q906" s="80" t="s">
        <v>123</v>
      </c>
      <c r="R906" s="80" t="s">
        <v>136</v>
      </c>
      <c r="S906" s="80">
        <v>10</v>
      </c>
      <c r="T906" s="80">
        <v>12</v>
      </c>
      <c r="U906" s="80" t="s">
        <v>156</v>
      </c>
      <c r="V906" s="80" t="s">
        <v>141</v>
      </c>
      <c r="W906" s="80" t="s">
        <v>137</v>
      </c>
      <c r="X906" s="80"/>
      <c r="Y906" s="80"/>
    </row>
    <row r="907" spans="1:25">
      <c r="A907" s="80">
        <f t="shared" si="15"/>
        <v>906</v>
      </c>
      <c r="B907" s="10">
        <v>45976.589050925897</v>
      </c>
      <c r="C907" s="13" t="s">
        <v>110</v>
      </c>
      <c r="D907" s="80" t="s">
        <v>4545</v>
      </c>
      <c r="E907" s="80" t="s">
        <v>4546</v>
      </c>
      <c r="F907" s="80" t="s">
        <v>4547</v>
      </c>
      <c r="G907" s="80" t="s">
        <v>4548</v>
      </c>
      <c r="H907" s="80" t="s">
        <v>115</v>
      </c>
      <c r="I907" s="80" t="s">
        <v>849</v>
      </c>
      <c r="J907" s="80" t="s">
        <v>117</v>
      </c>
      <c r="K907" s="80">
        <v>22</v>
      </c>
      <c r="L907" s="80" t="s">
        <v>4549</v>
      </c>
      <c r="M907" s="80" t="s">
        <v>4550</v>
      </c>
      <c r="N907" s="80" t="s">
        <v>120</v>
      </c>
      <c r="O907" s="80" t="s">
        <v>611</v>
      </c>
      <c r="P907" s="80" t="s">
        <v>832</v>
      </c>
      <c r="Q907" s="80" t="s">
        <v>123</v>
      </c>
      <c r="R907" s="80" t="s">
        <v>174</v>
      </c>
      <c r="S907" s="80">
        <v>21</v>
      </c>
      <c r="T907" s="80">
        <v>36</v>
      </c>
      <c r="U907" s="80" t="s">
        <v>125</v>
      </c>
      <c r="V907" s="80" t="s">
        <v>126</v>
      </c>
      <c r="W907" s="80" t="s">
        <v>127</v>
      </c>
      <c r="X907" s="80"/>
      <c r="Y907" s="80"/>
    </row>
    <row r="908" spans="1:25">
      <c r="A908" s="80">
        <f t="shared" si="15"/>
        <v>907</v>
      </c>
      <c r="B908" s="10">
        <v>45976.599884259304</v>
      </c>
      <c r="C908" s="13" t="s">
        <v>110</v>
      </c>
      <c r="D908" s="80" t="s">
        <v>4551</v>
      </c>
      <c r="E908" s="80" t="s">
        <v>4552</v>
      </c>
      <c r="F908" s="80" t="s">
        <v>4553</v>
      </c>
      <c r="G908" s="80" t="s">
        <v>4554</v>
      </c>
      <c r="H908" s="80" t="s">
        <v>115</v>
      </c>
      <c r="I908" s="80" t="s">
        <v>227</v>
      </c>
      <c r="J908" s="80" t="s">
        <v>117</v>
      </c>
      <c r="K908" s="80">
        <v>11</v>
      </c>
      <c r="L908" s="80" t="s">
        <v>4555</v>
      </c>
      <c r="M908" s="80" t="s">
        <v>4556</v>
      </c>
      <c r="N908" s="80" t="s">
        <v>120</v>
      </c>
      <c r="O908" s="80" t="s">
        <v>240</v>
      </c>
      <c r="P908" s="80" t="s">
        <v>135</v>
      </c>
      <c r="Q908" s="80" t="s">
        <v>123</v>
      </c>
      <c r="R908" s="80" t="s">
        <v>174</v>
      </c>
      <c r="S908" s="80">
        <v>11</v>
      </c>
      <c r="T908" s="80">
        <v>24</v>
      </c>
      <c r="U908" s="80" t="s">
        <v>125</v>
      </c>
      <c r="V908" s="80" t="s">
        <v>126</v>
      </c>
      <c r="W908" s="80" t="s">
        <v>127</v>
      </c>
      <c r="X908" s="80"/>
      <c r="Y908" s="80"/>
    </row>
    <row r="909" spans="1:25">
      <c r="A909" s="80">
        <f t="shared" si="15"/>
        <v>908</v>
      </c>
      <c r="B909" s="10">
        <v>45976.6114930556</v>
      </c>
      <c r="C909" s="13" t="s">
        <v>840</v>
      </c>
      <c r="D909" s="80" t="s">
        <v>4557</v>
      </c>
      <c r="E909" s="80" t="s">
        <v>4558</v>
      </c>
      <c r="F909" s="80" t="s">
        <v>4559</v>
      </c>
      <c r="G909" s="80" t="s">
        <v>4560</v>
      </c>
      <c r="H909" s="80" t="s">
        <v>115</v>
      </c>
      <c r="I909" s="80" t="s">
        <v>1383</v>
      </c>
      <c r="J909" s="80" t="s">
        <v>117</v>
      </c>
      <c r="K909" s="80">
        <v>1</v>
      </c>
      <c r="L909" s="80" t="s">
        <v>4561</v>
      </c>
      <c r="M909" s="80" t="s">
        <v>4562</v>
      </c>
      <c r="N909" s="80" t="s">
        <v>120</v>
      </c>
      <c r="O909" s="80" t="s">
        <v>240</v>
      </c>
      <c r="P909" s="80" t="s">
        <v>612</v>
      </c>
      <c r="Q909" s="80" t="s">
        <v>123</v>
      </c>
      <c r="R909" s="80" t="s">
        <v>136</v>
      </c>
      <c r="S909" s="80">
        <v>3</v>
      </c>
      <c r="T909" s="80">
        <v>24</v>
      </c>
      <c r="U909" s="80" t="s">
        <v>843</v>
      </c>
      <c r="V909" s="80" t="s">
        <v>126</v>
      </c>
      <c r="W909" s="80" t="s">
        <v>127</v>
      </c>
      <c r="X909" s="80"/>
      <c r="Y909" s="80"/>
    </row>
    <row r="910" spans="1:25">
      <c r="A910" s="80">
        <f t="shared" si="15"/>
        <v>909</v>
      </c>
      <c r="B910" s="10">
        <v>45976.612523148098</v>
      </c>
      <c r="C910" s="13" t="s">
        <v>880</v>
      </c>
      <c r="D910" s="80" t="s">
        <v>4563</v>
      </c>
      <c r="E910" s="80" t="s">
        <v>4564</v>
      </c>
      <c r="F910" s="80" t="s">
        <v>4565</v>
      </c>
      <c r="G910" s="80" t="s">
        <v>4566</v>
      </c>
      <c r="H910" s="80" t="s">
        <v>115</v>
      </c>
      <c r="I910" s="80" t="s">
        <v>955</v>
      </c>
      <c r="J910" s="80" t="s">
        <v>117</v>
      </c>
      <c r="K910" s="80">
        <v>8</v>
      </c>
      <c r="L910" s="80" t="s">
        <v>4567</v>
      </c>
      <c r="M910" s="80" t="s">
        <v>4568</v>
      </c>
      <c r="N910" s="80" t="s">
        <v>120</v>
      </c>
      <c r="O910" s="80" t="s">
        <v>247</v>
      </c>
      <c r="P910" s="80" t="s">
        <v>832</v>
      </c>
      <c r="Q910" s="80" t="s">
        <v>123</v>
      </c>
      <c r="R910" s="80" t="s">
        <v>174</v>
      </c>
      <c r="S910" s="80">
        <v>3</v>
      </c>
      <c r="T910" s="80">
        <v>18</v>
      </c>
      <c r="U910" s="80" t="s">
        <v>882</v>
      </c>
      <c r="V910" s="80" t="s">
        <v>126</v>
      </c>
      <c r="W910" s="80" t="s">
        <v>127</v>
      </c>
      <c r="X910" s="80"/>
      <c r="Y910" s="80"/>
    </row>
    <row r="911" spans="1:25">
      <c r="A911" s="80">
        <f t="shared" si="15"/>
        <v>910</v>
      </c>
      <c r="B911" s="10">
        <v>45976.613078703696</v>
      </c>
      <c r="C911" s="13" t="s">
        <v>880</v>
      </c>
      <c r="D911" s="80" t="s">
        <v>4569</v>
      </c>
      <c r="E911" s="80" t="s">
        <v>4570</v>
      </c>
      <c r="F911" s="80" t="s">
        <v>4571</v>
      </c>
      <c r="G911" s="80" t="s">
        <v>4572</v>
      </c>
      <c r="H911" s="80" t="s">
        <v>115</v>
      </c>
      <c r="I911" s="80" t="s">
        <v>4472</v>
      </c>
      <c r="J911" s="80" t="s">
        <v>117</v>
      </c>
      <c r="K911" s="80">
        <v>22</v>
      </c>
      <c r="L911" s="80" t="s">
        <v>4573</v>
      </c>
      <c r="M911" s="80" t="s">
        <v>4574</v>
      </c>
      <c r="N911" s="80" t="s">
        <v>120</v>
      </c>
      <c r="O911" s="80" t="s">
        <v>4575</v>
      </c>
      <c r="P911" s="80" t="s">
        <v>269</v>
      </c>
      <c r="Q911" s="80" t="s">
        <v>123</v>
      </c>
      <c r="R911" s="80" t="s">
        <v>174</v>
      </c>
      <c r="S911" s="80">
        <v>12</v>
      </c>
      <c r="T911" s="80">
        <v>12</v>
      </c>
      <c r="U911" s="80" t="s">
        <v>882</v>
      </c>
      <c r="V911" s="80" t="s">
        <v>126</v>
      </c>
      <c r="W911" s="80" t="s">
        <v>127</v>
      </c>
      <c r="X911" s="80"/>
      <c r="Y911" s="80"/>
    </row>
    <row r="912" spans="1:25">
      <c r="A912" s="80">
        <f t="shared" si="15"/>
        <v>911</v>
      </c>
      <c r="B912" s="10">
        <v>45976.615034722199</v>
      </c>
      <c r="C912" s="13" t="s">
        <v>110</v>
      </c>
      <c r="D912" s="80" t="s">
        <v>4576</v>
      </c>
      <c r="E912" s="80" t="s">
        <v>4577</v>
      </c>
      <c r="F912" s="80" t="s">
        <v>4578</v>
      </c>
      <c r="G912" s="80" t="s">
        <v>4579</v>
      </c>
      <c r="H912" s="80" t="s">
        <v>115</v>
      </c>
      <c r="I912" s="80" t="s">
        <v>849</v>
      </c>
      <c r="J912" s="80" t="s">
        <v>117</v>
      </c>
      <c r="K912" s="80">
        <v>20</v>
      </c>
      <c r="L912" s="80" t="s">
        <v>4580</v>
      </c>
      <c r="M912" s="80" t="s">
        <v>4581</v>
      </c>
      <c r="N912" s="80" t="s">
        <v>164</v>
      </c>
      <c r="O912" s="80" t="s">
        <v>487</v>
      </c>
      <c r="P912" s="80" t="s">
        <v>178</v>
      </c>
      <c r="Q912" s="80" t="s">
        <v>123</v>
      </c>
      <c r="R912" s="80" t="s">
        <v>174</v>
      </c>
      <c r="S912" s="80">
        <v>12</v>
      </c>
      <c r="T912" s="80">
        <v>18</v>
      </c>
      <c r="U912" s="80" t="s">
        <v>125</v>
      </c>
      <c r="V912" s="80" t="s">
        <v>126</v>
      </c>
      <c r="W912" s="80" t="s">
        <v>127</v>
      </c>
      <c r="X912" s="80"/>
      <c r="Y912" s="80"/>
    </row>
    <row r="913" spans="1:25">
      <c r="A913" s="80">
        <f t="shared" si="15"/>
        <v>912</v>
      </c>
      <c r="B913" s="10">
        <v>45976.617372685199</v>
      </c>
      <c r="C913" s="13" t="s">
        <v>110</v>
      </c>
      <c r="D913" s="80" t="s">
        <v>4582</v>
      </c>
      <c r="E913" s="80" t="s">
        <v>4583</v>
      </c>
      <c r="F913" s="80" t="s">
        <v>4584</v>
      </c>
      <c r="G913" s="80" t="s">
        <v>4585</v>
      </c>
      <c r="H913" s="80" t="s">
        <v>174</v>
      </c>
      <c r="I913" s="80" t="s">
        <v>173</v>
      </c>
      <c r="J913" s="80" t="s">
        <v>9</v>
      </c>
      <c r="K913" s="80">
        <v>6</v>
      </c>
      <c r="L913" s="80" t="s">
        <v>4586</v>
      </c>
      <c r="M913" s="80" t="s">
        <v>4587</v>
      </c>
      <c r="N913" s="80" t="s">
        <v>120</v>
      </c>
      <c r="O913" s="80" t="s">
        <v>213</v>
      </c>
      <c r="P913" s="80" t="s">
        <v>214</v>
      </c>
      <c r="Q913" s="80" t="s">
        <v>123</v>
      </c>
      <c r="R913" s="80" t="s">
        <v>174</v>
      </c>
      <c r="S913" s="80">
        <v>19</v>
      </c>
      <c r="T913" s="80">
        <v>30</v>
      </c>
      <c r="U913" s="80" t="s">
        <v>125</v>
      </c>
      <c r="V913" s="80" t="s">
        <v>126</v>
      </c>
      <c r="W913" s="80" t="s">
        <v>127</v>
      </c>
      <c r="X913" s="80"/>
      <c r="Y913" s="80"/>
    </row>
    <row r="914" spans="1:25">
      <c r="A914" s="80">
        <f t="shared" si="15"/>
        <v>913</v>
      </c>
      <c r="B914" s="10">
        <v>45976.623124999998</v>
      </c>
      <c r="C914" s="13" t="s">
        <v>329</v>
      </c>
      <c r="D914" s="80" t="s">
        <v>4588</v>
      </c>
      <c r="E914" s="80" t="s">
        <v>437</v>
      </c>
      <c r="F914" s="80" t="s">
        <v>438</v>
      </c>
      <c r="G914" s="80" t="s">
        <v>439</v>
      </c>
      <c r="H914" s="80" t="s">
        <v>115</v>
      </c>
      <c r="I914" s="80" t="s">
        <v>865</v>
      </c>
      <c r="J914" s="80" t="s">
        <v>117</v>
      </c>
      <c r="K914" s="80">
        <v>6</v>
      </c>
      <c r="L914" s="80" t="s">
        <v>440</v>
      </c>
      <c r="M914" s="80" t="s">
        <v>441</v>
      </c>
      <c r="N914" s="80" t="s">
        <v>120</v>
      </c>
      <c r="O914" s="80" t="s">
        <v>213</v>
      </c>
      <c r="P914" s="80" t="s">
        <v>135</v>
      </c>
      <c r="Q914" s="80" t="s">
        <v>123</v>
      </c>
      <c r="R914" s="80" t="s">
        <v>124</v>
      </c>
      <c r="S914" s="80">
        <v>16</v>
      </c>
      <c r="T914" s="80">
        <v>24</v>
      </c>
      <c r="U914" s="80" t="s">
        <v>336</v>
      </c>
      <c r="V914" s="80" t="s">
        <v>126</v>
      </c>
      <c r="W914" s="80" t="s">
        <v>127</v>
      </c>
      <c r="X914" s="80"/>
      <c r="Y914" s="80"/>
    </row>
    <row r="915" spans="1:25">
      <c r="A915" s="80">
        <f t="shared" si="15"/>
        <v>914</v>
      </c>
      <c r="B915" s="10">
        <v>45976.624756944402</v>
      </c>
      <c r="C915" s="13" t="s">
        <v>359</v>
      </c>
      <c r="D915" s="80" t="s">
        <v>4589</v>
      </c>
      <c r="E915" s="80" t="s">
        <v>4193</v>
      </c>
      <c r="F915" s="80" t="s">
        <v>4194</v>
      </c>
      <c r="G915" s="80" t="s">
        <v>4195</v>
      </c>
      <c r="H915" s="80" t="s">
        <v>115</v>
      </c>
      <c r="I915" s="80" t="s">
        <v>1410</v>
      </c>
      <c r="J915" s="80" t="s">
        <v>117</v>
      </c>
      <c r="K915" s="80">
        <v>22</v>
      </c>
      <c r="L915" s="80" t="s">
        <v>4196</v>
      </c>
      <c r="M915" s="80" t="s">
        <v>4197</v>
      </c>
      <c r="N915" s="80" t="s">
        <v>120</v>
      </c>
      <c r="O915" s="80" t="s">
        <v>1319</v>
      </c>
      <c r="P915" s="80" t="s">
        <v>1720</v>
      </c>
      <c r="Q915" s="80" t="s">
        <v>123</v>
      </c>
      <c r="R915" s="80" t="s">
        <v>174</v>
      </c>
      <c r="S915" s="80">
        <v>15</v>
      </c>
      <c r="T915" s="80">
        <v>18</v>
      </c>
      <c r="U915" s="80" t="s">
        <v>361</v>
      </c>
      <c r="V915" s="80" t="s">
        <v>126</v>
      </c>
      <c r="W915" s="80" t="s">
        <v>127</v>
      </c>
      <c r="X915" s="80"/>
      <c r="Y915" s="80"/>
    </row>
    <row r="916" spans="1:25">
      <c r="A916" s="80">
        <f t="shared" si="15"/>
        <v>915</v>
      </c>
      <c r="B916" s="10">
        <v>45976.6255439815</v>
      </c>
      <c r="C916" s="13" t="s">
        <v>359</v>
      </c>
      <c r="D916" s="80" t="s">
        <v>4590</v>
      </c>
      <c r="E916" s="80" t="s">
        <v>2875</v>
      </c>
      <c r="F916" s="80" t="s">
        <v>2876</v>
      </c>
      <c r="G916" s="80" t="s">
        <v>2877</v>
      </c>
      <c r="H916" s="80" t="s">
        <v>115</v>
      </c>
      <c r="I916" s="80" t="s">
        <v>955</v>
      </c>
      <c r="J916" s="80" t="s">
        <v>117</v>
      </c>
      <c r="K916" s="80">
        <v>8</v>
      </c>
      <c r="L916" s="80" t="s">
        <v>2878</v>
      </c>
      <c r="M916" s="80" t="s">
        <v>2879</v>
      </c>
      <c r="N916" s="80" t="s">
        <v>120</v>
      </c>
      <c r="O916" s="80" t="s">
        <v>398</v>
      </c>
      <c r="P916" s="80" t="s">
        <v>135</v>
      </c>
      <c r="Q916" s="80" t="s">
        <v>123</v>
      </c>
      <c r="R916" s="80" t="s">
        <v>174</v>
      </c>
      <c r="S916" s="80">
        <v>4</v>
      </c>
      <c r="T916" s="80">
        <v>12</v>
      </c>
      <c r="U916" s="80" t="s">
        <v>361</v>
      </c>
      <c r="V916" s="80" t="s">
        <v>126</v>
      </c>
      <c r="W916" s="80" t="s">
        <v>127</v>
      </c>
      <c r="X916" s="80"/>
      <c r="Y916" s="80"/>
    </row>
    <row r="917" spans="1:25">
      <c r="A917" s="80">
        <f t="shared" si="15"/>
        <v>916</v>
      </c>
      <c r="B917" s="10">
        <v>45976.628831018497</v>
      </c>
      <c r="C917" s="13" t="s">
        <v>329</v>
      </c>
      <c r="D917" s="80" t="s">
        <v>4591</v>
      </c>
      <c r="E917" s="80" t="s">
        <v>4592</v>
      </c>
      <c r="F917" s="80" t="s">
        <v>4593</v>
      </c>
      <c r="G917" s="80" t="s">
        <v>4594</v>
      </c>
      <c r="H917" s="80" t="s">
        <v>210</v>
      </c>
      <c r="I917" s="80" t="s">
        <v>35</v>
      </c>
      <c r="J917" s="80" t="s">
        <v>9</v>
      </c>
      <c r="K917" s="80">
        <v>25</v>
      </c>
      <c r="L917" s="80" t="s">
        <v>4595</v>
      </c>
      <c r="M917" s="80" t="s">
        <v>4596</v>
      </c>
      <c r="N917" s="80" t="s">
        <v>164</v>
      </c>
      <c r="O917" s="80" t="s">
        <v>464</v>
      </c>
      <c r="P917" s="80" t="s">
        <v>269</v>
      </c>
      <c r="Q917" s="80" t="s">
        <v>123</v>
      </c>
      <c r="R917" s="80" t="s">
        <v>136</v>
      </c>
      <c r="S917" s="80">
        <v>23</v>
      </c>
      <c r="T917" s="80">
        <v>24</v>
      </c>
      <c r="U917" s="80" t="s">
        <v>336</v>
      </c>
      <c r="V917" s="80" t="s">
        <v>126</v>
      </c>
      <c r="W917" s="80" t="s">
        <v>5333</v>
      </c>
      <c r="X917" s="80"/>
      <c r="Y917" s="80"/>
    </row>
    <row r="918" spans="1:25">
      <c r="A918" s="80">
        <f t="shared" si="15"/>
        <v>917</v>
      </c>
      <c r="B918" s="10">
        <v>45976.629444444399</v>
      </c>
      <c r="C918" s="13" t="s">
        <v>157</v>
      </c>
      <c r="D918" s="80" t="s">
        <v>4597</v>
      </c>
      <c r="E918" s="80" t="s">
        <v>1022</v>
      </c>
      <c r="F918" s="80" t="s">
        <v>1023</v>
      </c>
      <c r="G918" s="80" t="s">
        <v>1024</v>
      </c>
      <c r="H918" s="80" t="s">
        <v>115</v>
      </c>
      <c r="I918" s="80" t="s">
        <v>842</v>
      </c>
      <c r="J918" s="80" t="s">
        <v>117</v>
      </c>
      <c r="K918" s="80">
        <v>3</v>
      </c>
      <c r="L918" s="80" t="s">
        <v>1025</v>
      </c>
      <c r="M918" s="80" t="s">
        <v>1026</v>
      </c>
      <c r="N918" s="80" t="s">
        <v>120</v>
      </c>
      <c r="O918" s="80" t="s">
        <v>187</v>
      </c>
      <c r="P918" s="80" t="s">
        <v>279</v>
      </c>
      <c r="Q918" s="80" t="s">
        <v>123</v>
      </c>
      <c r="R918" s="80" t="s">
        <v>136</v>
      </c>
      <c r="S918" s="80">
        <v>5</v>
      </c>
      <c r="T918" s="80">
        <v>24</v>
      </c>
      <c r="U918" s="80" t="s">
        <v>167</v>
      </c>
      <c r="V918" s="80" t="s">
        <v>126</v>
      </c>
      <c r="W918" s="80" t="s">
        <v>127</v>
      </c>
      <c r="X918" s="80"/>
      <c r="Y918" s="80"/>
    </row>
    <row r="919" spans="1:25">
      <c r="A919" s="80">
        <f t="shared" si="15"/>
        <v>918</v>
      </c>
      <c r="B919" s="10">
        <v>45976.634201388901</v>
      </c>
      <c r="C919" s="13" t="s">
        <v>320</v>
      </c>
      <c r="D919" s="80" t="s">
        <v>4598</v>
      </c>
      <c r="E919" s="80" t="s">
        <v>4599</v>
      </c>
      <c r="F919" s="80" t="s">
        <v>4600</v>
      </c>
      <c r="G919" s="80" t="s">
        <v>4601</v>
      </c>
      <c r="H919" s="80" t="s">
        <v>115</v>
      </c>
      <c r="I919" s="80" t="s">
        <v>4472</v>
      </c>
      <c r="J919" s="80" t="s">
        <v>117</v>
      </c>
      <c r="K919" s="80">
        <v>4</v>
      </c>
      <c r="L919" s="80" t="s">
        <v>4602</v>
      </c>
      <c r="M919" s="80" t="s">
        <v>4603</v>
      </c>
      <c r="N919" s="80" t="s">
        <v>120</v>
      </c>
      <c r="O919" s="80" t="s">
        <v>652</v>
      </c>
      <c r="P919" s="80" t="s">
        <v>269</v>
      </c>
      <c r="Q919" s="80" t="s">
        <v>123</v>
      </c>
      <c r="R919" s="80" t="s">
        <v>124</v>
      </c>
      <c r="S919" s="80">
        <v>4</v>
      </c>
      <c r="T919" s="80">
        <v>12</v>
      </c>
      <c r="U919" s="80" t="s">
        <v>328</v>
      </c>
      <c r="V919" s="80" t="s">
        <v>126</v>
      </c>
      <c r="W919" s="80" t="s">
        <v>127</v>
      </c>
      <c r="X919" s="80"/>
      <c r="Y919" s="80"/>
    </row>
    <row r="920" spans="1:25">
      <c r="A920" s="80">
        <f t="shared" si="15"/>
        <v>919</v>
      </c>
      <c r="B920" s="10">
        <v>45976.635625000003</v>
      </c>
      <c r="C920" s="13" t="s">
        <v>320</v>
      </c>
      <c r="D920" s="80" t="s">
        <v>4604</v>
      </c>
      <c r="E920" s="80" t="s">
        <v>3129</v>
      </c>
      <c r="F920" s="80" t="s">
        <v>3130</v>
      </c>
      <c r="G920" s="80" t="s">
        <v>3131</v>
      </c>
      <c r="H920" s="80" t="s">
        <v>115</v>
      </c>
      <c r="I920" s="80" t="s">
        <v>955</v>
      </c>
      <c r="J920" s="80" t="s">
        <v>117</v>
      </c>
      <c r="K920" s="80">
        <v>21</v>
      </c>
      <c r="L920" s="80" t="s">
        <v>3132</v>
      </c>
      <c r="M920" s="80" t="s">
        <v>3133</v>
      </c>
      <c r="N920" s="80" t="s">
        <v>120</v>
      </c>
      <c r="O920" s="80" t="s">
        <v>247</v>
      </c>
      <c r="P920" s="80" t="s">
        <v>701</v>
      </c>
      <c r="Q920" s="80" t="s">
        <v>123</v>
      </c>
      <c r="R920" s="80" t="s">
        <v>174</v>
      </c>
      <c r="S920" s="80">
        <v>3</v>
      </c>
      <c r="T920" s="80">
        <v>18</v>
      </c>
      <c r="U920" s="80" t="s">
        <v>328</v>
      </c>
      <c r="V920" s="80" t="s">
        <v>126</v>
      </c>
      <c r="W920" s="80" t="s">
        <v>127</v>
      </c>
      <c r="X920" s="80"/>
      <c r="Y920" s="80"/>
    </row>
    <row r="921" spans="1:25">
      <c r="A921" s="80">
        <f t="shared" ref="A921:A985" si="16">A920+1</f>
        <v>920</v>
      </c>
      <c r="B921" s="10">
        <v>45976.636226851799</v>
      </c>
      <c r="C921" s="13" t="s">
        <v>320</v>
      </c>
      <c r="D921" s="80" t="s">
        <v>4605</v>
      </c>
      <c r="E921" s="80" t="s">
        <v>4606</v>
      </c>
      <c r="F921" s="80" t="s">
        <v>4607</v>
      </c>
      <c r="G921" s="80" t="s">
        <v>4608</v>
      </c>
      <c r="H921" s="80" t="s">
        <v>115</v>
      </c>
      <c r="I921" s="80" t="s">
        <v>842</v>
      </c>
      <c r="J921" s="80" t="s">
        <v>117</v>
      </c>
      <c r="K921" s="80">
        <v>12</v>
      </c>
      <c r="L921" s="80" t="s">
        <v>4609</v>
      </c>
      <c r="M921" s="80" t="s">
        <v>4610</v>
      </c>
      <c r="N921" s="80" t="s">
        <v>164</v>
      </c>
      <c r="O921" s="80" t="s">
        <v>3294</v>
      </c>
      <c r="P921" s="80" t="s">
        <v>269</v>
      </c>
      <c r="Q921" s="80" t="s">
        <v>123</v>
      </c>
      <c r="R921" s="80" t="s">
        <v>174</v>
      </c>
      <c r="S921" s="80">
        <v>19</v>
      </c>
      <c r="T921" s="80">
        <v>30</v>
      </c>
      <c r="U921" s="80" t="s">
        <v>328</v>
      </c>
      <c r="V921" s="80" t="s">
        <v>126</v>
      </c>
      <c r="W921" s="80" t="s">
        <v>127</v>
      </c>
      <c r="X921" s="80"/>
      <c r="Y921" s="80"/>
    </row>
    <row r="922" spans="1:25">
      <c r="A922" s="80">
        <f t="shared" si="16"/>
        <v>921</v>
      </c>
      <c r="B922" s="10">
        <v>45976.636307870402</v>
      </c>
      <c r="C922" s="13" t="s">
        <v>320</v>
      </c>
      <c r="D922" s="80" t="s">
        <v>4605</v>
      </c>
      <c r="E922" s="80" t="s">
        <v>4611</v>
      </c>
      <c r="F922" s="80" t="s">
        <v>4612</v>
      </c>
      <c r="G922" s="80" t="s">
        <v>4613</v>
      </c>
      <c r="H922" s="80" t="s">
        <v>115</v>
      </c>
      <c r="I922" s="80" t="s">
        <v>244</v>
      </c>
      <c r="J922" s="80" t="s">
        <v>9</v>
      </c>
      <c r="K922" s="80">
        <v>24</v>
      </c>
      <c r="L922" s="80" t="s">
        <v>4614</v>
      </c>
      <c r="M922" s="80" t="s">
        <v>4615</v>
      </c>
      <c r="N922" s="80" t="s">
        <v>120</v>
      </c>
      <c r="O922" s="80" t="s">
        <v>247</v>
      </c>
      <c r="P922" s="80" t="s">
        <v>1372</v>
      </c>
      <c r="Q922" s="80" t="s">
        <v>123</v>
      </c>
      <c r="R922" s="80" t="s">
        <v>174</v>
      </c>
      <c r="S922" s="80">
        <v>1</v>
      </c>
      <c r="T922" s="80">
        <v>18</v>
      </c>
      <c r="U922" s="80" t="s">
        <v>328</v>
      </c>
      <c r="V922" s="80" t="s">
        <v>126</v>
      </c>
      <c r="W922" s="80" t="s">
        <v>127</v>
      </c>
      <c r="X922" s="80"/>
      <c r="Y922" s="80"/>
    </row>
    <row r="923" spans="1:25">
      <c r="A923" s="80">
        <f t="shared" si="16"/>
        <v>922</v>
      </c>
      <c r="B923" s="10">
        <v>45976.636666666702</v>
      </c>
      <c r="C923" s="13" t="s">
        <v>320</v>
      </c>
      <c r="D923" s="80" t="s">
        <v>4605</v>
      </c>
      <c r="E923" s="80" t="s">
        <v>4616</v>
      </c>
      <c r="F923" s="80" t="s">
        <v>4617</v>
      </c>
      <c r="G923" s="80" t="s">
        <v>4618</v>
      </c>
      <c r="H923" s="80" t="s">
        <v>174</v>
      </c>
      <c r="I923" s="80" t="s">
        <v>173</v>
      </c>
      <c r="J923" s="80" t="s">
        <v>9</v>
      </c>
      <c r="K923" s="80">
        <v>1</v>
      </c>
      <c r="L923" s="80" t="s">
        <v>4619</v>
      </c>
      <c r="M923" s="80" t="s">
        <v>4620</v>
      </c>
      <c r="N923" s="80" t="s">
        <v>164</v>
      </c>
      <c r="O923" s="80" t="s">
        <v>770</v>
      </c>
      <c r="P923" s="80" t="s">
        <v>178</v>
      </c>
      <c r="Q923" s="80" t="s">
        <v>123</v>
      </c>
      <c r="R923" s="80" t="s">
        <v>174</v>
      </c>
      <c r="S923" s="80">
        <v>1</v>
      </c>
      <c r="T923" s="80">
        <v>18</v>
      </c>
      <c r="U923" s="80" t="s">
        <v>328</v>
      </c>
      <c r="V923" s="80" t="s">
        <v>126</v>
      </c>
      <c r="W923" s="80" t="s">
        <v>127</v>
      </c>
      <c r="X923" s="80"/>
      <c r="Y923" s="80"/>
    </row>
    <row r="924" spans="1:25">
      <c r="A924" s="80">
        <f t="shared" si="16"/>
        <v>923</v>
      </c>
      <c r="B924" s="10">
        <v>45976.6383796296</v>
      </c>
      <c r="C924" s="13" t="s">
        <v>320</v>
      </c>
      <c r="D924" s="80" t="s">
        <v>4621</v>
      </c>
      <c r="E924" s="80" t="s">
        <v>4622</v>
      </c>
      <c r="F924" s="80" t="s">
        <v>4623</v>
      </c>
      <c r="G924" s="80" t="s">
        <v>4624</v>
      </c>
      <c r="H924" s="80" t="s">
        <v>115</v>
      </c>
      <c r="I924" s="80" t="s">
        <v>842</v>
      </c>
      <c r="J924" s="80" t="s">
        <v>117</v>
      </c>
      <c r="K924" s="80">
        <v>3</v>
      </c>
      <c r="L924" s="80" t="s">
        <v>4625</v>
      </c>
      <c r="M924" s="80" t="s">
        <v>4626</v>
      </c>
      <c r="N924" s="80" t="s">
        <v>120</v>
      </c>
      <c r="O924" s="80" t="s">
        <v>247</v>
      </c>
      <c r="P924" s="80" t="s">
        <v>287</v>
      </c>
      <c r="Q924" s="80" t="s">
        <v>123</v>
      </c>
      <c r="R924" s="80" t="s">
        <v>124</v>
      </c>
      <c r="S924" s="80">
        <v>6</v>
      </c>
      <c r="T924" s="80">
        <v>18</v>
      </c>
      <c r="U924" s="80" t="s">
        <v>328</v>
      </c>
      <c r="V924" s="80" t="s">
        <v>126</v>
      </c>
      <c r="W924" s="80" t="s">
        <v>127</v>
      </c>
      <c r="X924" s="80"/>
      <c r="Y924" s="80"/>
    </row>
    <row r="925" spans="1:25">
      <c r="A925" s="80">
        <f t="shared" si="16"/>
        <v>924</v>
      </c>
      <c r="B925" s="10">
        <v>45976.640150462998</v>
      </c>
      <c r="C925" s="13" t="s">
        <v>320</v>
      </c>
      <c r="D925" s="80" t="s">
        <v>4627</v>
      </c>
      <c r="E925" s="80" t="s">
        <v>4628</v>
      </c>
      <c r="F925" s="80" t="s">
        <v>4629</v>
      </c>
      <c r="G925" s="80" t="s">
        <v>4630</v>
      </c>
      <c r="H925" s="80" t="s">
        <v>115</v>
      </c>
      <c r="I925" s="80" t="s">
        <v>1069</v>
      </c>
      <c r="J925" s="80" t="s">
        <v>117</v>
      </c>
      <c r="K925" s="80">
        <v>1</v>
      </c>
      <c r="L925" s="80" t="s">
        <v>4631</v>
      </c>
      <c r="M925" s="80" t="s">
        <v>4632</v>
      </c>
      <c r="N925" s="80" t="s">
        <v>120</v>
      </c>
      <c r="O925" s="80" t="s">
        <v>4633</v>
      </c>
      <c r="P925" s="80" t="s">
        <v>135</v>
      </c>
      <c r="Q925" s="80" t="s">
        <v>123</v>
      </c>
      <c r="R925" s="80" t="s">
        <v>136</v>
      </c>
      <c r="S925" s="80">
        <v>3</v>
      </c>
      <c r="T925" s="80">
        <v>18</v>
      </c>
      <c r="U925" s="80" t="s">
        <v>328</v>
      </c>
      <c r="V925" s="80" t="s">
        <v>126</v>
      </c>
      <c r="W925" s="80" t="s">
        <v>127</v>
      </c>
      <c r="X925" s="80"/>
      <c r="Y925" s="80"/>
    </row>
    <row r="926" spans="1:25">
      <c r="A926" s="80">
        <f t="shared" si="16"/>
        <v>925</v>
      </c>
      <c r="B926" s="10">
        <v>45976.6409375</v>
      </c>
      <c r="C926" s="13" t="s">
        <v>329</v>
      </c>
      <c r="D926" s="80" t="s">
        <v>4634</v>
      </c>
      <c r="E926" s="80" t="s">
        <v>1756</v>
      </c>
      <c r="F926" s="80" t="s">
        <v>1757</v>
      </c>
      <c r="G926" s="80" t="s">
        <v>1758</v>
      </c>
      <c r="H926" s="80" t="s">
        <v>115</v>
      </c>
      <c r="I926" s="80" t="s">
        <v>865</v>
      </c>
      <c r="J926" s="80" t="s">
        <v>9</v>
      </c>
      <c r="K926" s="80">
        <v>21</v>
      </c>
      <c r="L926" s="80" t="s">
        <v>1759</v>
      </c>
      <c r="M926" s="80" t="s">
        <v>1760</v>
      </c>
      <c r="N926" s="80" t="s">
        <v>120</v>
      </c>
      <c r="O926" s="80" t="s">
        <v>213</v>
      </c>
      <c r="P926" s="80" t="s">
        <v>135</v>
      </c>
      <c r="Q926" s="80" t="s">
        <v>123</v>
      </c>
      <c r="R926" s="80" t="s">
        <v>174</v>
      </c>
      <c r="S926" s="80">
        <v>9</v>
      </c>
      <c r="T926" s="80">
        <v>24</v>
      </c>
      <c r="U926" s="80" t="s">
        <v>336</v>
      </c>
      <c r="V926" s="80" t="s">
        <v>126</v>
      </c>
      <c r="W926" s="80" t="s">
        <v>127</v>
      </c>
      <c r="X926" s="80"/>
      <c r="Y926" s="80"/>
    </row>
    <row r="927" spans="1:25">
      <c r="A927" s="80">
        <f t="shared" si="16"/>
        <v>926</v>
      </c>
      <c r="B927" s="10">
        <v>45976.641099537002</v>
      </c>
      <c r="C927" s="13" t="s">
        <v>320</v>
      </c>
      <c r="D927" s="80" t="s">
        <v>4635</v>
      </c>
      <c r="E927" s="80" t="s">
        <v>4636</v>
      </c>
      <c r="F927" s="80" t="s">
        <v>4637</v>
      </c>
      <c r="G927" s="80" t="s">
        <v>4638</v>
      </c>
      <c r="H927" s="80" t="s">
        <v>115</v>
      </c>
      <c r="I927" s="80" t="s">
        <v>865</v>
      </c>
      <c r="J927" s="80" t="s">
        <v>117</v>
      </c>
      <c r="K927" s="80">
        <v>12</v>
      </c>
      <c r="L927" s="80" t="s">
        <v>4639</v>
      </c>
      <c r="M927" s="80" t="s">
        <v>4640</v>
      </c>
      <c r="N927" s="80" t="s">
        <v>120</v>
      </c>
      <c r="O927" s="80" t="s">
        <v>4641</v>
      </c>
      <c r="P927" s="80" t="s">
        <v>4642</v>
      </c>
      <c r="Q927" s="80" t="s">
        <v>123</v>
      </c>
      <c r="R927" s="80" t="s">
        <v>174</v>
      </c>
      <c r="S927" s="80">
        <v>14</v>
      </c>
      <c r="T927" s="80">
        <v>24</v>
      </c>
      <c r="U927" s="80" t="s">
        <v>328</v>
      </c>
      <c r="V927" s="80" t="s">
        <v>126</v>
      </c>
      <c r="W927" s="80" t="s">
        <v>127</v>
      </c>
      <c r="X927" s="80"/>
      <c r="Y927" s="80"/>
    </row>
    <row r="928" spans="1:25">
      <c r="A928" s="80">
        <f t="shared" si="16"/>
        <v>927</v>
      </c>
      <c r="B928" s="10">
        <v>45976.641956018502</v>
      </c>
      <c r="C928" s="13" t="s">
        <v>329</v>
      </c>
      <c r="D928" s="80" t="s">
        <v>4643</v>
      </c>
      <c r="E928" s="80" t="s">
        <v>1143</v>
      </c>
      <c r="F928" s="80" t="s">
        <v>1144</v>
      </c>
      <c r="G928" s="80" t="s">
        <v>1145</v>
      </c>
      <c r="H928" s="80" t="s">
        <v>210</v>
      </c>
      <c r="I928" s="80" t="s">
        <v>35</v>
      </c>
      <c r="J928" s="80" t="s">
        <v>9</v>
      </c>
      <c r="K928" s="80">
        <v>13</v>
      </c>
      <c r="L928" s="80" t="s">
        <v>1146</v>
      </c>
      <c r="M928" s="80" t="s">
        <v>1147</v>
      </c>
      <c r="N928" s="80" t="s">
        <v>120</v>
      </c>
      <c r="O928" s="80" t="s">
        <v>152</v>
      </c>
      <c r="P928" s="80" t="s">
        <v>1148</v>
      </c>
      <c r="Q928" s="80" t="s">
        <v>123</v>
      </c>
      <c r="R928" s="80" t="s">
        <v>136</v>
      </c>
      <c r="S928" s="80">
        <v>15</v>
      </c>
      <c r="T928" s="80">
        <v>18</v>
      </c>
      <c r="U928" s="80" t="s">
        <v>336</v>
      </c>
      <c r="V928" s="80" t="s">
        <v>126</v>
      </c>
      <c r="W928" s="80" t="s">
        <v>1770</v>
      </c>
      <c r="X928" s="80"/>
      <c r="Y928" s="80"/>
    </row>
    <row r="929" spans="1:25">
      <c r="A929" s="80">
        <f t="shared" si="16"/>
        <v>928</v>
      </c>
      <c r="B929" s="10">
        <v>45976.6422916667</v>
      </c>
      <c r="C929" s="13" t="s">
        <v>320</v>
      </c>
      <c r="D929" s="80" t="s">
        <v>4644</v>
      </c>
      <c r="E929" s="80" t="s">
        <v>3959</v>
      </c>
      <c r="F929" s="80" t="s">
        <v>3960</v>
      </c>
      <c r="G929" s="80" t="s">
        <v>3961</v>
      </c>
      <c r="H929" s="80" t="s">
        <v>115</v>
      </c>
      <c r="I929" s="80" t="s">
        <v>227</v>
      </c>
      <c r="J929" s="80" t="s">
        <v>117</v>
      </c>
      <c r="K929" s="80">
        <v>11</v>
      </c>
      <c r="L929" s="80" t="s">
        <v>3962</v>
      </c>
      <c r="M929" s="80" t="s">
        <v>3963</v>
      </c>
      <c r="N929" s="80" t="s">
        <v>164</v>
      </c>
      <c r="O929" s="80" t="s">
        <v>406</v>
      </c>
      <c r="P929" s="80" t="s">
        <v>407</v>
      </c>
      <c r="Q929" s="80" t="s">
        <v>123</v>
      </c>
      <c r="R929" s="80" t="s">
        <v>174</v>
      </c>
      <c r="S929" s="80">
        <v>22</v>
      </c>
      <c r="T929" s="80">
        <v>24</v>
      </c>
      <c r="U929" s="80" t="s">
        <v>328</v>
      </c>
      <c r="V929" s="80" t="s">
        <v>126</v>
      </c>
      <c r="W929" s="80" t="s">
        <v>127</v>
      </c>
      <c r="X929" s="80"/>
      <c r="Y929" s="80"/>
    </row>
    <row r="930" spans="1:25">
      <c r="A930" s="80">
        <f t="shared" si="16"/>
        <v>929</v>
      </c>
      <c r="B930" s="10">
        <v>45976.644305555601</v>
      </c>
      <c r="C930" s="13" t="s">
        <v>1305</v>
      </c>
      <c r="D930" s="80" t="s">
        <v>4645</v>
      </c>
      <c r="E930" s="80" t="s">
        <v>4646</v>
      </c>
      <c r="F930" s="80" t="s">
        <v>4647</v>
      </c>
      <c r="G930" s="80" t="s">
        <v>4648</v>
      </c>
      <c r="H930" s="80" t="s">
        <v>115</v>
      </c>
      <c r="I930" s="80" t="s">
        <v>865</v>
      </c>
      <c r="J930" s="80" t="s">
        <v>9</v>
      </c>
      <c r="K930" s="80">
        <v>20</v>
      </c>
      <c r="L930" s="80" t="s">
        <v>4649</v>
      </c>
      <c r="M930" s="80" t="s">
        <v>4650</v>
      </c>
      <c r="N930" s="80" t="s">
        <v>120</v>
      </c>
      <c r="O930" s="80" t="s">
        <v>4651</v>
      </c>
      <c r="P930" s="80" t="s">
        <v>269</v>
      </c>
      <c r="Q930" s="80" t="s">
        <v>123</v>
      </c>
      <c r="R930" s="80" t="s">
        <v>174</v>
      </c>
      <c r="S930" s="80">
        <v>1</v>
      </c>
      <c r="T930" s="80">
        <v>18</v>
      </c>
      <c r="U930" s="80" t="s">
        <v>1312</v>
      </c>
      <c r="V930" s="80" t="s">
        <v>126</v>
      </c>
      <c r="W930" s="80" t="s">
        <v>127</v>
      </c>
      <c r="X930" s="80"/>
      <c r="Y930" s="80"/>
    </row>
    <row r="931" spans="1:25">
      <c r="A931" s="80">
        <f t="shared" si="16"/>
        <v>930</v>
      </c>
      <c r="B931" s="10">
        <v>45976.644560185203</v>
      </c>
      <c r="C931" s="13" t="s">
        <v>320</v>
      </c>
      <c r="D931" s="80" t="s">
        <v>4652</v>
      </c>
      <c r="E931" s="80" t="s">
        <v>4653</v>
      </c>
      <c r="F931" s="80" t="s">
        <v>4654</v>
      </c>
      <c r="G931" s="80" t="s">
        <v>4655</v>
      </c>
      <c r="H931" s="80" t="s">
        <v>115</v>
      </c>
      <c r="I931" s="80" t="s">
        <v>955</v>
      </c>
      <c r="J931" s="80" t="s">
        <v>117</v>
      </c>
      <c r="K931" s="80">
        <v>18</v>
      </c>
      <c r="L931" s="80" t="s">
        <v>4656</v>
      </c>
      <c r="M931" s="80" t="s">
        <v>4657</v>
      </c>
      <c r="N931" s="80" t="s">
        <v>120</v>
      </c>
      <c r="O931" s="80" t="s">
        <v>371</v>
      </c>
      <c r="P931" s="80" t="s">
        <v>178</v>
      </c>
      <c r="Q931" s="80" t="s">
        <v>123</v>
      </c>
      <c r="R931" s="80" t="s">
        <v>174</v>
      </c>
      <c r="S931" s="80">
        <v>5</v>
      </c>
      <c r="T931" s="80">
        <v>18</v>
      </c>
      <c r="U931" s="80" t="s">
        <v>328</v>
      </c>
      <c r="V931" s="80" t="s">
        <v>126</v>
      </c>
      <c r="W931" s="80" t="s">
        <v>127</v>
      </c>
      <c r="X931" s="80"/>
      <c r="Y931" s="80"/>
    </row>
    <row r="932" spans="1:25">
      <c r="A932" s="80">
        <f t="shared" si="16"/>
        <v>931</v>
      </c>
      <c r="B932" s="10">
        <v>45976.644687499997</v>
      </c>
      <c r="C932" s="13" t="s">
        <v>320</v>
      </c>
      <c r="D932" s="80" t="s">
        <v>4658</v>
      </c>
      <c r="E932" s="80" t="s">
        <v>4659</v>
      </c>
      <c r="F932" s="80" t="s">
        <v>4660</v>
      </c>
      <c r="G932" s="80" t="s">
        <v>4661</v>
      </c>
      <c r="H932" s="80" t="s">
        <v>115</v>
      </c>
      <c r="I932" s="80" t="s">
        <v>227</v>
      </c>
      <c r="J932" s="80" t="s">
        <v>117</v>
      </c>
      <c r="K932" s="80">
        <v>1</v>
      </c>
      <c r="L932" s="80" t="s">
        <v>4662</v>
      </c>
      <c r="M932" s="80" t="s">
        <v>4663</v>
      </c>
      <c r="N932" s="80" t="s">
        <v>120</v>
      </c>
      <c r="O932" s="80" t="s">
        <v>371</v>
      </c>
      <c r="P932" s="80" t="s">
        <v>178</v>
      </c>
      <c r="Q932" s="80" t="s">
        <v>123</v>
      </c>
      <c r="R932" s="80" t="s">
        <v>124</v>
      </c>
      <c r="S932" s="80">
        <v>5</v>
      </c>
      <c r="T932" s="80">
        <v>12</v>
      </c>
      <c r="U932" s="80" t="s">
        <v>328</v>
      </c>
      <c r="V932" s="80" t="s">
        <v>126</v>
      </c>
      <c r="W932" s="80" t="s">
        <v>127</v>
      </c>
      <c r="X932" s="80"/>
      <c r="Y932" s="80"/>
    </row>
    <row r="933" spans="1:25">
      <c r="A933" s="80">
        <f t="shared" si="16"/>
        <v>932</v>
      </c>
      <c r="B933" s="10">
        <v>45976.646296296298</v>
      </c>
      <c r="C933" s="13" t="s">
        <v>110</v>
      </c>
      <c r="D933" s="80" t="s">
        <v>4664</v>
      </c>
      <c r="E933" s="80" t="s">
        <v>4665</v>
      </c>
      <c r="F933" s="80" t="s">
        <v>4666</v>
      </c>
      <c r="G933" s="80" t="s">
        <v>4667</v>
      </c>
      <c r="H933" s="80" t="s">
        <v>115</v>
      </c>
      <c r="I933" s="80" t="s">
        <v>849</v>
      </c>
      <c r="J933" s="80" t="s">
        <v>117</v>
      </c>
      <c r="K933" s="80">
        <v>12</v>
      </c>
      <c r="L933" s="80" t="s">
        <v>4668</v>
      </c>
      <c r="M933" s="80" t="s">
        <v>4669</v>
      </c>
      <c r="N933" s="80" t="s">
        <v>120</v>
      </c>
      <c r="O933" s="80" t="s">
        <v>121</v>
      </c>
      <c r="P933" s="80" t="s">
        <v>122</v>
      </c>
      <c r="Q933" s="80" t="s">
        <v>123</v>
      </c>
      <c r="R933" s="80" t="s">
        <v>174</v>
      </c>
      <c r="S933" s="80">
        <v>26</v>
      </c>
      <c r="T933" s="80">
        <v>30</v>
      </c>
      <c r="U933" s="80" t="s">
        <v>125</v>
      </c>
      <c r="V933" s="80" t="s">
        <v>126</v>
      </c>
      <c r="W933" s="80" t="s">
        <v>127</v>
      </c>
      <c r="X933" s="80"/>
      <c r="Y933" s="80"/>
    </row>
    <row r="934" spans="1:25">
      <c r="A934" s="80">
        <f t="shared" si="16"/>
        <v>933</v>
      </c>
      <c r="B934" s="10">
        <v>45976.646643518499</v>
      </c>
      <c r="C934" s="13" t="s">
        <v>1305</v>
      </c>
      <c r="D934" s="80" t="s">
        <v>4670</v>
      </c>
      <c r="E934" s="80" t="s">
        <v>1274</v>
      </c>
      <c r="F934" s="80" t="s">
        <v>1275</v>
      </c>
      <c r="G934" s="80" t="s">
        <v>1276</v>
      </c>
      <c r="H934" s="80" t="s">
        <v>115</v>
      </c>
      <c r="I934" s="80" t="s">
        <v>842</v>
      </c>
      <c r="J934" s="80" t="s">
        <v>117</v>
      </c>
      <c r="K934" s="80">
        <v>14</v>
      </c>
      <c r="L934" s="80" t="s">
        <v>1277</v>
      </c>
      <c r="M934" s="80" t="s">
        <v>1278</v>
      </c>
      <c r="N934" s="80" t="s">
        <v>120</v>
      </c>
      <c r="O934" s="80" t="s">
        <v>152</v>
      </c>
      <c r="P934" s="80" t="s">
        <v>1279</v>
      </c>
      <c r="Q934" s="80" t="s">
        <v>123</v>
      </c>
      <c r="R934" s="80" t="s">
        <v>174</v>
      </c>
      <c r="S934" s="80">
        <v>17</v>
      </c>
      <c r="T934" s="80">
        <v>18</v>
      </c>
      <c r="U934" s="80" t="s">
        <v>1312</v>
      </c>
      <c r="V934" s="80" t="s">
        <v>126</v>
      </c>
      <c r="W934" s="80" t="s">
        <v>127</v>
      </c>
      <c r="X934" s="80"/>
      <c r="Y934" s="80"/>
    </row>
    <row r="935" spans="1:25">
      <c r="A935" s="80">
        <f t="shared" si="16"/>
        <v>934</v>
      </c>
      <c r="B935" s="10">
        <v>45976.646782407399</v>
      </c>
      <c r="C935" s="13" t="s">
        <v>320</v>
      </c>
      <c r="D935" s="80" t="s">
        <v>4671</v>
      </c>
      <c r="E935" s="80" t="s">
        <v>4672</v>
      </c>
      <c r="F935" s="80" t="s">
        <v>4673</v>
      </c>
      <c r="G935" s="80" t="s">
        <v>4674</v>
      </c>
      <c r="H935" s="80" t="s">
        <v>115</v>
      </c>
      <c r="I935" s="80" t="s">
        <v>244</v>
      </c>
      <c r="J935" s="80" t="s">
        <v>117</v>
      </c>
      <c r="K935" s="80">
        <v>24</v>
      </c>
      <c r="L935" s="80" t="s">
        <v>4675</v>
      </c>
      <c r="M935" s="80" t="s">
        <v>4676</v>
      </c>
      <c r="N935" s="80" t="s">
        <v>164</v>
      </c>
      <c r="O935" s="80" t="s">
        <v>464</v>
      </c>
      <c r="P935" s="80" t="s">
        <v>135</v>
      </c>
      <c r="Q935" s="80" t="s">
        <v>123</v>
      </c>
      <c r="R935" s="80" t="s">
        <v>174</v>
      </c>
      <c r="S935" s="80">
        <v>4</v>
      </c>
      <c r="T935" s="80">
        <v>12</v>
      </c>
      <c r="U935" s="80" t="s">
        <v>328</v>
      </c>
      <c r="V935" s="80" t="s">
        <v>126</v>
      </c>
      <c r="W935" s="80" t="s">
        <v>127</v>
      </c>
      <c r="X935" s="80"/>
      <c r="Y935" s="80"/>
    </row>
    <row r="936" spans="1:25">
      <c r="A936" s="80">
        <f t="shared" si="16"/>
        <v>935</v>
      </c>
      <c r="B936" s="10">
        <v>45976.650347222203</v>
      </c>
      <c r="C936" s="13" t="s">
        <v>320</v>
      </c>
      <c r="D936" s="80" t="s">
        <v>4677</v>
      </c>
      <c r="E936" s="80" t="s">
        <v>4678</v>
      </c>
      <c r="F936" s="80" t="s">
        <v>4679</v>
      </c>
      <c r="G936" s="80" t="s">
        <v>4680</v>
      </c>
      <c r="H936" s="80" t="s">
        <v>115</v>
      </c>
      <c r="I936" s="80" t="s">
        <v>865</v>
      </c>
      <c r="J936" s="80" t="s">
        <v>117</v>
      </c>
      <c r="K936" s="80">
        <v>18</v>
      </c>
      <c r="L936" s="80" t="s">
        <v>4681</v>
      </c>
      <c r="M936" s="80" t="s">
        <v>4682</v>
      </c>
      <c r="N936" s="80" t="s">
        <v>120</v>
      </c>
      <c r="O936" s="80" t="s">
        <v>4683</v>
      </c>
      <c r="P936" s="80" t="s">
        <v>135</v>
      </c>
      <c r="Q936" s="80" t="s">
        <v>123</v>
      </c>
      <c r="R936" s="80" t="s">
        <v>174</v>
      </c>
      <c r="S936" s="80">
        <v>5</v>
      </c>
      <c r="T936" s="80">
        <v>12</v>
      </c>
      <c r="U936" s="80" t="s">
        <v>328</v>
      </c>
      <c r="V936" s="80" t="s">
        <v>126</v>
      </c>
      <c r="W936" s="80" t="s">
        <v>127</v>
      </c>
      <c r="X936" s="80"/>
      <c r="Y936" s="80"/>
    </row>
    <row r="937" spans="1:25">
      <c r="A937" s="80">
        <f t="shared" si="16"/>
        <v>936</v>
      </c>
      <c r="B937" s="10">
        <v>45976.651122685202</v>
      </c>
      <c r="C937" s="13" t="s">
        <v>110</v>
      </c>
      <c r="D937" s="80" t="s">
        <v>4684</v>
      </c>
      <c r="E937" s="80" t="s">
        <v>3351</v>
      </c>
      <c r="F937" s="80" t="e">
        <v>#N/A</v>
      </c>
      <c r="G937" s="80" t="e">
        <v>#N/A</v>
      </c>
      <c r="H937" s="80" t="e">
        <v>#N/A</v>
      </c>
      <c r="I937" s="80" t="e">
        <v>#N/A</v>
      </c>
      <c r="J937" s="80" t="e">
        <v>#N/A</v>
      </c>
      <c r="K937" s="80" t="e">
        <v>#N/A</v>
      </c>
      <c r="L937" s="80" t="e">
        <v>#N/A</v>
      </c>
      <c r="M937" s="80" t="e">
        <v>#N/A</v>
      </c>
      <c r="N937" s="80" t="e">
        <v>#N/A</v>
      </c>
      <c r="O937" s="80" t="e">
        <v>#N/A</v>
      </c>
      <c r="P937" s="80" t="e">
        <v>#N/A</v>
      </c>
      <c r="Q937" s="80" t="e">
        <v>#N/A</v>
      </c>
      <c r="R937" s="80" t="e">
        <v>#N/A</v>
      </c>
      <c r="S937" s="80" t="e">
        <v>#N/A</v>
      </c>
      <c r="T937" s="80" t="e">
        <v>#N/A</v>
      </c>
      <c r="U937" s="80" t="s">
        <v>125</v>
      </c>
      <c r="V937" s="80" t="s">
        <v>126</v>
      </c>
      <c r="W937" s="80" t="s">
        <v>127</v>
      </c>
      <c r="X937" s="80"/>
      <c r="Y937" s="80"/>
    </row>
    <row r="938" spans="1:25">
      <c r="A938" s="80">
        <f t="shared" si="16"/>
        <v>937</v>
      </c>
      <c r="B938" s="10">
        <v>45976.6563888889</v>
      </c>
      <c r="C938" s="13" t="s">
        <v>320</v>
      </c>
      <c r="D938" s="80" t="s">
        <v>4685</v>
      </c>
      <c r="E938" s="80" t="s">
        <v>4686</v>
      </c>
      <c r="F938" s="80" t="s">
        <v>4687</v>
      </c>
      <c r="G938" s="80" t="s">
        <v>4688</v>
      </c>
      <c r="H938" s="80" t="s">
        <v>174</v>
      </c>
      <c r="I938" s="80" t="s">
        <v>173</v>
      </c>
      <c r="J938" s="80" t="s">
        <v>9</v>
      </c>
      <c r="K938" s="80">
        <v>1</v>
      </c>
      <c r="L938" s="80" t="s">
        <v>4689</v>
      </c>
      <c r="M938" s="80" t="s">
        <v>4690</v>
      </c>
      <c r="N938" s="80" t="s">
        <v>120</v>
      </c>
      <c r="O938" s="80" t="s">
        <v>449</v>
      </c>
      <c r="P938" s="80" t="s">
        <v>1180</v>
      </c>
      <c r="Q938" s="80" t="s">
        <v>123</v>
      </c>
      <c r="R938" s="80" t="s">
        <v>174</v>
      </c>
      <c r="S938" s="80">
        <v>3</v>
      </c>
      <c r="T938" s="80">
        <v>24</v>
      </c>
      <c r="U938" s="80" t="s">
        <v>328</v>
      </c>
      <c r="V938" s="80" t="s">
        <v>126</v>
      </c>
      <c r="W938" s="80" t="s">
        <v>127</v>
      </c>
      <c r="X938" s="80"/>
      <c r="Y938" s="80"/>
    </row>
    <row r="939" spans="1:25">
      <c r="A939" s="80">
        <f t="shared" si="16"/>
        <v>938</v>
      </c>
      <c r="B939" s="10">
        <v>45976.660347222198</v>
      </c>
      <c r="C939" s="13" t="s">
        <v>320</v>
      </c>
      <c r="D939" s="80" t="s">
        <v>4691</v>
      </c>
      <c r="E939" s="80" t="s">
        <v>2197</v>
      </c>
      <c r="F939" s="80" t="s">
        <v>2198</v>
      </c>
      <c r="G939" s="80" t="s">
        <v>2199</v>
      </c>
      <c r="H939" s="80" t="s">
        <v>115</v>
      </c>
      <c r="I939" s="80" t="s">
        <v>1069</v>
      </c>
      <c r="J939" s="80" t="s">
        <v>117</v>
      </c>
      <c r="K939" s="80">
        <v>9</v>
      </c>
      <c r="L939" s="80" t="s">
        <v>2200</v>
      </c>
      <c r="M939" s="80" t="s">
        <v>2201</v>
      </c>
      <c r="N939" s="80" t="s">
        <v>517</v>
      </c>
      <c r="O939" s="80" t="s">
        <v>2202</v>
      </c>
      <c r="P939" s="80" t="s">
        <v>287</v>
      </c>
      <c r="Q939" s="80" t="s">
        <v>123</v>
      </c>
      <c r="R939" s="80" t="s">
        <v>174</v>
      </c>
      <c r="S939" s="80">
        <v>3</v>
      </c>
      <c r="T939" s="80">
        <v>12</v>
      </c>
      <c r="U939" s="80" t="s">
        <v>328</v>
      </c>
      <c r="V939" s="80" t="s">
        <v>126</v>
      </c>
      <c r="W939" s="80" t="s">
        <v>127</v>
      </c>
      <c r="X939" s="80"/>
      <c r="Y939" s="80"/>
    </row>
    <row r="940" spans="1:25">
      <c r="A940" s="80">
        <f t="shared" si="16"/>
        <v>939</v>
      </c>
      <c r="B940" s="10">
        <v>45976.664490740703</v>
      </c>
      <c r="C940" s="13" t="s">
        <v>320</v>
      </c>
      <c r="D940" s="80" t="s">
        <v>4692</v>
      </c>
      <c r="E940" s="80" t="s">
        <v>4693</v>
      </c>
      <c r="F940" s="80" t="s">
        <v>4694</v>
      </c>
      <c r="G940" s="80" t="s">
        <v>4695</v>
      </c>
      <c r="H940" s="80" t="s">
        <v>115</v>
      </c>
      <c r="I940" s="80" t="s">
        <v>865</v>
      </c>
      <c r="J940" s="80" t="s">
        <v>117</v>
      </c>
      <c r="K940" s="80">
        <v>1</v>
      </c>
      <c r="L940" s="80" t="s">
        <v>4696</v>
      </c>
      <c r="M940" s="80" t="s">
        <v>4697</v>
      </c>
      <c r="N940" s="80" t="s">
        <v>164</v>
      </c>
      <c r="O940" s="80" t="s">
        <v>1501</v>
      </c>
      <c r="P940" s="80" t="s">
        <v>178</v>
      </c>
      <c r="Q940" s="80" t="s">
        <v>123</v>
      </c>
      <c r="R940" s="80" t="s">
        <v>124</v>
      </c>
      <c r="S940" s="80">
        <v>20</v>
      </c>
      <c r="T940" s="80">
        <v>24</v>
      </c>
      <c r="U940" s="80" t="s">
        <v>328</v>
      </c>
      <c r="V940" s="80" t="s">
        <v>126</v>
      </c>
      <c r="W940" s="80" t="s">
        <v>127</v>
      </c>
      <c r="X940" s="80"/>
      <c r="Y940" s="80"/>
    </row>
    <row r="941" spans="1:25">
      <c r="A941" s="80">
        <f t="shared" si="16"/>
        <v>940</v>
      </c>
      <c r="B941" s="10">
        <v>45976.667777777802</v>
      </c>
      <c r="C941" s="13" t="s">
        <v>320</v>
      </c>
      <c r="D941" s="80" t="s">
        <v>4692</v>
      </c>
      <c r="E941" s="80" t="s">
        <v>4698</v>
      </c>
      <c r="F941" s="80" t="s">
        <v>4699</v>
      </c>
      <c r="G941" s="80" t="s">
        <v>4700</v>
      </c>
      <c r="H941" s="80" t="s">
        <v>115</v>
      </c>
      <c r="I941" s="80" t="s">
        <v>865</v>
      </c>
      <c r="J941" s="80" t="s">
        <v>117</v>
      </c>
      <c r="K941" s="80">
        <v>13</v>
      </c>
      <c r="L941" s="80" t="s">
        <v>4701</v>
      </c>
      <c r="M941" s="80" t="s">
        <v>4702</v>
      </c>
      <c r="N941" s="80" t="s">
        <v>120</v>
      </c>
      <c r="O941" s="80" t="s">
        <v>990</v>
      </c>
      <c r="P941" s="80" t="s">
        <v>178</v>
      </c>
      <c r="Q941" s="80" t="s">
        <v>123</v>
      </c>
      <c r="R941" s="80" t="s">
        <v>174</v>
      </c>
      <c r="S941" s="80">
        <v>3</v>
      </c>
      <c r="T941" s="80">
        <v>12</v>
      </c>
      <c r="U941" s="80" t="s">
        <v>328</v>
      </c>
      <c r="V941" s="80" t="s">
        <v>126</v>
      </c>
      <c r="W941" s="80" t="s">
        <v>127</v>
      </c>
      <c r="X941" s="80"/>
      <c r="Y941" s="80"/>
    </row>
    <row r="942" spans="1:25">
      <c r="A942" s="80">
        <f t="shared" si="16"/>
        <v>941</v>
      </c>
      <c r="B942" s="10">
        <v>45976.668067129598</v>
      </c>
      <c r="C942" s="13" t="s">
        <v>320</v>
      </c>
      <c r="D942" s="80" t="s">
        <v>4692</v>
      </c>
      <c r="E942" s="80" t="s">
        <v>4703</v>
      </c>
      <c r="F942" s="80" t="s">
        <v>4704</v>
      </c>
      <c r="G942" s="80" t="s">
        <v>4705</v>
      </c>
      <c r="H942" s="80" t="s">
        <v>115</v>
      </c>
      <c r="I942" s="80" t="s">
        <v>4472</v>
      </c>
      <c r="J942" s="80" t="s">
        <v>117</v>
      </c>
      <c r="K942" s="80">
        <v>16</v>
      </c>
      <c r="L942" s="80" t="s">
        <v>4706</v>
      </c>
      <c r="M942" s="80" t="s">
        <v>4707</v>
      </c>
      <c r="N942" s="80" t="s">
        <v>120</v>
      </c>
      <c r="O942" s="80" t="s">
        <v>213</v>
      </c>
      <c r="P942" s="80" t="s">
        <v>214</v>
      </c>
      <c r="Q942" s="80" t="s">
        <v>123</v>
      </c>
      <c r="R942" s="80" t="s">
        <v>174</v>
      </c>
      <c r="S942" s="80">
        <v>11</v>
      </c>
      <c r="T942" s="80">
        <v>24</v>
      </c>
      <c r="U942" s="80" t="s">
        <v>328</v>
      </c>
      <c r="V942" s="80" t="s">
        <v>126</v>
      </c>
      <c r="W942" s="80" t="s">
        <v>127</v>
      </c>
      <c r="X942" s="80"/>
      <c r="Y942" s="80"/>
    </row>
    <row r="943" spans="1:25">
      <c r="A943" s="80">
        <f t="shared" si="16"/>
        <v>942</v>
      </c>
      <c r="B943" s="10">
        <v>45976.670624999999</v>
      </c>
      <c r="C943" s="13" t="s">
        <v>320</v>
      </c>
      <c r="D943" s="80" t="s">
        <v>4692</v>
      </c>
      <c r="E943" s="80" t="s">
        <v>4708</v>
      </c>
      <c r="F943" s="80" t="s">
        <v>4709</v>
      </c>
      <c r="G943" s="80" t="s">
        <v>4710</v>
      </c>
      <c r="H943" s="80" t="s">
        <v>115</v>
      </c>
      <c r="I943" s="80" t="s">
        <v>865</v>
      </c>
      <c r="J943" s="80" t="s">
        <v>117</v>
      </c>
      <c r="K943" s="80">
        <v>4</v>
      </c>
      <c r="L943" s="80" t="s">
        <v>4711</v>
      </c>
      <c r="M943" s="80" t="s">
        <v>4712</v>
      </c>
      <c r="N943" s="80" t="s">
        <v>164</v>
      </c>
      <c r="O943" s="80" t="s">
        <v>406</v>
      </c>
      <c r="P943" s="80" t="s">
        <v>135</v>
      </c>
      <c r="Q943" s="80" t="s">
        <v>123</v>
      </c>
      <c r="R943" s="80" t="s">
        <v>124</v>
      </c>
      <c r="S943" s="80">
        <v>17</v>
      </c>
      <c r="T943" s="80">
        <v>18</v>
      </c>
      <c r="U943" s="80" t="s">
        <v>328</v>
      </c>
      <c r="V943" s="80" t="s">
        <v>126</v>
      </c>
      <c r="W943" s="80" t="s">
        <v>127</v>
      </c>
      <c r="X943" s="80"/>
      <c r="Y943" s="80"/>
    </row>
    <row r="944" spans="1:25">
      <c r="A944" s="80">
        <f t="shared" si="16"/>
        <v>943</v>
      </c>
      <c r="B944" s="10">
        <v>45976.681504629603</v>
      </c>
      <c r="C944" s="13" t="s">
        <v>110</v>
      </c>
      <c r="D944" s="80" t="s">
        <v>4713</v>
      </c>
      <c r="E944" s="80" t="s">
        <v>4714</v>
      </c>
      <c r="F944" s="80" t="s">
        <v>4715</v>
      </c>
      <c r="G944" s="80" t="s">
        <v>4716</v>
      </c>
      <c r="H944" s="80" t="s">
        <v>115</v>
      </c>
      <c r="I944" s="80" t="s">
        <v>1207</v>
      </c>
      <c r="J944" s="80" t="s">
        <v>117</v>
      </c>
      <c r="K944" s="80">
        <v>10</v>
      </c>
      <c r="L944" s="80" t="s">
        <v>4717</v>
      </c>
      <c r="M944" s="80" t="s">
        <v>4718</v>
      </c>
      <c r="N944" s="80" t="s">
        <v>120</v>
      </c>
      <c r="O944" s="80" t="s">
        <v>121</v>
      </c>
      <c r="P944" s="80" t="s">
        <v>4719</v>
      </c>
      <c r="Q944" s="80" t="s">
        <v>123</v>
      </c>
      <c r="R944" s="80" t="s">
        <v>174</v>
      </c>
      <c r="S944" s="80">
        <v>10</v>
      </c>
      <c r="T944" s="80">
        <v>24</v>
      </c>
      <c r="U944" s="80" t="s">
        <v>125</v>
      </c>
      <c r="V944" s="80" t="s">
        <v>126</v>
      </c>
      <c r="W944" s="80" t="s">
        <v>127</v>
      </c>
      <c r="X944" s="80"/>
      <c r="Y944" s="80"/>
    </row>
    <row r="945" spans="1:25">
      <c r="A945" s="80">
        <f t="shared" si="16"/>
        <v>944</v>
      </c>
      <c r="B945" s="10">
        <v>45978.418842592589</v>
      </c>
      <c r="C945" s="80" t="s">
        <v>329</v>
      </c>
      <c r="D945" s="80" t="s">
        <v>4724</v>
      </c>
      <c r="E945" s="80" t="s">
        <v>2543</v>
      </c>
      <c r="F945" s="80" t="s">
        <v>2544</v>
      </c>
      <c r="G945" s="80" t="s">
        <v>2545</v>
      </c>
      <c r="H945" s="80" t="s">
        <v>115</v>
      </c>
      <c r="I945" s="80" t="s">
        <v>865</v>
      </c>
      <c r="J945" s="80" t="s">
        <v>117</v>
      </c>
      <c r="K945" s="80">
        <v>22</v>
      </c>
      <c r="L945" s="80" t="s">
        <v>2546</v>
      </c>
      <c r="M945" s="80" t="s">
        <v>2547</v>
      </c>
      <c r="N945" s="80" t="s">
        <v>164</v>
      </c>
      <c r="O945" s="80" t="s">
        <v>1877</v>
      </c>
      <c r="P945" s="80" t="s">
        <v>178</v>
      </c>
      <c r="Q945" s="80" t="s">
        <v>123</v>
      </c>
      <c r="R945" s="80" t="s">
        <v>174</v>
      </c>
      <c r="S945" s="80">
        <v>4</v>
      </c>
      <c r="T945" s="80">
        <v>12</v>
      </c>
      <c r="U945" s="80" t="s">
        <v>336</v>
      </c>
      <c r="V945" s="80" t="s">
        <v>126</v>
      </c>
      <c r="W945" s="80" t="s">
        <v>127</v>
      </c>
      <c r="X945" s="80"/>
      <c r="Y945" s="80"/>
    </row>
    <row r="946" spans="1:25">
      <c r="A946" s="80">
        <f t="shared" si="16"/>
        <v>945</v>
      </c>
      <c r="B946" s="10">
        <v>45978.420324074075</v>
      </c>
      <c r="C946" s="80" t="s">
        <v>880</v>
      </c>
      <c r="D946" s="80" t="s">
        <v>4725</v>
      </c>
      <c r="E946" s="80" t="s">
        <v>4764</v>
      </c>
      <c r="F946" s="80" t="s">
        <v>4789</v>
      </c>
      <c r="G946" s="80" t="s">
        <v>4790</v>
      </c>
      <c r="H946" s="80" t="s">
        <v>115</v>
      </c>
      <c r="I946" s="80" t="s">
        <v>275</v>
      </c>
      <c r="J946" s="80" t="s">
        <v>117</v>
      </c>
      <c r="K946" s="80">
        <v>4</v>
      </c>
      <c r="L946" s="80" t="s">
        <v>4791</v>
      </c>
      <c r="M946" s="80" t="s">
        <v>4792</v>
      </c>
      <c r="N946" s="80" t="s">
        <v>120</v>
      </c>
      <c r="O946" s="80" t="s">
        <v>152</v>
      </c>
      <c r="P946" s="80" t="s">
        <v>135</v>
      </c>
      <c r="Q946" s="80" t="s">
        <v>123</v>
      </c>
      <c r="R946" s="80" t="s">
        <v>136</v>
      </c>
      <c r="S946" s="80">
        <v>14</v>
      </c>
      <c r="T946" s="80">
        <v>24</v>
      </c>
      <c r="U946" s="80" t="s">
        <v>882</v>
      </c>
      <c r="V946" s="80" t="s">
        <v>126</v>
      </c>
      <c r="W946" s="80" t="s">
        <v>188</v>
      </c>
      <c r="X946" s="80"/>
      <c r="Y946" s="80"/>
    </row>
    <row r="947" spans="1:25">
      <c r="A947" s="80">
        <f t="shared" si="16"/>
        <v>946</v>
      </c>
      <c r="B947" s="10">
        <v>45978.422986111109</v>
      </c>
      <c r="C947" s="80" t="s">
        <v>154</v>
      </c>
      <c r="D947" s="80" t="s">
        <v>4726</v>
      </c>
      <c r="E947" s="80" t="s">
        <v>4765</v>
      </c>
      <c r="F947" s="80" t="s">
        <v>4793</v>
      </c>
      <c r="G947" s="80" t="s">
        <v>4794</v>
      </c>
      <c r="H947" s="80" t="s">
        <v>115</v>
      </c>
      <c r="I947" s="80" t="s">
        <v>1383</v>
      </c>
      <c r="J947" s="80" t="s">
        <v>117</v>
      </c>
      <c r="K947" s="80">
        <v>20</v>
      </c>
      <c r="L947" s="80" t="s">
        <v>4795</v>
      </c>
      <c r="M947" s="80" t="s">
        <v>4796</v>
      </c>
      <c r="N947" s="80" t="s">
        <v>164</v>
      </c>
      <c r="O947" s="80" t="s">
        <v>1976</v>
      </c>
      <c r="P947" s="80" t="s">
        <v>407</v>
      </c>
      <c r="Q947" s="80" t="s">
        <v>123</v>
      </c>
      <c r="R947" s="80" t="s">
        <v>174</v>
      </c>
      <c r="S947" s="80">
        <v>11</v>
      </c>
      <c r="T947" s="80">
        <v>12</v>
      </c>
      <c r="U947" s="80" t="s">
        <v>156</v>
      </c>
      <c r="V947" s="80" t="s">
        <v>141</v>
      </c>
      <c r="W947" s="80" t="s">
        <v>127</v>
      </c>
      <c r="X947" s="80"/>
      <c r="Y947" s="80"/>
    </row>
    <row r="948" spans="1:25">
      <c r="A948" s="80">
        <f t="shared" si="16"/>
        <v>947</v>
      </c>
      <c r="B948" s="10">
        <v>45978.431423611109</v>
      </c>
      <c r="C948" s="80" t="s">
        <v>1305</v>
      </c>
      <c r="D948" s="80" t="s">
        <v>4727</v>
      </c>
      <c r="E948" s="80" t="s">
        <v>451</v>
      </c>
      <c r="F948" s="80" t="s">
        <v>452</v>
      </c>
      <c r="G948" s="80" t="s">
        <v>453</v>
      </c>
      <c r="H948" s="80" t="s">
        <v>115</v>
      </c>
      <c r="I948" s="80" t="s">
        <v>842</v>
      </c>
      <c r="J948" s="80" t="s">
        <v>117</v>
      </c>
      <c r="K948" s="80">
        <v>1</v>
      </c>
      <c r="L948" s="80" t="s">
        <v>454</v>
      </c>
      <c r="M948" s="80" t="s">
        <v>455</v>
      </c>
      <c r="N948" s="80" t="s">
        <v>120</v>
      </c>
      <c r="O948" s="80" t="s">
        <v>230</v>
      </c>
      <c r="P948" s="80" t="s">
        <v>178</v>
      </c>
      <c r="Q948" s="80" t="s">
        <v>123</v>
      </c>
      <c r="R948" s="80" t="s">
        <v>124</v>
      </c>
      <c r="S948" s="80">
        <v>2</v>
      </c>
      <c r="T948" s="80">
        <v>18</v>
      </c>
      <c r="U948" s="80" t="s">
        <v>1312</v>
      </c>
      <c r="V948" s="80" t="s">
        <v>126</v>
      </c>
      <c r="W948" s="80" t="s">
        <v>127</v>
      </c>
      <c r="X948" s="80"/>
      <c r="Y948" s="80"/>
    </row>
    <row r="949" spans="1:25">
      <c r="A949" s="80">
        <f t="shared" si="16"/>
        <v>948</v>
      </c>
      <c r="B949" s="10">
        <v>45978.449629629627</v>
      </c>
      <c r="C949" s="80" t="s">
        <v>110</v>
      </c>
      <c r="D949" s="80" t="s">
        <v>4728</v>
      </c>
      <c r="E949" s="80" t="s">
        <v>4766</v>
      </c>
      <c r="F949" s="80" t="e">
        <v>#N/A</v>
      </c>
      <c r="G949" s="80" t="e">
        <v>#N/A</v>
      </c>
      <c r="H949" s="80" t="e">
        <v>#N/A</v>
      </c>
      <c r="I949" s="80" t="e">
        <v>#N/A</v>
      </c>
      <c r="J949" s="80" t="e">
        <v>#N/A</v>
      </c>
      <c r="K949" s="80" t="e">
        <v>#N/A</v>
      </c>
      <c r="L949" s="80" t="e">
        <v>#N/A</v>
      </c>
      <c r="M949" s="80" t="e">
        <v>#N/A</v>
      </c>
      <c r="N949" s="80" t="e">
        <v>#N/A</v>
      </c>
      <c r="O949" s="80" t="e">
        <v>#N/A</v>
      </c>
      <c r="P949" s="80" t="e">
        <v>#N/A</v>
      </c>
      <c r="Q949" s="80" t="e">
        <v>#N/A</v>
      </c>
      <c r="R949" s="80" t="e">
        <v>#N/A</v>
      </c>
      <c r="S949" s="80" t="e">
        <v>#N/A</v>
      </c>
      <c r="T949" s="80" t="e">
        <v>#N/A</v>
      </c>
      <c r="U949" s="80" t="s">
        <v>125</v>
      </c>
      <c r="V949" s="80" t="s">
        <v>126</v>
      </c>
      <c r="W949" s="80" t="s">
        <v>127</v>
      </c>
      <c r="X949" s="80"/>
      <c r="Y949" s="80"/>
    </row>
    <row r="950" spans="1:25">
      <c r="A950" s="80">
        <f t="shared" si="16"/>
        <v>949</v>
      </c>
      <c r="B950" s="10">
        <v>45978.47047453704</v>
      </c>
      <c r="C950" s="80" t="s">
        <v>1785</v>
      </c>
      <c r="D950" s="80" t="s">
        <v>4729</v>
      </c>
      <c r="E950" s="80" t="s">
        <v>4767</v>
      </c>
      <c r="F950" s="80" t="s">
        <v>4797</v>
      </c>
      <c r="G950" s="80" t="s">
        <v>4798</v>
      </c>
      <c r="H950" s="80" t="s">
        <v>477</v>
      </c>
      <c r="I950" s="80" t="s">
        <v>1165</v>
      </c>
      <c r="J950" s="80" t="s">
        <v>9</v>
      </c>
      <c r="K950" s="80">
        <v>26</v>
      </c>
      <c r="L950" s="80" t="s">
        <v>4799</v>
      </c>
      <c r="M950" s="80" t="s">
        <v>4800</v>
      </c>
      <c r="N950" s="80" t="s">
        <v>120</v>
      </c>
      <c r="O950" s="80" t="s">
        <v>152</v>
      </c>
      <c r="P950" s="80" t="s">
        <v>588</v>
      </c>
      <c r="Q950" s="80" t="s">
        <v>123</v>
      </c>
      <c r="R950" s="80" t="s">
        <v>136</v>
      </c>
      <c r="S950" s="80">
        <v>12</v>
      </c>
      <c r="T950" s="80">
        <v>18</v>
      </c>
      <c r="U950" s="80" t="s">
        <v>1792</v>
      </c>
      <c r="V950" s="80" t="s">
        <v>126</v>
      </c>
      <c r="W950" s="80" t="s">
        <v>137</v>
      </c>
      <c r="X950" s="80"/>
      <c r="Y950" s="80"/>
    </row>
    <row r="951" spans="1:25">
      <c r="A951" s="80">
        <f t="shared" si="16"/>
        <v>950</v>
      </c>
      <c r="B951" s="10">
        <v>45978.479143518518</v>
      </c>
      <c r="C951" s="80" t="s">
        <v>320</v>
      </c>
      <c r="D951" s="80" t="s">
        <v>4730</v>
      </c>
      <c r="E951" s="80" t="s">
        <v>2862</v>
      </c>
      <c r="F951" s="80" t="s">
        <v>2863</v>
      </c>
      <c r="G951" s="80" t="s">
        <v>2864</v>
      </c>
      <c r="H951" s="80" t="s">
        <v>115</v>
      </c>
      <c r="I951" s="80" t="s">
        <v>244</v>
      </c>
      <c r="J951" s="80" t="s">
        <v>117</v>
      </c>
      <c r="K951" s="80">
        <v>10</v>
      </c>
      <c r="L951" s="80" t="s">
        <v>2865</v>
      </c>
      <c r="M951" s="80" t="s">
        <v>2866</v>
      </c>
      <c r="N951" s="80" t="s">
        <v>120</v>
      </c>
      <c r="O951" s="80" t="s">
        <v>152</v>
      </c>
      <c r="P951" s="80" t="s">
        <v>135</v>
      </c>
      <c r="Q951" s="80" t="s">
        <v>123</v>
      </c>
      <c r="R951" s="80" t="s">
        <v>174</v>
      </c>
      <c r="S951" s="80">
        <v>6</v>
      </c>
      <c r="T951" s="80">
        <v>18</v>
      </c>
      <c r="U951" s="80" t="s">
        <v>328</v>
      </c>
      <c r="V951" s="80" t="s">
        <v>126</v>
      </c>
      <c r="W951" s="80" t="s">
        <v>127</v>
      </c>
      <c r="X951" s="80"/>
      <c r="Y951" s="80"/>
    </row>
    <row r="952" spans="1:25">
      <c r="A952" s="80">
        <f t="shared" si="16"/>
        <v>951</v>
      </c>
      <c r="B952" s="10">
        <v>45978.48159722222</v>
      </c>
      <c r="C952" s="80" t="s">
        <v>320</v>
      </c>
      <c r="D952" s="80" t="s">
        <v>4731</v>
      </c>
      <c r="E952" s="80" t="s">
        <v>3332</v>
      </c>
      <c r="F952" s="80" t="s">
        <v>3333</v>
      </c>
      <c r="G952" s="80" t="s">
        <v>3334</v>
      </c>
      <c r="H952" s="80" t="s">
        <v>174</v>
      </c>
      <c r="I952" s="80" t="s">
        <v>173</v>
      </c>
      <c r="J952" s="80" t="s">
        <v>9</v>
      </c>
      <c r="K952" s="80">
        <v>1</v>
      </c>
      <c r="L952" s="80" t="s">
        <v>3335</v>
      </c>
      <c r="M952" s="80" t="s">
        <v>3336</v>
      </c>
      <c r="N952" s="80" t="s">
        <v>120</v>
      </c>
      <c r="O952" s="80" t="s">
        <v>3337</v>
      </c>
      <c r="P952" s="80" t="s">
        <v>269</v>
      </c>
      <c r="Q952" s="80" t="s">
        <v>123</v>
      </c>
      <c r="R952" s="80" t="s">
        <v>174</v>
      </c>
      <c r="S952" s="80">
        <v>16</v>
      </c>
      <c r="T952" s="80">
        <v>18</v>
      </c>
      <c r="U952" s="80" t="s">
        <v>328</v>
      </c>
      <c r="V952" s="80" t="s">
        <v>126</v>
      </c>
      <c r="W952" s="80" t="s">
        <v>127</v>
      </c>
      <c r="X952" s="80"/>
      <c r="Y952" s="80"/>
    </row>
    <row r="953" spans="1:25">
      <c r="A953" s="80">
        <f t="shared" si="16"/>
        <v>952</v>
      </c>
      <c r="B953" s="10">
        <v>45978.482407407406</v>
      </c>
      <c r="C953" s="80" t="s">
        <v>320</v>
      </c>
      <c r="D953" s="80" t="s">
        <v>4732</v>
      </c>
      <c r="E953" s="80" t="s">
        <v>4768</v>
      </c>
      <c r="F953" s="80" t="s">
        <v>4801</v>
      </c>
      <c r="G953" s="80" t="s">
        <v>4802</v>
      </c>
      <c r="H953" s="80" t="s">
        <v>115</v>
      </c>
      <c r="I953" s="80" t="s">
        <v>865</v>
      </c>
      <c r="J953" s="80" t="s">
        <v>117</v>
      </c>
      <c r="K953" s="80">
        <v>23</v>
      </c>
      <c r="L953" s="80" t="s">
        <v>4803</v>
      </c>
      <c r="M953" s="80" t="s">
        <v>4804</v>
      </c>
      <c r="N953" s="80" t="s">
        <v>120</v>
      </c>
      <c r="O953" s="80" t="s">
        <v>121</v>
      </c>
      <c r="P953" s="80" t="s">
        <v>269</v>
      </c>
      <c r="Q953" s="80" t="s">
        <v>123</v>
      </c>
      <c r="R953" s="80" t="s">
        <v>174</v>
      </c>
      <c r="S953" s="80">
        <v>10</v>
      </c>
      <c r="T953" s="80">
        <v>12</v>
      </c>
      <c r="U953" s="80" t="s">
        <v>328</v>
      </c>
      <c r="V953" s="80" t="s">
        <v>126</v>
      </c>
      <c r="W953" s="80" t="s">
        <v>127</v>
      </c>
      <c r="X953" s="80"/>
      <c r="Y953" s="80"/>
    </row>
    <row r="954" spans="1:25">
      <c r="A954" s="80">
        <f t="shared" si="16"/>
        <v>953</v>
      </c>
      <c r="B954" s="10">
        <v>45978.482465277775</v>
      </c>
      <c r="C954" s="80" t="s">
        <v>222</v>
      </c>
      <c r="D954" s="80" t="s">
        <v>4733</v>
      </c>
      <c r="E954" s="80" t="s">
        <v>3332</v>
      </c>
      <c r="F954" s="80" t="s">
        <v>3333</v>
      </c>
      <c r="G954" s="80" t="s">
        <v>3334</v>
      </c>
      <c r="H954" s="80" t="s">
        <v>174</v>
      </c>
      <c r="I954" s="80" t="s">
        <v>173</v>
      </c>
      <c r="J954" s="80" t="s">
        <v>9</v>
      </c>
      <c r="K954" s="80">
        <v>1</v>
      </c>
      <c r="L954" s="80" t="s">
        <v>3335</v>
      </c>
      <c r="M954" s="80" t="s">
        <v>3336</v>
      </c>
      <c r="N954" s="80" t="s">
        <v>120</v>
      </c>
      <c r="O954" s="80" t="s">
        <v>3337</v>
      </c>
      <c r="P954" s="80" t="s">
        <v>269</v>
      </c>
      <c r="Q954" s="80" t="s">
        <v>123</v>
      </c>
      <c r="R954" s="80" t="s">
        <v>174</v>
      </c>
      <c r="S954" s="80">
        <v>16</v>
      </c>
      <c r="T954" s="80">
        <v>18</v>
      </c>
      <c r="U954" s="80" t="s">
        <v>232</v>
      </c>
      <c r="V954" s="80" t="s">
        <v>126</v>
      </c>
      <c r="W954" s="80" t="s">
        <v>127</v>
      </c>
      <c r="X954" s="80"/>
      <c r="Y954" s="80"/>
    </row>
    <row r="955" spans="1:25">
      <c r="A955" s="80">
        <f t="shared" si="16"/>
        <v>954</v>
      </c>
      <c r="B955" s="10">
        <v>45978.484525462962</v>
      </c>
      <c r="C955" s="80" t="s">
        <v>222</v>
      </c>
      <c r="D955" s="80" t="s">
        <v>4734</v>
      </c>
      <c r="E955" s="80" t="s">
        <v>4769</v>
      </c>
      <c r="F955" s="80" t="s">
        <v>4805</v>
      </c>
      <c r="G955" s="80" t="s">
        <v>4806</v>
      </c>
      <c r="H955" s="80" t="s">
        <v>115</v>
      </c>
      <c r="I955" s="80" t="s">
        <v>918</v>
      </c>
      <c r="J955" s="80" t="s">
        <v>117</v>
      </c>
      <c r="K955" s="80">
        <v>11</v>
      </c>
      <c r="L955" s="80" t="s">
        <v>4807</v>
      </c>
      <c r="M955" s="80" t="s">
        <v>4808</v>
      </c>
      <c r="N955" s="80" t="s">
        <v>120</v>
      </c>
      <c r="O955" s="80" t="s">
        <v>152</v>
      </c>
      <c r="P955" s="80" t="s">
        <v>1148</v>
      </c>
      <c r="Q955" s="80" t="s">
        <v>123</v>
      </c>
      <c r="R955" s="80" t="s">
        <v>174</v>
      </c>
      <c r="S955" s="80">
        <v>4</v>
      </c>
      <c r="T955" s="80">
        <v>12</v>
      </c>
      <c r="U955" s="80" t="s">
        <v>232</v>
      </c>
      <c r="V955" s="80" t="s">
        <v>126</v>
      </c>
      <c r="W955" s="80" t="s">
        <v>127</v>
      </c>
      <c r="X955" s="80"/>
      <c r="Y955" s="80"/>
    </row>
    <row r="956" spans="1:25">
      <c r="A956" s="80">
        <f t="shared" si="16"/>
        <v>955</v>
      </c>
      <c r="B956" s="10">
        <v>45978.484699074077</v>
      </c>
      <c r="C956" s="80" t="s">
        <v>320</v>
      </c>
      <c r="D956" s="80" t="s">
        <v>4735</v>
      </c>
      <c r="E956" s="80" t="s">
        <v>4770</v>
      </c>
      <c r="F956" s="80" t="s">
        <v>4809</v>
      </c>
      <c r="G956" s="80" t="s">
        <v>4810</v>
      </c>
      <c r="H956" s="80" t="s">
        <v>115</v>
      </c>
      <c r="I956" s="80" t="s">
        <v>865</v>
      </c>
      <c r="J956" s="80" t="s">
        <v>9</v>
      </c>
      <c r="K956" s="80">
        <v>18</v>
      </c>
      <c r="L956" s="80" t="s">
        <v>4811</v>
      </c>
      <c r="M956" s="80" t="s">
        <v>4812</v>
      </c>
      <c r="N956" s="80" t="s">
        <v>517</v>
      </c>
      <c r="O956" s="80" t="s">
        <v>2202</v>
      </c>
      <c r="P956" s="80" t="s">
        <v>214</v>
      </c>
      <c r="Q956" s="80" t="s">
        <v>123</v>
      </c>
      <c r="R956" s="80" t="s">
        <v>174</v>
      </c>
      <c r="S956" s="80">
        <v>1</v>
      </c>
      <c r="T956" s="80">
        <v>12</v>
      </c>
      <c r="U956" s="80" t="s">
        <v>328</v>
      </c>
      <c r="V956" s="80" t="s">
        <v>126</v>
      </c>
      <c r="W956" s="80" t="s">
        <v>127</v>
      </c>
      <c r="X956" s="80"/>
      <c r="Y956" s="80"/>
    </row>
    <row r="957" spans="1:25">
      <c r="A957" s="80">
        <f t="shared" si="16"/>
        <v>956</v>
      </c>
      <c r="B957" s="10">
        <v>45978.485081018516</v>
      </c>
      <c r="C957" s="80" t="s">
        <v>329</v>
      </c>
      <c r="D957" s="80" t="s">
        <v>4736</v>
      </c>
      <c r="E957" s="80" t="s">
        <v>4770</v>
      </c>
      <c r="F957" s="80" t="s">
        <v>4809</v>
      </c>
      <c r="G957" s="80" t="s">
        <v>4810</v>
      </c>
      <c r="H957" s="80" t="s">
        <v>115</v>
      </c>
      <c r="I957" s="80" t="s">
        <v>865</v>
      </c>
      <c r="J957" s="80" t="s">
        <v>9</v>
      </c>
      <c r="K957" s="80">
        <v>18</v>
      </c>
      <c r="L957" s="80" t="s">
        <v>4811</v>
      </c>
      <c r="M957" s="80" t="s">
        <v>4812</v>
      </c>
      <c r="N957" s="80" t="s">
        <v>517</v>
      </c>
      <c r="O957" s="80" t="s">
        <v>2202</v>
      </c>
      <c r="P957" s="80" t="s">
        <v>214</v>
      </c>
      <c r="Q957" s="80" t="s">
        <v>123</v>
      </c>
      <c r="R957" s="80" t="s">
        <v>174</v>
      </c>
      <c r="S957" s="80">
        <v>1</v>
      </c>
      <c r="T957" s="80">
        <v>12</v>
      </c>
      <c r="U957" s="80" t="s">
        <v>336</v>
      </c>
      <c r="V957" s="80" t="s">
        <v>126</v>
      </c>
      <c r="W957" s="80" t="s">
        <v>127</v>
      </c>
      <c r="X957" s="80"/>
      <c r="Y957" s="80"/>
    </row>
    <row r="958" spans="1:25">
      <c r="A958" s="80">
        <f t="shared" si="16"/>
        <v>957</v>
      </c>
      <c r="B958" s="10">
        <v>45978.485162037039</v>
      </c>
      <c r="C958" s="80" t="s">
        <v>320</v>
      </c>
      <c r="D958" s="80" t="s">
        <v>4737</v>
      </c>
      <c r="E958" s="80" t="s">
        <v>4771</v>
      </c>
      <c r="F958" s="80" t="s">
        <v>4813</v>
      </c>
      <c r="G958" s="80" t="s">
        <v>4814</v>
      </c>
      <c r="H958" s="80" t="s">
        <v>184</v>
      </c>
      <c r="I958" s="80" t="s">
        <v>46</v>
      </c>
      <c r="J958" s="80" t="s">
        <v>9</v>
      </c>
      <c r="K958" s="80">
        <v>1</v>
      </c>
      <c r="L958" s="80" t="s">
        <v>4815</v>
      </c>
      <c r="M958" s="80" t="s">
        <v>4816</v>
      </c>
      <c r="N958" s="80" t="s">
        <v>164</v>
      </c>
      <c r="O958" s="80" t="s">
        <v>4817</v>
      </c>
      <c r="P958" s="80" t="s">
        <v>1560</v>
      </c>
      <c r="Q958" s="80" t="s">
        <v>123</v>
      </c>
      <c r="R958" s="80" t="s">
        <v>136</v>
      </c>
      <c r="S958" s="80">
        <v>4</v>
      </c>
      <c r="T958" s="80">
        <v>6</v>
      </c>
      <c r="U958" s="80" t="s">
        <v>328</v>
      </c>
      <c r="V958" s="80" t="s">
        <v>126</v>
      </c>
      <c r="W958" s="80" t="s">
        <v>204</v>
      </c>
      <c r="X958" s="80" t="s">
        <v>205</v>
      </c>
      <c r="Y958" s="80"/>
    </row>
    <row r="959" spans="1:25">
      <c r="A959" s="80">
        <f t="shared" si="16"/>
        <v>958</v>
      </c>
      <c r="B959" s="10">
        <v>45978.486643518518</v>
      </c>
      <c r="C959" s="80" t="s">
        <v>329</v>
      </c>
      <c r="D959" s="80" t="s">
        <v>4738</v>
      </c>
      <c r="E959" s="80" t="s">
        <v>4772</v>
      </c>
      <c r="F959" s="80" t="s">
        <v>4818</v>
      </c>
      <c r="G959" s="80" t="s">
        <v>4819</v>
      </c>
      <c r="H959" s="80" t="s">
        <v>115</v>
      </c>
      <c r="I959" s="80" t="s">
        <v>4472</v>
      </c>
      <c r="J959" s="80" t="s">
        <v>117</v>
      </c>
      <c r="K959" s="80">
        <v>20</v>
      </c>
      <c r="L959" s="80" t="s">
        <v>4820</v>
      </c>
      <c r="M959" s="80" t="s">
        <v>4821</v>
      </c>
      <c r="N959" s="80" t="s">
        <v>164</v>
      </c>
      <c r="O959" s="80" t="s">
        <v>720</v>
      </c>
      <c r="P959" s="80" t="s">
        <v>1522</v>
      </c>
      <c r="Q959" s="80" t="s">
        <v>123</v>
      </c>
      <c r="R959" s="80" t="s">
        <v>174</v>
      </c>
      <c r="S959" s="80">
        <v>15</v>
      </c>
      <c r="T959" s="80">
        <v>24</v>
      </c>
      <c r="U959" s="80" t="s">
        <v>336</v>
      </c>
      <c r="V959" s="80" t="s">
        <v>126</v>
      </c>
      <c r="W959" s="80" t="s">
        <v>127</v>
      </c>
      <c r="X959" s="80"/>
      <c r="Y959" s="80"/>
    </row>
    <row r="960" spans="1:25">
      <c r="A960" s="80">
        <f t="shared" si="16"/>
        <v>959</v>
      </c>
      <c r="B960" s="10">
        <v>45978.492766203701</v>
      </c>
      <c r="C960" s="80" t="s">
        <v>563</v>
      </c>
      <c r="D960" s="80" t="s">
        <v>4739</v>
      </c>
      <c r="E960" s="80" t="s">
        <v>1648</v>
      </c>
      <c r="F960" s="80" t="s">
        <v>1649</v>
      </c>
      <c r="G960" s="80" t="s">
        <v>1650</v>
      </c>
      <c r="H960" s="80" t="s">
        <v>115</v>
      </c>
      <c r="I960" s="80" t="s">
        <v>865</v>
      </c>
      <c r="J960" s="80" t="s">
        <v>117</v>
      </c>
      <c r="K960" s="80">
        <v>1</v>
      </c>
      <c r="L960" s="80" t="s">
        <v>1651</v>
      </c>
      <c r="M960" s="80" t="s">
        <v>1652</v>
      </c>
      <c r="N960" s="80" t="s">
        <v>164</v>
      </c>
      <c r="O960" s="80" t="s">
        <v>1653</v>
      </c>
      <c r="P960" s="80" t="s">
        <v>269</v>
      </c>
      <c r="Q960" s="80" t="s">
        <v>123</v>
      </c>
      <c r="R960" s="80" t="s">
        <v>124</v>
      </c>
      <c r="S960" s="80">
        <v>4</v>
      </c>
      <c r="T960" s="80">
        <v>18</v>
      </c>
      <c r="U960" s="80" t="s">
        <v>565</v>
      </c>
      <c r="V960" s="80" t="s">
        <v>126</v>
      </c>
      <c r="W960" s="80" t="s">
        <v>127</v>
      </c>
      <c r="X960" s="80"/>
      <c r="Y960" s="80"/>
    </row>
    <row r="961" spans="1:25">
      <c r="A961" s="80">
        <f t="shared" si="16"/>
        <v>960</v>
      </c>
      <c r="B961" s="10">
        <v>45978.494363425925</v>
      </c>
      <c r="C961" s="80" t="s">
        <v>563</v>
      </c>
      <c r="D961" s="80" t="s">
        <v>4740</v>
      </c>
      <c r="E961" s="80" t="s">
        <v>3632</v>
      </c>
      <c r="F961" s="80" t="s">
        <v>3633</v>
      </c>
      <c r="G961" s="80" t="s">
        <v>3634</v>
      </c>
      <c r="H961" s="80" t="s">
        <v>115</v>
      </c>
      <c r="I961" s="80" t="s">
        <v>227</v>
      </c>
      <c r="J961" s="80" t="s">
        <v>117</v>
      </c>
      <c r="K961" s="80">
        <v>1</v>
      </c>
      <c r="L961" s="80" t="s">
        <v>3635</v>
      </c>
      <c r="M961" s="80" t="s">
        <v>3636</v>
      </c>
      <c r="N961" s="80" t="s">
        <v>120</v>
      </c>
      <c r="O961" s="80" t="s">
        <v>121</v>
      </c>
      <c r="P961" s="80" t="s">
        <v>588</v>
      </c>
      <c r="Q961" s="80" t="s">
        <v>123</v>
      </c>
      <c r="R961" s="80" t="s">
        <v>136</v>
      </c>
      <c r="S961" s="80">
        <v>6</v>
      </c>
      <c r="T961" s="80">
        <v>18</v>
      </c>
      <c r="U961" s="80" t="s">
        <v>565</v>
      </c>
      <c r="V961" s="80" t="s">
        <v>126</v>
      </c>
      <c r="W961" s="80" t="s">
        <v>127</v>
      </c>
      <c r="X961" s="80"/>
      <c r="Y961" s="80"/>
    </row>
    <row r="962" spans="1:25">
      <c r="A962" s="80">
        <f t="shared" si="16"/>
        <v>961</v>
      </c>
      <c r="B962" s="10">
        <v>45978.494398148148</v>
      </c>
      <c r="C962" s="80" t="s">
        <v>362</v>
      </c>
      <c r="D962" s="80" t="s">
        <v>4741</v>
      </c>
      <c r="E962" s="80" t="s">
        <v>3632</v>
      </c>
      <c r="F962" s="80" t="s">
        <v>3633</v>
      </c>
      <c r="G962" s="80" t="s">
        <v>3634</v>
      </c>
      <c r="H962" s="80" t="s">
        <v>115</v>
      </c>
      <c r="I962" s="80" t="s">
        <v>227</v>
      </c>
      <c r="J962" s="80" t="s">
        <v>117</v>
      </c>
      <c r="K962" s="80">
        <v>1</v>
      </c>
      <c r="L962" s="80" t="s">
        <v>3635</v>
      </c>
      <c r="M962" s="80" t="s">
        <v>3636</v>
      </c>
      <c r="N962" s="80" t="s">
        <v>120</v>
      </c>
      <c r="O962" s="80" t="s">
        <v>121</v>
      </c>
      <c r="P962" s="80" t="s">
        <v>588</v>
      </c>
      <c r="Q962" s="80" t="s">
        <v>123</v>
      </c>
      <c r="R962" s="80" t="s">
        <v>136</v>
      </c>
      <c r="S962" s="80">
        <v>6</v>
      </c>
      <c r="T962" s="80">
        <v>18</v>
      </c>
      <c r="U962" s="80" t="s">
        <v>364</v>
      </c>
      <c r="V962" s="80" t="s">
        <v>126</v>
      </c>
      <c r="W962" s="80" t="s">
        <v>127</v>
      </c>
      <c r="X962" s="80"/>
      <c r="Y962" s="80"/>
    </row>
    <row r="963" spans="1:25">
      <c r="A963" s="80">
        <f t="shared" si="16"/>
        <v>962</v>
      </c>
      <c r="B963" s="10">
        <v>45978.517881944441</v>
      </c>
      <c r="C963" s="80" t="s">
        <v>456</v>
      </c>
      <c r="D963" s="80" t="s">
        <v>4742</v>
      </c>
      <c r="E963" s="80" t="s">
        <v>1915</v>
      </c>
      <c r="F963" s="80" t="s">
        <v>1916</v>
      </c>
      <c r="G963" s="80" t="s">
        <v>1917</v>
      </c>
      <c r="H963" s="80" t="s">
        <v>184</v>
      </c>
      <c r="I963" s="80" t="s">
        <v>46</v>
      </c>
      <c r="J963" s="80" t="s">
        <v>9</v>
      </c>
      <c r="K963" s="80">
        <v>8</v>
      </c>
      <c r="L963" s="80" t="s">
        <v>1918</v>
      </c>
      <c r="M963" s="80" t="s">
        <v>1919</v>
      </c>
      <c r="N963" s="80" t="s">
        <v>120</v>
      </c>
      <c r="O963" s="80" t="s">
        <v>572</v>
      </c>
      <c r="P963" s="80" t="s">
        <v>231</v>
      </c>
      <c r="Q963" s="80" t="s">
        <v>123</v>
      </c>
      <c r="R963" s="80" t="s">
        <v>136</v>
      </c>
      <c r="S963" s="80">
        <v>2</v>
      </c>
      <c r="T963" s="80">
        <v>24</v>
      </c>
      <c r="U963" s="80" t="s">
        <v>466</v>
      </c>
      <c r="V963" s="80" t="s">
        <v>126</v>
      </c>
      <c r="W963" s="80" t="s">
        <v>1770</v>
      </c>
      <c r="X963" s="80"/>
      <c r="Y963" s="80"/>
    </row>
    <row r="964" spans="1:25">
      <c r="A964" s="80">
        <f t="shared" si="16"/>
        <v>963</v>
      </c>
      <c r="B964" s="10">
        <v>45978.531018518515</v>
      </c>
      <c r="C964" s="80" t="s">
        <v>589</v>
      </c>
      <c r="D964" s="80" t="s">
        <v>4743</v>
      </c>
      <c r="E964" s="80" t="s">
        <v>4773</v>
      </c>
      <c r="F964" s="80" t="s">
        <v>4822</v>
      </c>
      <c r="G964" s="80" t="s">
        <v>4823</v>
      </c>
      <c r="H964" s="80" t="s">
        <v>115</v>
      </c>
      <c r="I964" s="80" t="s">
        <v>244</v>
      </c>
      <c r="J964" s="80" t="s">
        <v>461</v>
      </c>
      <c r="K964" s="80">
        <v>7</v>
      </c>
      <c r="L964" s="80" t="s">
        <v>4824</v>
      </c>
      <c r="M964" s="80" t="s">
        <v>4825</v>
      </c>
      <c r="N964" s="80" t="s">
        <v>120</v>
      </c>
      <c r="O964" s="80" t="s">
        <v>4826</v>
      </c>
      <c r="P964" s="80" t="s">
        <v>135</v>
      </c>
      <c r="Q964" s="80" t="s">
        <v>123</v>
      </c>
      <c r="R964" s="80" t="s">
        <v>174</v>
      </c>
      <c r="S964" s="80">
        <v>6</v>
      </c>
      <c r="T964" s="80">
        <v>12</v>
      </c>
      <c r="U964" s="80" t="s">
        <v>596</v>
      </c>
      <c r="V964" s="80" t="s">
        <v>126</v>
      </c>
      <c r="W964" s="80" t="s">
        <v>127</v>
      </c>
      <c r="X964" s="80"/>
      <c r="Y964" s="80"/>
    </row>
    <row r="965" spans="1:25">
      <c r="A965" s="80">
        <f t="shared" si="16"/>
        <v>964</v>
      </c>
      <c r="B965" s="10">
        <v>45978.541435185187</v>
      </c>
      <c r="C965" s="80" t="s">
        <v>456</v>
      </c>
      <c r="D965" s="80" t="s">
        <v>4744</v>
      </c>
      <c r="E965" s="80" t="s">
        <v>4774</v>
      </c>
      <c r="F965" s="80" t="s">
        <v>4827</v>
      </c>
      <c r="G965" s="80" t="s">
        <v>4828</v>
      </c>
      <c r="H965" s="80" t="s">
        <v>115</v>
      </c>
      <c r="I965" s="80" t="s">
        <v>865</v>
      </c>
      <c r="J965" s="80" t="s">
        <v>9</v>
      </c>
      <c r="K965" s="80">
        <v>17</v>
      </c>
      <c r="L965" s="80" t="s">
        <v>4829</v>
      </c>
      <c r="M965" s="80" t="s">
        <v>4830</v>
      </c>
      <c r="N965" s="80" t="s">
        <v>120</v>
      </c>
      <c r="O965" s="80" t="s">
        <v>240</v>
      </c>
      <c r="P965" s="80" t="s">
        <v>295</v>
      </c>
      <c r="Q965" s="80" t="s">
        <v>123</v>
      </c>
      <c r="R965" s="80" t="s">
        <v>174</v>
      </c>
      <c r="S965" s="80">
        <v>1</v>
      </c>
      <c r="T965" s="80">
        <v>18</v>
      </c>
      <c r="U965" s="80" t="s">
        <v>466</v>
      </c>
      <c r="V965" s="80" t="s">
        <v>126</v>
      </c>
      <c r="W965" s="80" t="s">
        <v>127</v>
      </c>
      <c r="X965" s="80"/>
      <c r="Y965" s="80"/>
    </row>
    <row r="966" spans="1:25">
      <c r="A966" s="80">
        <f t="shared" si="16"/>
        <v>965</v>
      </c>
      <c r="B966" s="10">
        <v>45978.550312500003</v>
      </c>
      <c r="C966" s="80" t="s">
        <v>359</v>
      </c>
      <c r="D966" s="80" t="s">
        <v>4745</v>
      </c>
      <c r="E966" s="80" t="s">
        <v>2694</v>
      </c>
      <c r="F966" s="80" t="s">
        <v>2695</v>
      </c>
      <c r="G966" s="80" t="s">
        <v>2696</v>
      </c>
      <c r="H966" s="80" t="s">
        <v>210</v>
      </c>
      <c r="I966" s="80" t="s">
        <v>35</v>
      </c>
      <c r="J966" s="80" t="s">
        <v>9</v>
      </c>
      <c r="K966" s="80">
        <v>23</v>
      </c>
      <c r="L966" s="80" t="s">
        <v>2697</v>
      </c>
      <c r="M966" s="80" t="s">
        <v>2698</v>
      </c>
      <c r="N966" s="80" t="s">
        <v>120</v>
      </c>
      <c r="O966" s="80" t="s">
        <v>152</v>
      </c>
      <c r="P966" s="80" t="s">
        <v>287</v>
      </c>
      <c r="Q966" s="80" t="s">
        <v>123</v>
      </c>
      <c r="R966" s="80" t="s">
        <v>136</v>
      </c>
      <c r="S966" s="80">
        <v>13</v>
      </c>
      <c r="T966" s="80">
        <v>18</v>
      </c>
      <c r="U966" s="80" t="s">
        <v>361</v>
      </c>
      <c r="V966" s="80" t="s">
        <v>126</v>
      </c>
      <c r="W966" s="80" t="s">
        <v>1770</v>
      </c>
      <c r="X966" s="80"/>
      <c r="Y966" s="80"/>
    </row>
    <row r="967" spans="1:25">
      <c r="A967" s="80">
        <f t="shared" si="16"/>
        <v>966</v>
      </c>
      <c r="B967" s="10">
        <v>45978.554351851853</v>
      </c>
      <c r="C967" s="80" t="s">
        <v>1785</v>
      </c>
      <c r="D967" s="80" t="s">
        <v>4746</v>
      </c>
      <c r="E967" s="80" t="s">
        <v>4775</v>
      </c>
      <c r="F967" s="80" t="s">
        <v>4831</v>
      </c>
      <c r="G967" s="80" t="s">
        <v>4832</v>
      </c>
      <c r="H967" s="80" t="s">
        <v>115</v>
      </c>
      <c r="I967" s="80" t="s">
        <v>865</v>
      </c>
      <c r="J967" s="80" t="s">
        <v>117</v>
      </c>
      <c r="K967" s="80">
        <v>15</v>
      </c>
      <c r="L967" s="80" t="s">
        <v>4833</v>
      </c>
      <c r="M967" s="80" t="s">
        <v>4834</v>
      </c>
      <c r="N967" s="80" t="s">
        <v>164</v>
      </c>
      <c r="O967" s="80" t="s">
        <v>345</v>
      </c>
      <c r="P967" s="80" t="s">
        <v>214</v>
      </c>
      <c r="Q967" s="80" t="s">
        <v>123</v>
      </c>
      <c r="R967" s="80" t="s">
        <v>174</v>
      </c>
      <c r="S967" s="80">
        <v>3</v>
      </c>
      <c r="T967" s="80">
        <v>18</v>
      </c>
      <c r="U967" s="80" t="s">
        <v>1792</v>
      </c>
      <c r="V967" s="80" t="s">
        <v>126</v>
      </c>
      <c r="W967" s="80" t="s">
        <v>127</v>
      </c>
      <c r="X967" s="80"/>
      <c r="Y967" s="80"/>
    </row>
    <row r="968" spans="1:25">
      <c r="A968" s="80">
        <f t="shared" si="16"/>
        <v>967</v>
      </c>
      <c r="B968" s="10">
        <v>45978.562361111108</v>
      </c>
      <c r="C968" s="80" t="s">
        <v>604</v>
      </c>
      <c r="D968" s="80" t="s">
        <v>4747</v>
      </c>
      <c r="E968" s="80" t="s">
        <v>3843</v>
      </c>
      <c r="F968" s="80" t="s">
        <v>3844</v>
      </c>
      <c r="G968" s="80" t="s">
        <v>3845</v>
      </c>
      <c r="H968" s="80" t="s">
        <v>115</v>
      </c>
      <c r="I968" s="80" t="s">
        <v>865</v>
      </c>
      <c r="J968" s="80" t="s">
        <v>117</v>
      </c>
      <c r="K968" s="80">
        <v>22</v>
      </c>
      <c r="L968" s="80" t="s">
        <v>3846</v>
      </c>
      <c r="M968" s="80" t="s">
        <v>3847</v>
      </c>
      <c r="N968" s="80" t="s">
        <v>164</v>
      </c>
      <c r="O968" s="80" t="s">
        <v>3848</v>
      </c>
      <c r="P968" s="80" t="s">
        <v>214</v>
      </c>
      <c r="Q968" s="80" t="s">
        <v>123</v>
      </c>
      <c r="R968" s="80" t="s">
        <v>174</v>
      </c>
      <c r="S968" s="80">
        <v>3</v>
      </c>
      <c r="T968" s="80">
        <v>18</v>
      </c>
      <c r="U968" s="80" t="s">
        <v>613</v>
      </c>
      <c r="V968" s="80" t="s">
        <v>126</v>
      </c>
      <c r="W968" s="80" t="s">
        <v>127</v>
      </c>
      <c r="X968" s="80"/>
      <c r="Y968" s="80"/>
    </row>
    <row r="969" spans="1:25">
      <c r="A969" s="80">
        <f t="shared" si="16"/>
        <v>968</v>
      </c>
      <c r="B969" s="10">
        <v>45978.572928240741</v>
      </c>
      <c r="C969" s="80" t="s">
        <v>1465</v>
      </c>
      <c r="D969" s="80" t="s">
        <v>4748</v>
      </c>
      <c r="E969" s="80" t="s">
        <v>4776</v>
      </c>
      <c r="F969" s="80" t="s">
        <v>4835</v>
      </c>
      <c r="G969" s="80" t="s">
        <v>4836</v>
      </c>
      <c r="H969" s="80" t="s">
        <v>115</v>
      </c>
      <c r="I969" s="80" t="s">
        <v>252</v>
      </c>
      <c r="J969" s="80" t="s">
        <v>117</v>
      </c>
      <c r="K969" s="80">
        <v>16</v>
      </c>
      <c r="L969" s="80" t="s">
        <v>4837</v>
      </c>
      <c r="M969" s="80" t="s">
        <v>4838</v>
      </c>
      <c r="N969" s="80" t="s">
        <v>164</v>
      </c>
      <c r="O969" s="80" t="s">
        <v>391</v>
      </c>
      <c r="P969" s="80" t="s">
        <v>214</v>
      </c>
      <c r="Q969" s="80" t="s">
        <v>123</v>
      </c>
      <c r="R969" s="80" t="s">
        <v>174</v>
      </c>
      <c r="S969" s="80">
        <v>5</v>
      </c>
      <c r="T969" s="80">
        <v>12</v>
      </c>
      <c r="U969" s="80" t="s">
        <v>1473</v>
      </c>
      <c r="V969" s="80" t="s">
        <v>126</v>
      </c>
      <c r="W969" s="80" t="s">
        <v>127</v>
      </c>
      <c r="X969" s="80"/>
      <c r="Y969" s="80"/>
    </row>
    <row r="970" spans="1:25">
      <c r="A970" s="80">
        <f t="shared" si="16"/>
        <v>969</v>
      </c>
      <c r="B970" s="10">
        <v>45978.588495370372</v>
      </c>
      <c r="C970" s="80" t="s">
        <v>154</v>
      </c>
      <c r="D970" s="80" t="s">
        <v>4749</v>
      </c>
      <c r="E970" s="80" t="s">
        <v>4777</v>
      </c>
      <c r="F970" s="80" t="s">
        <v>4839</v>
      </c>
      <c r="G970" s="80" t="s">
        <v>4840</v>
      </c>
      <c r="H970" s="80" t="s">
        <v>184</v>
      </c>
      <c r="I970" s="80" t="s">
        <v>46</v>
      </c>
      <c r="J970" s="80" t="s">
        <v>9</v>
      </c>
      <c r="K970" s="80">
        <v>1</v>
      </c>
      <c r="L970" s="80" t="s">
        <v>4841</v>
      </c>
      <c r="M970" s="80" t="s">
        <v>4842</v>
      </c>
      <c r="N970" s="80" t="s">
        <v>120</v>
      </c>
      <c r="O970" s="80" t="s">
        <v>213</v>
      </c>
      <c r="P970" s="80" t="s">
        <v>269</v>
      </c>
      <c r="Q970" s="80" t="s">
        <v>123</v>
      </c>
      <c r="R970" s="80" t="s">
        <v>136</v>
      </c>
      <c r="S970" s="80">
        <v>4</v>
      </c>
      <c r="T970" s="80">
        <v>24</v>
      </c>
      <c r="U970" s="80" t="s">
        <v>156</v>
      </c>
      <c r="V970" s="80" t="s">
        <v>141</v>
      </c>
      <c r="W970" s="80" t="s">
        <v>137</v>
      </c>
      <c r="X970" s="80"/>
      <c r="Y970" s="80"/>
    </row>
    <row r="971" spans="1:25">
      <c r="A971" s="80">
        <f t="shared" si="16"/>
        <v>970</v>
      </c>
      <c r="B971" s="10">
        <v>45978.600254629629</v>
      </c>
      <c r="C971" s="80" t="s">
        <v>154</v>
      </c>
      <c r="D971" s="80" t="s">
        <v>4750</v>
      </c>
      <c r="E971" s="80" t="s">
        <v>4778</v>
      </c>
      <c r="F971" s="80" t="s">
        <v>4843</v>
      </c>
      <c r="G971" s="80" t="s">
        <v>4844</v>
      </c>
      <c r="H971" s="80" t="s">
        <v>1490</v>
      </c>
      <c r="I971" s="80" t="s">
        <v>44</v>
      </c>
      <c r="J971" s="80" t="s">
        <v>9</v>
      </c>
      <c r="K971" s="80">
        <v>22</v>
      </c>
      <c r="L971" s="80" t="s">
        <v>4845</v>
      </c>
      <c r="M971" s="80" t="s">
        <v>4846</v>
      </c>
      <c r="N971" s="80" t="s">
        <v>164</v>
      </c>
      <c r="O971" s="80" t="s">
        <v>464</v>
      </c>
      <c r="P971" s="80" t="s">
        <v>269</v>
      </c>
      <c r="Q971" s="80" t="s">
        <v>123</v>
      </c>
      <c r="R971" s="80" t="s">
        <v>136</v>
      </c>
      <c r="S971" s="80">
        <v>7</v>
      </c>
      <c r="T971" s="80">
        <v>24</v>
      </c>
      <c r="U971" s="80" t="s">
        <v>156</v>
      </c>
      <c r="V971" s="80" t="s">
        <v>141</v>
      </c>
      <c r="W971" s="80" t="s">
        <v>137</v>
      </c>
      <c r="X971" s="80"/>
      <c r="Y971" s="80"/>
    </row>
    <row r="972" spans="1:25">
      <c r="A972" s="80">
        <f t="shared" si="16"/>
        <v>971</v>
      </c>
      <c r="B972" s="10">
        <v>45978.611886574072</v>
      </c>
      <c r="C972" s="80" t="s">
        <v>818</v>
      </c>
      <c r="D972" s="80" t="s">
        <v>4751</v>
      </c>
      <c r="E972" s="80" t="s">
        <v>4779</v>
      </c>
      <c r="F972" s="80" t="s">
        <v>4847</v>
      </c>
      <c r="G972" s="80" t="s">
        <v>4848</v>
      </c>
      <c r="H972" s="80" t="s">
        <v>115</v>
      </c>
      <c r="I972" s="80" t="s">
        <v>1383</v>
      </c>
      <c r="J972" s="80" t="s">
        <v>9</v>
      </c>
      <c r="K972" s="80">
        <v>24</v>
      </c>
      <c r="L972" s="80" t="s">
        <v>4849</v>
      </c>
      <c r="M972" s="80" t="s">
        <v>4850</v>
      </c>
      <c r="N972" s="80" t="s">
        <v>120</v>
      </c>
      <c r="O972" s="80" t="s">
        <v>371</v>
      </c>
      <c r="P972" s="80" t="s">
        <v>612</v>
      </c>
      <c r="Q972" s="80" t="s">
        <v>123</v>
      </c>
      <c r="R972" s="80" t="s">
        <v>174</v>
      </c>
      <c r="S972" s="80">
        <v>1</v>
      </c>
      <c r="T972" s="80">
        <v>12</v>
      </c>
      <c r="U972" s="80" t="s">
        <v>825</v>
      </c>
      <c r="V972" s="80" t="s">
        <v>126</v>
      </c>
      <c r="W972" s="80" t="s">
        <v>127</v>
      </c>
      <c r="X972" s="80"/>
      <c r="Y972" s="80"/>
    </row>
    <row r="973" spans="1:25">
      <c r="A973" s="80">
        <f t="shared" si="16"/>
        <v>972</v>
      </c>
      <c r="B973" s="10">
        <v>45978.613321759258</v>
      </c>
      <c r="C973" s="80" t="s">
        <v>297</v>
      </c>
      <c r="D973" s="80" t="s">
        <v>4752</v>
      </c>
      <c r="E973" s="80" t="s">
        <v>4780</v>
      </c>
      <c r="F973" s="80" t="s">
        <v>4851</v>
      </c>
      <c r="G973" s="80" t="s">
        <v>4852</v>
      </c>
      <c r="H973" s="80" t="s">
        <v>115</v>
      </c>
      <c r="I973" s="80" t="s">
        <v>244</v>
      </c>
      <c r="J973" s="80" t="s">
        <v>117</v>
      </c>
      <c r="K973" s="80">
        <v>10</v>
      </c>
      <c r="L973" s="80" t="s">
        <v>4853</v>
      </c>
      <c r="M973" s="80" t="s">
        <v>4854</v>
      </c>
      <c r="N973" s="80" t="s">
        <v>120</v>
      </c>
      <c r="O973" s="80" t="s">
        <v>611</v>
      </c>
      <c r="P973" s="80" t="s">
        <v>4855</v>
      </c>
      <c r="Q973" s="80" t="s">
        <v>123</v>
      </c>
      <c r="R973" s="80" t="s">
        <v>174</v>
      </c>
      <c r="S973" s="80">
        <v>5</v>
      </c>
      <c r="T973" s="80">
        <v>24</v>
      </c>
      <c r="U973" s="80" t="s">
        <v>305</v>
      </c>
      <c r="V973" s="80" t="s">
        <v>126</v>
      </c>
      <c r="W973" s="80" t="s">
        <v>137</v>
      </c>
      <c r="X973" s="80"/>
      <c r="Y973" s="80"/>
    </row>
    <row r="974" spans="1:25">
      <c r="A974" s="80">
        <f t="shared" si="16"/>
        <v>973</v>
      </c>
      <c r="B974" s="10">
        <v>45978.637048611112</v>
      </c>
      <c r="C974" s="97" t="s">
        <v>1955</v>
      </c>
      <c r="D974" s="80" t="s">
        <v>4753</v>
      </c>
      <c r="E974" s="80" t="s">
        <v>4781</v>
      </c>
      <c r="F974" s="80" t="s">
        <v>4856</v>
      </c>
      <c r="G974" s="80" t="s">
        <v>4857</v>
      </c>
      <c r="H974" s="80" t="s">
        <v>115</v>
      </c>
      <c r="I974" s="80" t="s">
        <v>918</v>
      </c>
      <c r="J974" s="80" t="s">
        <v>117</v>
      </c>
      <c r="K974" s="80">
        <v>6</v>
      </c>
      <c r="L974" s="80" t="s">
        <v>4858</v>
      </c>
      <c r="M974" s="80" t="s">
        <v>4859</v>
      </c>
      <c r="N974" s="80" t="s">
        <v>120</v>
      </c>
      <c r="O974" s="80" t="s">
        <v>152</v>
      </c>
      <c r="P974" s="80" t="s">
        <v>135</v>
      </c>
      <c r="Q974" s="80" t="s">
        <v>123</v>
      </c>
      <c r="R974" s="80" t="s">
        <v>174</v>
      </c>
      <c r="S974" s="80">
        <v>3</v>
      </c>
      <c r="T974" s="80">
        <v>18</v>
      </c>
      <c r="U974" s="80" t="s">
        <v>1963</v>
      </c>
      <c r="V974" s="80" t="s">
        <v>126</v>
      </c>
      <c r="W974" s="80" t="s">
        <v>127</v>
      </c>
      <c r="X974" s="80"/>
      <c r="Y974" s="80"/>
    </row>
    <row r="975" spans="1:25">
      <c r="A975" s="80">
        <f t="shared" si="16"/>
        <v>974</v>
      </c>
      <c r="B975" s="10">
        <v>45978.642442129632</v>
      </c>
      <c r="C975" s="80" t="s">
        <v>359</v>
      </c>
      <c r="D975" s="80" t="s">
        <v>4754</v>
      </c>
      <c r="E975" s="80" t="s">
        <v>2027</v>
      </c>
      <c r="F975" s="80" t="s">
        <v>2028</v>
      </c>
      <c r="G975" s="80" t="s">
        <v>2029</v>
      </c>
      <c r="H975" s="80" t="s">
        <v>115</v>
      </c>
      <c r="I975" s="80" t="s">
        <v>244</v>
      </c>
      <c r="J975" s="80" t="s">
        <v>117</v>
      </c>
      <c r="K975" s="80">
        <v>22</v>
      </c>
      <c r="L975" s="80" t="s">
        <v>2030</v>
      </c>
      <c r="M975" s="80" t="s">
        <v>2031</v>
      </c>
      <c r="N975" s="80" t="s">
        <v>120</v>
      </c>
      <c r="O975" s="80" t="s">
        <v>152</v>
      </c>
      <c r="P975" s="80" t="s">
        <v>581</v>
      </c>
      <c r="Q975" s="80" t="s">
        <v>123</v>
      </c>
      <c r="R975" s="80" t="s">
        <v>174</v>
      </c>
      <c r="S975" s="80">
        <v>9</v>
      </c>
      <c r="T975" s="80">
        <v>12</v>
      </c>
      <c r="U975" s="80" t="s">
        <v>361</v>
      </c>
      <c r="V975" s="80" t="s">
        <v>126</v>
      </c>
      <c r="W975" s="80" t="s">
        <v>127</v>
      </c>
      <c r="X975" s="80"/>
      <c r="Y975" s="80"/>
    </row>
    <row r="976" spans="1:25">
      <c r="A976" s="80">
        <f t="shared" si="16"/>
        <v>975</v>
      </c>
      <c r="B976" s="10">
        <v>45978.642731481479</v>
      </c>
      <c r="C976" s="80" t="s">
        <v>320</v>
      </c>
      <c r="D976" s="80" t="s">
        <v>4755</v>
      </c>
      <c r="E976" s="80" t="s">
        <v>985</v>
      </c>
      <c r="F976" s="80" t="s">
        <v>986</v>
      </c>
      <c r="G976" s="80" t="s">
        <v>987</v>
      </c>
      <c r="H976" s="80" t="s">
        <v>115</v>
      </c>
      <c r="I976" s="80" t="s">
        <v>865</v>
      </c>
      <c r="J976" s="80" t="s">
        <v>117</v>
      </c>
      <c r="K976" s="80">
        <v>15</v>
      </c>
      <c r="L976" s="80" t="s">
        <v>988</v>
      </c>
      <c r="M976" s="80" t="s">
        <v>989</v>
      </c>
      <c r="N976" s="80" t="s">
        <v>120</v>
      </c>
      <c r="O976" s="80" t="s">
        <v>990</v>
      </c>
      <c r="P976" s="80" t="s">
        <v>269</v>
      </c>
      <c r="Q976" s="80" t="s">
        <v>123</v>
      </c>
      <c r="R976" s="80" t="s">
        <v>174</v>
      </c>
      <c r="S976" s="80">
        <v>7</v>
      </c>
      <c r="T976" s="80">
        <v>12</v>
      </c>
      <c r="U976" s="80" t="s">
        <v>328</v>
      </c>
      <c r="V976" s="80" t="s">
        <v>126</v>
      </c>
      <c r="W976" s="80" t="s">
        <v>127</v>
      </c>
      <c r="X976" s="80"/>
      <c r="Y976" s="80"/>
    </row>
    <row r="977" spans="1:25">
      <c r="A977" s="80">
        <f t="shared" si="16"/>
        <v>976</v>
      </c>
      <c r="B977" s="10">
        <v>45978.655011574076</v>
      </c>
      <c r="C977" s="80" t="s">
        <v>222</v>
      </c>
      <c r="D977" s="80" t="s">
        <v>4756</v>
      </c>
      <c r="E977" s="80" t="s">
        <v>4782</v>
      </c>
      <c r="F977" s="80" t="s">
        <v>4860</v>
      </c>
      <c r="G977" s="80" t="s">
        <v>4861</v>
      </c>
      <c r="H977" s="80" t="s">
        <v>115</v>
      </c>
      <c r="I977" s="80" t="s">
        <v>865</v>
      </c>
      <c r="J977" s="80" t="s">
        <v>9</v>
      </c>
      <c r="K977" s="80">
        <v>23</v>
      </c>
      <c r="L977" s="80" t="s">
        <v>4862</v>
      </c>
      <c r="M977" s="80" t="s">
        <v>4863</v>
      </c>
      <c r="N977" s="80" t="s">
        <v>120</v>
      </c>
      <c r="O977" s="80" t="s">
        <v>2405</v>
      </c>
      <c r="P977" s="80" t="s">
        <v>135</v>
      </c>
      <c r="Q977" s="80" t="s">
        <v>123</v>
      </c>
      <c r="R977" s="80" t="s">
        <v>174</v>
      </c>
      <c r="S977" s="80">
        <v>1</v>
      </c>
      <c r="T977" s="80">
        <v>24</v>
      </c>
      <c r="U977" s="80" t="s">
        <v>232</v>
      </c>
      <c r="V977" s="80" t="s">
        <v>126</v>
      </c>
      <c r="W977" s="80" t="s">
        <v>127</v>
      </c>
      <c r="X977" s="80"/>
      <c r="Y977" s="80"/>
    </row>
    <row r="978" spans="1:25">
      <c r="A978" s="80">
        <f t="shared" si="16"/>
        <v>977</v>
      </c>
      <c r="B978" s="10">
        <v>45978.658668981479</v>
      </c>
      <c r="C978" s="80" t="s">
        <v>280</v>
      </c>
      <c r="D978" s="80" t="s">
        <v>4757</v>
      </c>
      <c r="E978" s="80" t="s">
        <v>4783</v>
      </c>
      <c r="F978" s="80" t="s">
        <v>4864</v>
      </c>
      <c r="G978" s="80" t="s">
        <v>4865</v>
      </c>
      <c r="H978" s="80" t="s">
        <v>174</v>
      </c>
      <c r="I978" s="80" t="s">
        <v>173</v>
      </c>
      <c r="J978" s="80" t="s">
        <v>9</v>
      </c>
      <c r="K978" s="80">
        <v>1</v>
      </c>
      <c r="L978" s="80" t="s">
        <v>4866</v>
      </c>
      <c r="M978" s="80" t="s">
        <v>4867</v>
      </c>
      <c r="N978" s="80" t="s">
        <v>120</v>
      </c>
      <c r="O978" s="80" t="s">
        <v>4633</v>
      </c>
      <c r="P978" s="80" t="s">
        <v>214</v>
      </c>
      <c r="Q978" s="80" t="s">
        <v>123</v>
      </c>
      <c r="R978" s="80" t="s">
        <v>174</v>
      </c>
      <c r="S978" s="80">
        <v>4</v>
      </c>
      <c r="T978" s="80">
        <v>24</v>
      </c>
      <c r="U978" s="80" t="s">
        <v>288</v>
      </c>
      <c r="V978" s="80" t="s">
        <v>126</v>
      </c>
      <c r="W978" s="80" t="s">
        <v>127</v>
      </c>
      <c r="X978" s="80"/>
      <c r="Y978" s="80"/>
    </row>
    <row r="979" spans="1:25">
      <c r="A979" s="80">
        <f t="shared" si="16"/>
        <v>978</v>
      </c>
      <c r="B979" s="10">
        <v>45978.661886574075</v>
      </c>
      <c r="C979" s="80" t="s">
        <v>1785</v>
      </c>
      <c r="D979" s="80" t="s">
        <v>4758</v>
      </c>
      <c r="E979" s="80" t="s">
        <v>4784</v>
      </c>
      <c r="F979" s="80" t="s">
        <v>4868</v>
      </c>
      <c r="G979" s="80" t="s">
        <v>4869</v>
      </c>
      <c r="H979" s="80" t="s">
        <v>477</v>
      </c>
      <c r="I979" s="80" t="s">
        <v>1165</v>
      </c>
      <c r="J979" s="80" t="s">
        <v>9</v>
      </c>
      <c r="K979" s="80">
        <v>25</v>
      </c>
      <c r="L979" s="80" t="s">
        <v>4870</v>
      </c>
      <c r="M979" s="80" t="s">
        <v>4871</v>
      </c>
      <c r="N979" s="80" t="s">
        <v>120</v>
      </c>
      <c r="O979" s="80" t="s">
        <v>2405</v>
      </c>
      <c r="P979" s="80" t="s">
        <v>2070</v>
      </c>
      <c r="Q979" s="80" t="s">
        <v>123</v>
      </c>
      <c r="R979" s="80" t="s">
        <v>136</v>
      </c>
      <c r="S979" s="80">
        <v>3</v>
      </c>
      <c r="T979" s="80">
        <v>18</v>
      </c>
      <c r="U979" s="80" t="s">
        <v>1792</v>
      </c>
      <c r="V979" s="80" t="s">
        <v>126</v>
      </c>
      <c r="W979" s="80" t="s">
        <v>137</v>
      </c>
      <c r="X979" s="80"/>
      <c r="Y979" s="80"/>
    </row>
    <row r="980" spans="1:25">
      <c r="A980" s="80">
        <f t="shared" si="16"/>
        <v>979</v>
      </c>
      <c r="B980" s="10">
        <v>45978.672476851854</v>
      </c>
      <c r="C980" s="80" t="s">
        <v>110</v>
      </c>
      <c r="D980" s="80" t="s">
        <v>4759</v>
      </c>
      <c r="E980" s="80" t="s">
        <v>4785</v>
      </c>
      <c r="F980" s="80" t="s">
        <v>4872</v>
      </c>
      <c r="G980" s="80" t="s">
        <v>4873</v>
      </c>
      <c r="H980" s="80" t="s">
        <v>115</v>
      </c>
      <c r="I980" s="80" t="s">
        <v>849</v>
      </c>
      <c r="J980" s="80" t="s">
        <v>117</v>
      </c>
      <c r="K980" s="80">
        <v>21</v>
      </c>
      <c r="L980" s="80" t="s">
        <v>4874</v>
      </c>
      <c r="M980" s="80" t="s">
        <v>4875</v>
      </c>
      <c r="N980" s="80" t="s">
        <v>120</v>
      </c>
      <c r="O980" s="80" t="s">
        <v>213</v>
      </c>
      <c r="P980" s="80" t="s">
        <v>135</v>
      </c>
      <c r="Q980" s="80" t="s">
        <v>123</v>
      </c>
      <c r="R980" s="80" t="s">
        <v>174</v>
      </c>
      <c r="S980" s="80">
        <v>12</v>
      </c>
      <c r="T980" s="80">
        <v>18</v>
      </c>
      <c r="U980" s="80" t="s">
        <v>125</v>
      </c>
      <c r="V980" s="80" t="s">
        <v>126</v>
      </c>
      <c r="W980" s="80" t="s">
        <v>127</v>
      </c>
      <c r="X980" s="80"/>
      <c r="Y980" s="80"/>
    </row>
    <row r="981" spans="1:25">
      <c r="A981" s="80">
        <f t="shared" si="16"/>
        <v>980</v>
      </c>
      <c r="B981" s="10">
        <v>45978.678229166668</v>
      </c>
      <c r="C981" s="80" t="s">
        <v>110</v>
      </c>
      <c r="D981" s="80" t="s">
        <v>4760</v>
      </c>
      <c r="E981" s="80" t="s">
        <v>4786</v>
      </c>
      <c r="F981" s="80" t="s">
        <v>4876</v>
      </c>
      <c r="G981" s="80" t="s">
        <v>4877</v>
      </c>
      <c r="H981" s="80" t="s">
        <v>174</v>
      </c>
      <c r="I981" s="80" t="s">
        <v>173</v>
      </c>
      <c r="J981" s="80" t="s">
        <v>9</v>
      </c>
      <c r="K981" s="80">
        <v>3</v>
      </c>
      <c r="L981" s="80" t="s">
        <v>4878</v>
      </c>
      <c r="M981" s="80" t="s">
        <v>4879</v>
      </c>
      <c r="N981" s="80" t="s">
        <v>120</v>
      </c>
      <c r="O981" s="80" t="s">
        <v>121</v>
      </c>
      <c r="P981" s="80" t="s">
        <v>429</v>
      </c>
      <c r="Q981" s="80" t="s">
        <v>123</v>
      </c>
      <c r="R981" s="80" t="s">
        <v>174</v>
      </c>
      <c r="S981" s="80">
        <v>7</v>
      </c>
      <c r="T981" s="80">
        <v>12</v>
      </c>
      <c r="U981" s="80" t="s">
        <v>125</v>
      </c>
      <c r="V981" s="80" t="s">
        <v>126</v>
      </c>
      <c r="W981" s="80" t="s">
        <v>127</v>
      </c>
      <c r="X981" s="80"/>
      <c r="Y981" s="80"/>
    </row>
    <row r="982" spans="1:25">
      <c r="A982" s="80">
        <f t="shared" si="16"/>
        <v>981</v>
      </c>
      <c r="B982" s="10">
        <v>45978.682685185187</v>
      </c>
      <c r="C982" s="80" t="s">
        <v>110</v>
      </c>
      <c r="D982" s="80" t="s">
        <v>4761</v>
      </c>
      <c r="E982" s="80" t="s">
        <v>4787</v>
      </c>
      <c r="F982" s="80" t="e">
        <v>#N/A</v>
      </c>
      <c r="G982" s="80" t="e">
        <v>#N/A</v>
      </c>
      <c r="H982" s="80" t="e">
        <v>#N/A</v>
      </c>
      <c r="I982" s="80" t="e">
        <v>#N/A</v>
      </c>
      <c r="J982" s="80" t="e">
        <v>#N/A</v>
      </c>
      <c r="K982" s="80" t="e">
        <v>#N/A</v>
      </c>
      <c r="L982" s="80" t="e">
        <v>#N/A</v>
      </c>
      <c r="M982" s="80" t="e">
        <v>#N/A</v>
      </c>
      <c r="N982" s="80" t="e">
        <v>#N/A</v>
      </c>
      <c r="O982" s="80" t="e">
        <v>#N/A</v>
      </c>
      <c r="P982" s="80" t="e">
        <v>#N/A</v>
      </c>
      <c r="Q982" s="80" t="e">
        <v>#N/A</v>
      </c>
      <c r="R982" s="80" t="e">
        <v>#N/A</v>
      </c>
      <c r="S982" s="80" t="e">
        <v>#N/A</v>
      </c>
      <c r="T982" s="80" t="e">
        <v>#N/A</v>
      </c>
      <c r="U982" s="80" t="s">
        <v>125</v>
      </c>
      <c r="V982" s="80" t="s">
        <v>126</v>
      </c>
      <c r="W982" s="80" t="s">
        <v>5333</v>
      </c>
      <c r="X982" s="80"/>
      <c r="Y982" s="80"/>
    </row>
    <row r="983" spans="1:25">
      <c r="A983" s="80">
        <f t="shared" si="16"/>
        <v>982</v>
      </c>
      <c r="B983" s="10">
        <v>45978.691620370373</v>
      </c>
      <c r="C983" s="80" t="s">
        <v>222</v>
      </c>
      <c r="D983" s="80" t="s">
        <v>4762</v>
      </c>
      <c r="E983" s="80" t="s">
        <v>3277</v>
      </c>
      <c r="F983" s="80" t="s">
        <v>2920</v>
      </c>
      <c r="G983" s="80" t="s">
        <v>3278</v>
      </c>
      <c r="H983" s="80" t="s">
        <v>174</v>
      </c>
      <c r="I983" s="80" t="s">
        <v>173</v>
      </c>
      <c r="J983" s="80" t="s">
        <v>9</v>
      </c>
      <c r="K983" s="80">
        <v>1</v>
      </c>
      <c r="L983" s="80" t="s">
        <v>3279</v>
      </c>
      <c r="M983" s="80" t="s">
        <v>3280</v>
      </c>
      <c r="N983" s="80" t="s">
        <v>120</v>
      </c>
      <c r="O983" s="80" t="s">
        <v>327</v>
      </c>
      <c r="P983" s="80" t="s">
        <v>269</v>
      </c>
      <c r="Q983" s="80" t="s">
        <v>123</v>
      </c>
      <c r="R983" s="80" t="s">
        <v>174</v>
      </c>
      <c r="S983" s="80">
        <v>9</v>
      </c>
      <c r="T983" s="80">
        <v>12</v>
      </c>
      <c r="U983" s="80" t="s">
        <v>232</v>
      </c>
      <c r="V983" s="80" t="s">
        <v>126</v>
      </c>
      <c r="W983" s="80" t="s">
        <v>127</v>
      </c>
      <c r="X983" s="80"/>
      <c r="Y983" s="80"/>
    </row>
    <row r="984" spans="1:25">
      <c r="A984" s="80">
        <f t="shared" si="16"/>
        <v>983</v>
      </c>
      <c r="B984" s="10">
        <v>45978.692349537036</v>
      </c>
      <c r="C984" s="80" t="s">
        <v>222</v>
      </c>
      <c r="D984" s="80" t="s">
        <v>4763</v>
      </c>
      <c r="E984" s="80" t="s">
        <v>4788</v>
      </c>
      <c r="F984" s="80" t="s">
        <v>4880</v>
      </c>
      <c r="G984" s="80" t="s">
        <v>4881</v>
      </c>
      <c r="H984" s="80" t="s">
        <v>115</v>
      </c>
      <c r="I984" s="80" t="s">
        <v>842</v>
      </c>
      <c r="J984" s="80" t="s">
        <v>117</v>
      </c>
      <c r="K984" s="80">
        <v>23</v>
      </c>
      <c r="L984" s="80" t="s">
        <v>4882</v>
      </c>
      <c r="M984" s="80" t="s">
        <v>4883</v>
      </c>
      <c r="N984" s="80" t="s">
        <v>120</v>
      </c>
      <c r="O984" s="80" t="s">
        <v>2405</v>
      </c>
      <c r="P984" s="80" t="s">
        <v>178</v>
      </c>
      <c r="Q984" s="80" t="s">
        <v>123</v>
      </c>
      <c r="R984" s="80" t="s">
        <v>174</v>
      </c>
      <c r="S984" s="80">
        <v>9</v>
      </c>
      <c r="T984" s="80">
        <v>24</v>
      </c>
      <c r="U984" s="80" t="s">
        <v>232</v>
      </c>
      <c r="V984" s="80" t="s">
        <v>126</v>
      </c>
      <c r="W984" s="80" t="s">
        <v>127</v>
      </c>
      <c r="X984" s="80"/>
      <c r="Y984" s="80"/>
    </row>
    <row r="985" spans="1:25">
      <c r="A985" s="80">
        <f t="shared" si="16"/>
        <v>984</v>
      </c>
      <c r="B985" s="10">
        <v>45978.699074074073</v>
      </c>
      <c r="C985" s="13" t="s">
        <v>320</v>
      </c>
      <c r="D985" s="80" t="s">
        <v>4919</v>
      </c>
      <c r="E985" s="102" t="s">
        <v>4912</v>
      </c>
      <c r="F985" s="80" t="s">
        <v>4884</v>
      </c>
      <c r="G985" s="80" t="s">
        <v>4885</v>
      </c>
      <c r="H985" s="80" t="s">
        <v>174</v>
      </c>
      <c r="I985" s="80" t="s">
        <v>173</v>
      </c>
      <c r="J985" s="80" t="s">
        <v>9</v>
      </c>
      <c r="K985" s="80">
        <v>1</v>
      </c>
      <c r="L985" s="80" t="s">
        <v>4886</v>
      </c>
      <c r="M985" s="80" t="s">
        <v>4887</v>
      </c>
      <c r="N985" s="80" t="s">
        <v>120</v>
      </c>
      <c r="O985" s="80" t="s">
        <v>3274</v>
      </c>
      <c r="P985" s="80" t="s">
        <v>279</v>
      </c>
      <c r="Q985" s="80" t="s">
        <v>123</v>
      </c>
      <c r="R985" s="80" t="s">
        <v>174</v>
      </c>
      <c r="S985" s="80">
        <v>13</v>
      </c>
      <c r="T985" s="80">
        <v>24</v>
      </c>
      <c r="U985" s="80" t="s">
        <v>328</v>
      </c>
      <c r="V985" s="80" t="s">
        <v>126</v>
      </c>
      <c r="W985" s="80" t="s">
        <v>127</v>
      </c>
      <c r="X985" s="80"/>
      <c r="Y985" s="80"/>
    </row>
    <row r="986" spans="1:25">
      <c r="A986" s="80">
        <f t="shared" ref="A986:A1049" si="17">A985+1</f>
        <v>985</v>
      </c>
      <c r="B986" s="10">
        <v>45978.704733796294</v>
      </c>
      <c r="C986" s="13" t="s">
        <v>320</v>
      </c>
      <c r="D986" s="80" t="s">
        <v>4920</v>
      </c>
      <c r="E986" s="102" t="s">
        <v>4913</v>
      </c>
      <c r="F986" s="80" t="s">
        <v>4888</v>
      </c>
      <c r="G986" s="80" t="s">
        <v>4889</v>
      </c>
      <c r="H986" s="80" t="s">
        <v>115</v>
      </c>
      <c r="I986" s="80" t="s">
        <v>842</v>
      </c>
      <c r="J986" s="80" t="s">
        <v>117</v>
      </c>
      <c r="K986" s="80">
        <v>14</v>
      </c>
      <c r="L986" s="80" t="s">
        <v>4890</v>
      </c>
      <c r="M986" s="80" t="s">
        <v>4891</v>
      </c>
      <c r="N986" s="80" t="s">
        <v>120</v>
      </c>
      <c r="O986" s="80" t="s">
        <v>213</v>
      </c>
      <c r="P986" s="80" t="s">
        <v>135</v>
      </c>
      <c r="Q986" s="80" t="s">
        <v>123</v>
      </c>
      <c r="R986" s="80" t="s">
        <v>174</v>
      </c>
      <c r="S986" s="80">
        <v>4</v>
      </c>
      <c r="T986" s="80">
        <v>18</v>
      </c>
      <c r="U986" s="80" t="s">
        <v>328</v>
      </c>
      <c r="V986" s="80" t="s">
        <v>126</v>
      </c>
      <c r="W986" s="80" t="s">
        <v>127</v>
      </c>
      <c r="X986" s="80"/>
      <c r="Y986" s="80"/>
    </row>
    <row r="987" spans="1:25">
      <c r="A987" s="80">
        <f t="shared" si="17"/>
        <v>986</v>
      </c>
      <c r="B987" s="10">
        <v>45978.707800925928</v>
      </c>
      <c r="C987" s="13" t="s">
        <v>297</v>
      </c>
      <c r="D987" s="80" t="s">
        <v>4921</v>
      </c>
      <c r="E987" s="102" t="s">
        <v>4914</v>
      </c>
      <c r="F987" s="80" t="s">
        <v>4892</v>
      </c>
      <c r="G987" s="80" t="s">
        <v>4893</v>
      </c>
      <c r="H987" s="80" t="s">
        <v>115</v>
      </c>
      <c r="I987" s="80" t="s">
        <v>275</v>
      </c>
      <c r="J987" s="80" t="s">
        <v>117</v>
      </c>
      <c r="K987" s="80">
        <v>1</v>
      </c>
      <c r="L987" s="80" t="s">
        <v>4894</v>
      </c>
      <c r="M987" s="80" t="s">
        <v>4895</v>
      </c>
      <c r="N987" s="80" t="s">
        <v>164</v>
      </c>
      <c r="O987" s="80" t="s">
        <v>1559</v>
      </c>
      <c r="P987" s="80" t="s">
        <v>178</v>
      </c>
      <c r="Q987" s="80" t="s">
        <v>123</v>
      </c>
      <c r="R987" s="80" t="s">
        <v>124</v>
      </c>
      <c r="S987" s="80">
        <v>5</v>
      </c>
      <c r="T987" s="80">
        <v>24</v>
      </c>
      <c r="U987" s="80" t="s">
        <v>305</v>
      </c>
      <c r="V987" s="80" t="s">
        <v>126</v>
      </c>
      <c r="W987" s="80" t="s">
        <v>137</v>
      </c>
      <c r="X987" s="80"/>
      <c r="Y987" s="80"/>
    </row>
    <row r="988" spans="1:25">
      <c r="A988" s="80">
        <f t="shared" si="17"/>
        <v>987</v>
      </c>
      <c r="B988" s="10">
        <v>45978.712025462963</v>
      </c>
      <c r="C988" s="13" t="s">
        <v>297</v>
      </c>
      <c r="D988" s="80" t="s">
        <v>4922</v>
      </c>
      <c r="E988" s="102" t="s">
        <v>4915</v>
      </c>
      <c r="F988" s="80" t="s">
        <v>4896</v>
      </c>
      <c r="G988" s="80" t="s">
        <v>4897</v>
      </c>
      <c r="H988" s="80" t="s">
        <v>184</v>
      </c>
      <c r="I988" s="80" t="s">
        <v>46</v>
      </c>
      <c r="J988" s="80" t="s">
        <v>9</v>
      </c>
      <c r="K988" s="80">
        <v>1</v>
      </c>
      <c r="L988" s="80" t="s">
        <v>4898</v>
      </c>
      <c r="M988" s="80" t="s">
        <v>4899</v>
      </c>
      <c r="N988" s="80" t="s">
        <v>120</v>
      </c>
      <c r="O988" s="80" t="s">
        <v>327</v>
      </c>
      <c r="P988" s="80" t="s">
        <v>135</v>
      </c>
      <c r="Q988" s="80" t="s">
        <v>123</v>
      </c>
      <c r="R988" s="80" t="s">
        <v>136</v>
      </c>
      <c r="S988" s="80">
        <v>1</v>
      </c>
      <c r="T988" s="80">
        <v>24</v>
      </c>
      <c r="U988" s="80" t="s">
        <v>305</v>
      </c>
      <c r="V988" s="80" t="s">
        <v>126</v>
      </c>
      <c r="W988" s="80" t="s">
        <v>137</v>
      </c>
      <c r="X988" s="80"/>
      <c r="Y988" s="80"/>
    </row>
    <row r="989" spans="1:25">
      <c r="A989" s="80">
        <f t="shared" si="17"/>
        <v>988</v>
      </c>
      <c r="B989" s="10">
        <v>45978.812905092593</v>
      </c>
      <c r="C989" s="13" t="s">
        <v>110</v>
      </c>
      <c r="D989" s="80" t="s">
        <v>4923</v>
      </c>
      <c r="E989" s="102" t="s">
        <v>4916</v>
      </c>
      <c r="F989" s="80" t="s">
        <v>4900</v>
      </c>
      <c r="G989" s="80" t="s">
        <v>4901</v>
      </c>
      <c r="H989" s="80" t="s">
        <v>115</v>
      </c>
      <c r="I989" s="80" t="s">
        <v>849</v>
      </c>
      <c r="J989" s="80" t="s">
        <v>117</v>
      </c>
      <c r="K989" s="80">
        <v>15</v>
      </c>
      <c r="L989" s="80" t="s">
        <v>4902</v>
      </c>
      <c r="M989" s="80" t="s">
        <v>4903</v>
      </c>
      <c r="N989" s="80" t="s">
        <v>120</v>
      </c>
      <c r="O989" s="80" t="s">
        <v>121</v>
      </c>
      <c r="P989" s="80" t="s">
        <v>701</v>
      </c>
      <c r="Q989" s="80" t="s">
        <v>123</v>
      </c>
      <c r="R989" s="80" t="s">
        <v>174</v>
      </c>
      <c r="S989" s="80">
        <v>3</v>
      </c>
      <c r="T989" s="80">
        <v>24</v>
      </c>
      <c r="U989" s="80" t="s">
        <v>125</v>
      </c>
      <c r="V989" s="80" t="s">
        <v>126</v>
      </c>
      <c r="W989" s="80" t="s">
        <v>127</v>
      </c>
      <c r="X989" s="80"/>
      <c r="Y989" s="80"/>
    </row>
    <row r="990" spans="1:25">
      <c r="A990" s="80">
        <f t="shared" si="17"/>
        <v>989</v>
      </c>
      <c r="B990" s="10">
        <v>45978.826053240744</v>
      </c>
      <c r="C990" s="13" t="s">
        <v>110</v>
      </c>
      <c r="D990" s="80" t="s">
        <v>4924</v>
      </c>
      <c r="E990" s="102" t="s">
        <v>4917</v>
      </c>
      <c r="F990" s="80" t="s">
        <v>4904</v>
      </c>
      <c r="G990" s="80" t="s">
        <v>4905</v>
      </c>
      <c r="H990" s="80" t="s">
        <v>115</v>
      </c>
      <c r="I990" s="80" t="s">
        <v>865</v>
      </c>
      <c r="J990" s="80" t="s">
        <v>117</v>
      </c>
      <c r="K990" s="80">
        <v>23</v>
      </c>
      <c r="L990" s="80" t="s">
        <v>4906</v>
      </c>
      <c r="M990" s="80" t="s">
        <v>4907</v>
      </c>
      <c r="N990" s="80" t="s">
        <v>120</v>
      </c>
      <c r="O990" s="80" t="s">
        <v>152</v>
      </c>
      <c r="P990" s="80" t="s">
        <v>287</v>
      </c>
      <c r="Q990" s="80" t="s">
        <v>123</v>
      </c>
      <c r="R990" s="80" t="s">
        <v>174</v>
      </c>
      <c r="S990" s="80">
        <v>16</v>
      </c>
      <c r="T990" s="80">
        <v>24</v>
      </c>
      <c r="U990" s="80" t="s">
        <v>125</v>
      </c>
      <c r="V990" s="80" t="s">
        <v>126</v>
      </c>
      <c r="W990" s="80" t="s">
        <v>127</v>
      </c>
      <c r="X990" s="80"/>
      <c r="Y990" s="80"/>
    </row>
    <row r="991" spans="1:25">
      <c r="A991" s="80">
        <f t="shared" si="17"/>
        <v>990</v>
      </c>
      <c r="B991" s="10">
        <v>45978.980393518519</v>
      </c>
      <c r="C991" s="13" t="s">
        <v>110</v>
      </c>
      <c r="D991" s="80" t="s">
        <v>4925</v>
      </c>
      <c r="E991" s="102" t="s">
        <v>4918</v>
      </c>
      <c r="F991" s="80" t="s">
        <v>4908</v>
      </c>
      <c r="G991" s="80" t="s">
        <v>4909</v>
      </c>
      <c r="H991" s="80" t="s">
        <v>174</v>
      </c>
      <c r="I991" s="80" t="s">
        <v>173</v>
      </c>
      <c r="J991" s="80" t="s">
        <v>9</v>
      </c>
      <c r="K991" s="80">
        <v>7</v>
      </c>
      <c r="L991" s="80" t="s">
        <v>4910</v>
      </c>
      <c r="M991" s="80" t="s">
        <v>4911</v>
      </c>
      <c r="N991" s="80" t="s">
        <v>164</v>
      </c>
      <c r="O991" s="80" t="s">
        <v>202</v>
      </c>
      <c r="P991" s="80" t="s">
        <v>178</v>
      </c>
      <c r="Q991" s="80" t="s">
        <v>123</v>
      </c>
      <c r="R991" s="80" t="s">
        <v>174</v>
      </c>
      <c r="S991" s="80">
        <v>19</v>
      </c>
      <c r="T991" s="80">
        <v>24</v>
      </c>
      <c r="U991" s="80" t="s">
        <v>125</v>
      </c>
      <c r="V991" s="80" t="s">
        <v>126</v>
      </c>
      <c r="W991" s="80" t="s">
        <v>127</v>
      </c>
      <c r="X991" s="80"/>
      <c r="Y991" s="80"/>
    </row>
    <row r="992" spans="1:25">
      <c r="A992" s="80">
        <f t="shared" si="17"/>
        <v>991</v>
      </c>
      <c r="B992" s="10">
        <v>45979.325138888889</v>
      </c>
      <c r="C992" s="13" t="s">
        <v>1465</v>
      </c>
      <c r="D992" s="80" t="s">
        <v>4926</v>
      </c>
      <c r="E992" s="80" t="s">
        <v>4981</v>
      </c>
      <c r="F992" s="80" t="s">
        <v>5017</v>
      </c>
      <c r="G992" s="80" t="s">
        <v>5018</v>
      </c>
      <c r="H992" s="80" t="s">
        <v>1185</v>
      </c>
      <c r="I992" s="80" t="s">
        <v>1186</v>
      </c>
      <c r="J992" s="80" t="s">
        <v>9</v>
      </c>
      <c r="K992" s="80">
        <v>9</v>
      </c>
      <c r="L992" s="80" t="s">
        <v>5019</v>
      </c>
      <c r="M992" s="80" t="s">
        <v>5020</v>
      </c>
      <c r="N992" s="80" t="s">
        <v>120</v>
      </c>
      <c r="O992" s="80" t="s">
        <v>213</v>
      </c>
      <c r="P992" s="80" t="s">
        <v>135</v>
      </c>
      <c r="Q992" s="80" t="s">
        <v>123</v>
      </c>
      <c r="R992" s="80" t="s">
        <v>136</v>
      </c>
      <c r="S992" s="80">
        <v>2</v>
      </c>
      <c r="T992" s="80">
        <v>24</v>
      </c>
      <c r="U992" s="80" t="s">
        <v>1473</v>
      </c>
      <c r="V992" s="80" t="s">
        <v>126</v>
      </c>
      <c r="W992" s="80" t="s">
        <v>1770</v>
      </c>
      <c r="X992" s="80"/>
      <c r="Y992" s="80"/>
    </row>
    <row r="993" spans="1:25">
      <c r="A993" s="80">
        <f t="shared" si="17"/>
        <v>992</v>
      </c>
      <c r="B993" s="10">
        <v>45979.353541666664</v>
      </c>
      <c r="C993" s="13" t="s">
        <v>143</v>
      </c>
      <c r="D993" s="80" t="s">
        <v>4927</v>
      </c>
      <c r="E993" s="80" t="s">
        <v>4982</v>
      </c>
      <c r="F993" s="80" t="s">
        <v>5021</v>
      </c>
      <c r="G993" s="80" t="s">
        <v>5022</v>
      </c>
      <c r="H993" s="80" t="s">
        <v>477</v>
      </c>
      <c r="I993" s="80" t="s">
        <v>44</v>
      </c>
      <c r="J993" s="80" t="s">
        <v>9</v>
      </c>
      <c r="K993" s="80">
        <v>2</v>
      </c>
      <c r="L993" s="80" t="s">
        <v>5023</v>
      </c>
      <c r="M993" s="80" t="s">
        <v>5024</v>
      </c>
      <c r="N993" s="80" t="s">
        <v>120</v>
      </c>
      <c r="O993" s="80" t="s">
        <v>152</v>
      </c>
      <c r="P993" s="80" t="s">
        <v>304</v>
      </c>
      <c r="Q993" s="80" t="s">
        <v>123</v>
      </c>
      <c r="R993" s="80" t="s">
        <v>136</v>
      </c>
      <c r="S993" s="80">
        <v>12</v>
      </c>
      <c r="T993" s="80">
        <v>18</v>
      </c>
      <c r="U993" s="80" t="s">
        <v>153</v>
      </c>
      <c r="V993" s="80" t="s">
        <v>126</v>
      </c>
      <c r="W993" s="80" t="s">
        <v>137</v>
      </c>
      <c r="X993" s="80"/>
      <c r="Y993" s="80"/>
    </row>
    <row r="994" spans="1:25">
      <c r="A994" s="80">
        <f t="shared" si="17"/>
        <v>993</v>
      </c>
      <c r="B994" s="10">
        <v>45979.37190972222</v>
      </c>
      <c r="C994" s="13" t="s">
        <v>280</v>
      </c>
      <c r="D994" s="80" t="s">
        <v>4928</v>
      </c>
      <c r="E994" s="80" t="s">
        <v>4527</v>
      </c>
      <c r="F994" s="80" t="s">
        <v>4528</v>
      </c>
      <c r="G994" s="80" t="s">
        <v>4529</v>
      </c>
      <c r="H994" s="80" t="s">
        <v>115</v>
      </c>
      <c r="I994" s="80" t="s">
        <v>1069</v>
      </c>
      <c r="J994" s="80" t="s">
        <v>117</v>
      </c>
      <c r="K994" s="80">
        <v>4</v>
      </c>
      <c r="L994" s="80" t="s">
        <v>4530</v>
      </c>
      <c r="M994" s="80" t="s">
        <v>4531</v>
      </c>
      <c r="N994" s="80" t="s">
        <v>120</v>
      </c>
      <c r="O994" s="80" t="s">
        <v>121</v>
      </c>
      <c r="P994" s="80" t="s">
        <v>178</v>
      </c>
      <c r="Q994" s="80" t="s">
        <v>123</v>
      </c>
      <c r="R994" s="80" t="s">
        <v>136</v>
      </c>
      <c r="S994" s="80">
        <v>5</v>
      </c>
      <c r="T994" s="80">
        <v>12</v>
      </c>
      <c r="U994" s="80" t="s">
        <v>288</v>
      </c>
      <c r="V994" s="80" t="s">
        <v>126</v>
      </c>
      <c r="W994" s="80" t="s">
        <v>127</v>
      </c>
      <c r="X994" s="80"/>
      <c r="Y994" s="80"/>
    </row>
    <row r="995" spans="1:25">
      <c r="A995" s="80">
        <f t="shared" si="17"/>
        <v>994</v>
      </c>
      <c r="B995" s="10">
        <v>45979.372083333335</v>
      </c>
      <c r="C995" s="13" t="s">
        <v>359</v>
      </c>
      <c r="D995" s="80" t="s">
        <v>4929</v>
      </c>
      <c r="E995" s="80" t="s">
        <v>4527</v>
      </c>
      <c r="F995" s="80" t="s">
        <v>4528</v>
      </c>
      <c r="G995" s="80" t="s">
        <v>4529</v>
      </c>
      <c r="H995" s="80" t="s">
        <v>115</v>
      </c>
      <c r="I995" s="80" t="s">
        <v>1069</v>
      </c>
      <c r="J995" s="80" t="s">
        <v>117</v>
      </c>
      <c r="K995" s="80">
        <v>4</v>
      </c>
      <c r="L995" s="80" t="s">
        <v>4530</v>
      </c>
      <c r="M995" s="80" t="s">
        <v>4531</v>
      </c>
      <c r="N995" s="80" t="s">
        <v>120</v>
      </c>
      <c r="O995" s="80" t="s">
        <v>121</v>
      </c>
      <c r="P995" s="80" t="s">
        <v>178</v>
      </c>
      <c r="Q995" s="80" t="s">
        <v>123</v>
      </c>
      <c r="R995" s="80" t="s">
        <v>136</v>
      </c>
      <c r="S995" s="80">
        <v>5</v>
      </c>
      <c r="T995" s="80">
        <v>12</v>
      </c>
      <c r="U995" s="80" t="s">
        <v>361</v>
      </c>
      <c r="V995" s="80" t="s">
        <v>126</v>
      </c>
      <c r="W995" s="80" t="s">
        <v>127</v>
      </c>
      <c r="X995" s="80"/>
      <c r="Y995" s="80"/>
    </row>
    <row r="996" spans="1:25">
      <c r="A996" s="80">
        <f t="shared" si="17"/>
        <v>995</v>
      </c>
      <c r="B996" s="10">
        <v>45979.377326388887</v>
      </c>
      <c r="C996" s="13" t="s">
        <v>222</v>
      </c>
      <c r="D996" s="80" t="s">
        <v>4930</v>
      </c>
      <c r="E996" s="80" t="s">
        <v>224</v>
      </c>
      <c r="F996" s="80" t="s">
        <v>225</v>
      </c>
      <c r="G996" s="80" t="s">
        <v>226</v>
      </c>
      <c r="H996" s="80" t="s">
        <v>115</v>
      </c>
      <c r="I996" s="80" t="s">
        <v>227</v>
      </c>
      <c r="J996" s="80" t="s">
        <v>117</v>
      </c>
      <c r="K996" s="80">
        <v>11</v>
      </c>
      <c r="L996" s="80" t="s">
        <v>228</v>
      </c>
      <c r="M996" s="80" t="s">
        <v>229</v>
      </c>
      <c r="N996" s="80" t="s">
        <v>120</v>
      </c>
      <c r="O996" s="80" t="s">
        <v>230</v>
      </c>
      <c r="P996" s="80" t="s">
        <v>231</v>
      </c>
      <c r="Q996" s="80" t="s">
        <v>123</v>
      </c>
      <c r="R996" s="80" t="s">
        <v>174</v>
      </c>
      <c r="S996" s="80">
        <v>10</v>
      </c>
      <c r="T996" s="80">
        <v>12</v>
      </c>
      <c r="U996" s="80" t="s">
        <v>232</v>
      </c>
      <c r="V996" s="80" t="s">
        <v>126</v>
      </c>
      <c r="W996" s="80" t="s">
        <v>127</v>
      </c>
      <c r="X996" s="80"/>
      <c r="Y996" s="80"/>
    </row>
    <row r="997" spans="1:25">
      <c r="A997" s="80">
        <f t="shared" si="17"/>
        <v>996</v>
      </c>
      <c r="B997" s="10">
        <v>45979.436296296299</v>
      </c>
      <c r="C997" s="13" t="s">
        <v>320</v>
      </c>
      <c r="D997" s="80" t="s">
        <v>4931</v>
      </c>
      <c r="E997" s="80" t="s">
        <v>2543</v>
      </c>
      <c r="F997" s="80" t="s">
        <v>2544</v>
      </c>
      <c r="G997" s="80" t="s">
        <v>2545</v>
      </c>
      <c r="H997" s="80" t="s">
        <v>115</v>
      </c>
      <c r="I997" s="80" t="s">
        <v>865</v>
      </c>
      <c r="J997" s="80" t="s">
        <v>117</v>
      </c>
      <c r="K997" s="80">
        <v>22</v>
      </c>
      <c r="L997" s="80" t="s">
        <v>2546</v>
      </c>
      <c r="M997" s="80" t="s">
        <v>2547</v>
      </c>
      <c r="N997" s="80" t="s">
        <v>164</v>
      </c>
      <c r="O997" s="80" t="s">
        <v>1877</v>
      </c>
      <c r="P997" s="80" t="s">
        <v>178</v>
      </c>
      <c r="Q997" s="80" t="s">
        <v>123</v>
      </c>
      <c r="R997" s="80" t="s">
        <v>174</v>
      </c>
      <c r="S997" s="80">
        <v>4</v>
      </c>
      <c r="T997" s="80">
        <v>12</v>
      </c>
      <c r="U997" s="80" t="s">
        <v>328</v>
      </c>
      <c r="V997" s="80" t="s">
        <v>126</v>
      </c>
      <c r="W997" s="80" t="s">
        <v>127</v>
      </c>
      <c r="X997" s="80"/>
      <c r="Y997" s="80"/>
    </row>
    <row r="998" spans="1:25">
      <c r="A998" s="80">
        <f t="shared" si="17"/>
        <v>997</v>
      </c>
      <c r="B998" s="10">
        <v>45979.437002314815</v>
      </c>
      <c r="C998" s="13" t="s">
        <v>589</v>
      </c>
      <c r="D998" s="80" t="s">
        <v>4932</v>
      </c>
      <c r="E998" s="80" t="s">
        <v>4983</v>
      </c>
      <c r="F998" s="80" t="s">
        <v>5025</v>
      </c>
      <c r="G998" s="80" t="s">
        <v>5026</v>
      </c>
      <c r="H998" s="80" t="s">
        <v>115</v>
      </c>
      <c r="I998" s="80" t="s">
        <v>865</v>
      </c>
      <c r="J998" s="80" t="s">
        <v>117</v>
      </c>
      <c r="K998" s="80">
        <v>16</v>
      </c>
      <c r="L998" s="80" t="s">
        <v>5027</v>
      </c>
      <c r="M998" s="80" t="s">
        <v>5028</v>
      </c>
      <c r="N998" s="80" t="s">
        <v>120</v>
      </c>
      <c r="O998" s="80" t="s">
        <v>240</v>
      </c>
      <c r="P998" s="80" t="s">
        <v>135</v>
      </c>
      <c r="Q998" s="80" t="s">
        <v>123</v>
      </c>
      <c r="R998" s="80" t="s">
        <v>174</v>
      </c>
      <c r="S998" s="80">
        <v>5</v>
      </c>
      <c r="T998" s="80">
        <v>18</v>
      </c>
      <c r="U998" s="80" t="s">
        <v>596</v>
      </c>
      <c r="V998" s="80" t="s">
        <v>126</v>
      </c>
      <c r="W998" s="80" t="s">
        <v>127</v>
      </c>
      <c r="X998" s="80"/>
      <c r="Y998" s="80"/>
    </row>
    <row r="999" spans="1:25">
      <c r="A999" s="80">
        <f t="shared" si="17"/>
        <v>998</v>
      </c>
      <c r="B999" s="10">
        <v>45979.443379629629</v>
      </c>
      <c r="C999" s="13" t="s">
        <v>222</v>
      </c>
      <c r="D999" s="80" t="s">
        <v>4933</v>
      </c>
      <c r="E999" s="80" t="s">
        <v>2543</v>
      </c>
      <c r="F999" s="80" t="s">
        <v>2544</v>
      </c>
      <c r="G999" s="80" t="s">
        <v>2545</v>
      </c>
      <c r="H999" s="80" t="s">
        <v>115</v>
      </c>
      <c r="I999" s="80" t="s">
        <v>865</v>
      </c>
      <c r="J999" s="80" t="s">
        <v>117</v>
      </c>
      <c r="K999" s="80">
        <v>22</v>
      </c>
      <c r="L999" s="80" t="s">
        <v>2546</v>
      </c>
      <c r="M999" s="80" t="s">
        <v>2547</v>
      </c>
      <c r="N999" s="80" t="s">
        <v>164</v>
      </c>
      <c r="O999" s="80" t="s">
        <v>1877</v>
      </c>
      <c r="P999" s="80" t="s">
        <v>178</v>
      </c>
      <c r="Q999" s="80" t="s">
        <v>123</v>
      </c>
      <c r="R999" s="80" t="s">
        <v>174</v>
      </c>
      <c r="S999" s="80">
        <v>4</v>
      </c>
      <c r="T999" s="80">
        <v>12</v>
      </c>
      <c r="U999" s="80" t="s">
        <v>232</v>
      </c>
      <c r="V999" s="80" t="s">
        <v>126</v>
      </c>
      <c r="W999" s="80" t="s">
        <v>127</v>
      </c>
      <c r="X999" s="80"/>
      <c r="Y999" s="80"/>
    </row>
    <row r="1000" spans="1:25">
      <c r="A1000" s="80">
        <f t="shared" si="17"/>
        <v>999</v>
      </c>
      <c r="B1000" s="10">
        <v>45979.445671296293</v>
      </c>
      <c r="C1000" s="13" t="s">
        <v>143</v>
      </c>
      <c r="D1000" s="80" t="s">
        <v>4934</v>
      </c>
      <c r="E1000" s="80" t="s">
        <v>4777</v>
      </c>
      <c r="F1000" s="80" t="s">
        <v>4839</v>
      </c>
      <c r="G1000" s="80" t="s">
        <v>4840</v>
      </c>
      <c r="H1000" s="80" t="s">
        <v>184</v>
      </c>
      <c r="I1000" s="80" t="s">
        <v>46</v>
      </c>
      <c r="J1000" s="80" t="s">
        <v>9</v>
      </c>
      <c r="K1000" s="80">
        <v>1</v>
      </c>
      <c r="L1000" s="80" t="s">
        <v>4841</v>
      </c>
      <c r="M1000" s="80" t="s">
        <v>4842</v>
      </c>
      <c r="N1000" s="80" t="s">
        <v>120</v>
      </c>
      <c r="O1000" s="80" t="s">
        <v>213</v>
      </c>
      <c r="P1000" s="80" t="s">
        <v>269</v>
      </c>
      <c r="Q1000" s="80" t="s">
        <v>123</v>
      </c>
      <c r="R1000" s="80" t="s">
        <v>136</v>
      </c>
      <c r="S1000" s="80">
        <v>4</v>
      </c>
      <c r="T1000" s="80">
        <v>24</v>
      </c>
      <c r="U1000" s="80" t="s">
        <v>153</v>
      </c>
      <c r="V1000" s="80" t="s">
        <v>126</v>
      </c>
      <c r="W1000" s="80" t="s">
        <v>137</v>
      </c>
      <c r="X1000" s="80"/>
      <c r="Y1000" s="80"/>
    </row>
    <row r="1001" spans="1:25">
      <c r="A1001" s="80">
        <f t="shared" si="17"/>
        <v>1000</v>
      </c>
      <c r="B1001" s="10">
        <v>45979.462754629632</v>
      </c>
      <c r="C1001" s="13" t="s">
        <v>2077</v>
      </c>
      <c r="D1001" s="80" t="s">
        <v>4935</v>
      </c>
      <c r="E1001" s="80" t="s">
        <v>4984</v>
      </c>
      <c r="F1001" s="80" t="s">
        <v>5029</v>
      </c>
      <c r="G1001" s="80" t="s">
        <v>5030</v>
      </c>
      <c r="H1001" s="80" t="s">
        <v>115</v>
      </c>
      <c r="I1001" s="80" t="s">
        <v>1069</v>
      </c>
      <c r="J1001" s="80" t="s">
        <v>117</v>
      </c>
      <c r="K1001" s="80">
        <v>17</v>
      </c>
      <c r="L1001" s="80" t="s">
        <v>5031</v>
      </c>
      <c r="M1001" s="80" t="s">
        <v>5032</v>
      </c>
      <c r="N1001" s="80" t="s">
        <v>120</v>
      </c>
      <c r="O1001" s="80" t="s">
        <v>121</v>
      </c>
      <c r="P1001" s="80" t="s">
        <v>178</v>
      </c>
      <c r="Q1001" s="80" t="s">
        <v>123</v>
      </c>
      <c r="R1001" s="80" t="s">
        <v>174</v>
      </c>
      <c r="S1001" s="80">
        <v>16</v>
      </c>
      <c r="T1001" s="80">
        <v>18</v>
      </c>
      <c r="U1001" s="80" t="s">
        <v>2084</v>
      </c>
      <c r="V1001" s="80" t="s">
        <v>126</v>
      </c>
      <c r="W1001" s="80" t="s">
        <v>127</v>
      </c>
      <c r="X1001" s="80"/>
      <c r="Y1001" s="80"/>
    </row>
    <row r="1002" spans="1:25">
      <c r="A1002" s="80">
        <f t="shared" si="17"/>
        <v>1001</v>
      </c>
      <c r="B1002" s="10">
        <v>45979.464548611111</v>
      </c>
      <c r="C1002" s="13" t="s">
        <v>110</v>
      </c>
      <c r="D1002" s="80" t="s">
        <v>4936</v>
      </c>
      <c r="E1002" s="80" t="s">
        <v>4766</v>
      </c>
      <c r="F1002" s="80" t="e">
        <v>#N/A</v>
      </c>
      <c r="G1002" s="80" t="e">
        <v>#N/A</v>
      </c>
      <c r="H1002" s="80" t="e">
        <v>#N/A</v>
      </c>
      <c r="I1002" s="80" t="e">
        <v>#N/A</v>
      </c>
      <c r="J1002" s="80" t="e">
        <v>#N/A</v>
      </c>
      <c r="K1002" s="80" t="e">
        <v>#N/A</v>
      </c>
      <c r="L1002" s="80" t="e">
        <v>#N/A</v>
      </c>
      <c r="M1002" s="80" t="e">
        <v>#N/A</v>
      </c>
      <c r="N1002" s="80" t="e">
        <v>#N/A</v>
      </c>
      <c r="O1002" s="80" t="e">
        <v>#N/A</v>
      </c>
      <c r="P1002" s="80" t="e">
        <v>#N/A</v>
      </c>
      <c r="Q1002" s="80" t="e">
        <v>#N/A</v>
      </c>
      <c r="R1002" s="80" t="e">
        <v>#N/A</v>
      </c>
      <c r="S1002" s="80" t="e">
        <v>#N/A</v>
      </c>
      <c r="T1002" s="80" t="e">
        <v>#N/A</v>
      </c>
      <c r="U1002" s="80" t="s">
        <v>125</v>
      </c>
      <c r="V1002" s="80" t="s">
        <v>126</v>
      </c>
      <c r="W1002" s="80" t="s">
        <v>127</v>
      </c>
      <c r="X1002" s="80"/>
      <c r="Y1002" s="80"/>
    </row>
    <row r="1003" spans="1:25">
      <c r="A1003" s="80">
        <f t="shared" si="17"/>
        <v>1002</v>
      </c>
      <c r="B1003" s="10">
        <v>45979.471053240741</v>
      </c>
      <c r="C1003" s="13" t="s">
        <v>168</v>
      </c>
      <c r="D1003" s="80" t="s">
        <v>4937</v>
      </c>
      <c r="E1003" s="80" t="s">
        <v>4985</v>
      </c>
      <c r="F1003" s="80" t="s">
        <v>5033</v>
      </c>
      <c r="G1003" s="80" t="s">
        <v>5034</v>
      </c>
      <c r="H1003" s="80" t="s">
        <v>184</v>
      </c>
      <c r="I1003" s="80" t="s">
        <v>46</v>
      </c>
      <c r="J1003" s="80" t="s">
        <v>9</v>
      </c>
      <c r="K1003" s="80">
        <v>1</v>
      </c>
      <c r="L1003" s="80" t="s">
        <v>5035</v>
      </c>
      <c r="M1003" s="80" t="s">
        <v>5036</v>
      </c>
      <c r="N1003" s="80" t="s">
        <v>120</v>
      </c>
      <c r="O1003" s="80" t="s">
        <v>611</v>
      </c>
      <c r="P1003" s="80" t="s">
        <v>1480</v>
      </c>
      <c r="Q1003" s="80" t="s">
        <v>123</v>
      </c>
      <c r="R1003" s="80" t="s">
        <v>136</v>
      </c>
      <c r="S1003" s="80">
        <v>8</v>
      </c>
      <c r="T1003" s="80">
        <v>18</v>
      </c>
      <c r="U1003" s="80" t="s">
        <v>179</v>
      </c>
      <c r="V1003" s="80" t="s">
        <v>126</v>
      </c>
      <c r="W1003" s="80" t="s">
        <v>5333</v>
      </c>
      <c r="X1003" s="80"/>
      <c r="Y1003" s="80"/>
    </row>
    <row r="1004" spans="1:25">
      <c r="A1004" s="80">
        <f t="shared" si="17"/>
        <v>1003</v>
      </c>
      <c r="B1004" s="10">
        <v>45979.515787037039</v>
      </c>
      <c r="C1004" s="13" t="s">
        <v>4474</v>
      </c>
      <c r="D1004" s="80" t="s">
        <v>4938</v>
      </c>
      <c r="E1004" s="80" t="s">
        <v>4986</v>
      </c>
      <c r="F1004" s="80" t="s">
        <v>5037</v>
      </c>
      <c r="G1004" s="80" t="s">
        <v>5038</v>
      </c>
      <c r="H1004" s="80" t="s">
        <v>115</v>
      </c>
      <c r="I1004" s="80" t="s">
        <v>1410</v>
      </c>
      <c r="J1004" s="80" t="s">
        <v>461</v>
      </c>
      <c r="K1004" s="80">
        <v>8</v>
      </c>
      <c r="L1004" s="80" t="s">
        <v>5039</v>
      </c>
      <c r="M1004" s="80" t="s">
        <v>5040</v>
      </c>
      <c r="N1004" s="80" t="s">
        <v>164</v>
      </c>
      <c r="O1004" s="80" t="s">
        <v>406</v>
      </c>
      <c r="P1004" s="80" t="s">
        <v>178</v>
      </c>
      <c r="Q1004" s="80" t="s">
        <v>123</v>
      </c>
      <c r="R1004" s="80" t="s">
        <v>174</v>
      </c>
      <c r="S1004" s="80">
        <v>17</v>
      </c>
      <c r="T1004" s="80">
        <v>18</v>
      </c>
      <c r="U1004" s="80" t="s">
        <v>4481</v>
      </c>
      <c r="V1004" s="80" t="s">
        <v>126</v>
      </c>
      <c r="W1004" s="80" t="s">
        <v>127</v>
      </c>
      <c r="X1004" s="80"/>
      <c r="Y1004" s="80"/>
    </row>
    <row r="1005" spans="1:25">
      <c r="A1005" s="80">
        <f t="shared" si="17"/>
        <v>1004</v>
      </c>
      <c r="B1005" s="10">
        <v>45979.519178240742</v>
      </c>
      <c r="C1005" s="13" t="s">
        <v>280</v>
      </c>
      <c r="D1005" s="80" t="s">
        <v>4939</v>
      </c>
      <c r="E1005" s="80" t="s">
        <v>4987</v>
      </c>
      <c r="F1005" s="80" t="s">
        <v>5041</v>
      </c>
      <c r="G1005" s="80" t="s">
        <v>5042</v>
      </c>
      <c r="H1005" s="80" t="s">
        <v>115</v>
      </c>
      <c r="I1005" s="80" t="s">
        <v>842</v>
      </c>
      <c r="J1005" s="80" t="s">
        <v>117</v>
      </c>
      <c r="K1005" s="80">
        <v>23</v>
      </c>
      <c r="L1005" s="80" t="s">
        <v>5043</v>
      </c>
      <c r="M1005" s="80" t="s">
        <v>5044</v>
      </c>
      <c r="N1005" s="80" t="s">
        <v>120</v>
      </c>
      <c r="O1005" s="80" t="s">
        <v>1398</v>
      </c>
      <c r="P1005" s="80" t="s">
        <v>1148</v>
      </c>
      <c r="Q1005" s="80" t="s">
        <v>123</v>
      </c>
      <c r="R1005" s="80" t="s">
        <v>174</v>
      </c>
      <c r="S1005" s="80">
        <v>14</v>
      </c>
      <c r="T1005" s="80">
        <v>18</v>
      </c>
      <c r="U1005" s="80" t="s">
        <v>288</v>
      </c>
      <c r="V1005" s="80" t="s">
        <v>126</v>
      </c>
      <c r="W1005" s="80" t="s">
        <v>127</v>
      </c>
      <c r="X1005" s="80"/>
      <c r="Y1005" s="80"/>
    </row>
    <row r="1006" spans="1:25">
      <c r="A1006" s="80">
        <f t="shared" si="17"/>
        <v>1005</v>
      </c>
      <c r="B1006" s="10">
        <v>45979.532511574071</v>
      </c>
      <c r="C1006" s="13" t="s">
        <v>320</v>
      </c>
      <c r="D1006" s="80" t="s">
        <v>4940</v>
      </c>
      <c r="E1006" s="80" t="s">
        <v>4988</v>
      </c>
      <c r="F1006" s="80" t="e">
        <v>#N/A</v>
      </c>
      <c r="G1006" s="80" t="e">
        <v>#N/A</v>
      </c>
      <c r="H1006" s="80" t="e">
        <v>#N/A</v>
      </c>
      <c r="I1006" s="80" t="e">
        <v>#N/A</v>
      </c>
      <c r="J1006" s="80" t="e">
        <v>#N/A</v>
      </c>
      <c r="K1006" s="80" t="e">
        <v>#N/A</v>
      </c>
      <c r="L1006" s="80" t="e">
        <v>#N/A</v>
      </c>
      <c r="M1006" s="80" t="e">
        <v>#N/A</v>
      </c>
      <c r="N1006" s="80" t="e">
        <v>#N/A</v>
      </c>
      <c r="O1006" s="80" t="e">
        <v>#N/A</v>
      </c>
      <c r="P1006" s="80" t="e">
        <v>#N/A</v>
      </c>
      <c r="Q1006" s="80" t="e">
        <v>#N/A</v>
      </c>
      <c r="R1006" s="80" t="e">
        <v>#N/A</v>
      </c>
      <c r="S1006" s="80" t="e">
        <v>#N/A</v>
      </c>
      <c r="T1006" s="80" t="e">
        <v>#N/A</v>
      </c>
      <c r="U1006" s="80" t="s">
        <v>328</v>
      </c>
      <c r="V1006" s="80" t="s">
        <v>126</v>
      </c>
      <c r="W1006" s="80" t="s">
        <v>127</v>
      </c>
      <c r="X1006" s="80"/>
      <c r="Y1006" s="80"/>
    </row>
    <row r="1007" spans="1:25">
      <c r="A1007" s="80">
        <f t="shared" si="17"/>
        <v>1006</v>
      </c>
      <c r="B1007" s="10">
        <v>45979.533043981479</v>
      </c>
      <c r="C1007" s="13" t="s">
        <v>2012</v>
      </c>
      <c r="D1007" s="80" t="s">
        <v>4941</v>
      </c>
      <c r="E1007" s="80" t="s">
        <v>4989</v>
      </c>
      <c r="F1007" s="80" t="s">
        <v>5045</v>
      </c>
      <c r="G1007" s="80" t="s">
        <v>5046</v>
      </c>
      <c r="H1007" s="80" t="s">
        <v>115</v>
      </c>
      <c r="I1007" s="80" t="s">
        <v>1383</v>
      </c>
      <c r="J1007" s="80" t="s">
        <v>117</v>
      </c>
      <c r="K1007" s="80">
        <v>22</v>
      </c>
      <c r="L1007" s="80" t="s">
        <v>5047</v>
      </c>
      <c r="M1007" s="80" t="s">
        <v>5048</v>
      </c>
      <c r="N1007" s="80" t="s">
        <v>164</v>
      </c>
      <c r="O1007" s="80" t="s">
        <v>1877</v>
      </c>
      <c r="P1007" s="80" t="s">
        <v>5049</v>
      </c>
      <c r="Q1007" s="80" t="s">
        <v>123</v>
      </c>
      <c r="R1007" s="80" t="s">
        <v>174</v>
      </c>
      <c r="S1007" s="80">
        <v>8</v>
      </c>
      <c r="T1007" s="80">
        <v>12</v>
      </c>
      <c r="U1007" s="80" t="s">
        <v>2019</v>
      </c>
      <c r="V1007" s="80" t="s">
        <v>126</v>
      </c>
      <c r="W1007" s="80" t="s">
        <v>127</v>
      </c>
      <c r="X1007" s="80"/>
      <c r="Y1007" s="80"/>
    </row>
    <row r="1008" spans="1:25">
      <c r="A1008" s="80">
        <f t="shared" si="17"/>
        <v>1007</v>
      </c>
      <c r="B1008" s="10">
        <v>45979.565601851849</v>
      </c>
      <c r="C1008" s="13" t="s">
        <v>222</v>
      </c>
      <c r="D1008" s="80" t="s">
        <v>4942</v>
      </c>
      <c r="E1008" s="80" t="s">
        <v>4990</v>
      </c>
      <c r="F1008" s="80" t="s">
        <v>5050</v>
      </c>
      <c r="G1008" s="80" t="s">
        <v>5051</v>
      </c>
      <c r="H1008" s="80" t="s">
        <v>115</v>
      </c>
      <c r="I1008" s="80" t="s">
        <v>849</v>
      </c>
      <c r="J1008" s="80" t="s">
        <v>117</v>
      </c>
      <c r="K1008" s="80">
        <v>10</v>
      </c>
      <c r="L1008" s="80" t="s">
        <v>5052</v>
      </c>
      <c r="M1008" s="80" t="s">
        <v>5053</v>
      </c>
      <c r="N1008" s="80" t="s">
        <v>120</v>
      </c>
      <c r="O1008" s="80" t="s">
        <v>327</v>
      </c>
      <c r="P1008" s="80" t="s">
        <v>1472</v>
      </c>
      <c r="Q1008" s="80" t="s">
        <v>123</v>
      </c>
      <c r="R1008" s="80" t="s">
        <v>174</v>
      </c>
      <c r="S1008" s="80">
        <v>5</v>
      </c>
      <c r="T1008" s="80">
        <v>6</v>
      </c>
      <c r="U1008" s="80" t="s">
        <v>232</v>
      </c>
      <c r="V1008" s="80" t="s">
        <v>126</v>
      </c>
      <c r="W1008" s="80" t="s">
        <v>127</v>
      </c>
      <c r="X1008" s="80"/>
      <c r="Y1008" s="80"/>
    </row>
    <row r="1009" spans="1:25">
      <c r="A1009" s="80">
        <f t="shared" si="17"/>
        <v>1008</v>
      </c>
      <c r="B1009" s="10">
        <v>45979.570891203701</v>
      </c>
      <c r="C1009" s="13" t="s">
        <v>222</v>
      </c>
      <c r="D1009" s="80" t="s">
        <v>4943</v>
      </c>
      <c r="E1009" s="80" t="s">
        <v>4991</v>
      </c>
      <c r="F1009" s="80" t="s">
        <v>5054</v>
      </c>
      <c r="G1009" s="80" t="s">
        <v>5055</v>
      </c>
      <c r="H1009" s="80" t="s">
        <v>148</v>
      </c>
      <c r="I1009" s="80" t="s">
        <v>46</v>
      </c>
      <c r="J1009" s="80" t="s">
        <v>9</v>
      </c>
      <c r="K1009" s="80">
        <v>19</v>
      </c>
      <c r="L1009" s="80" t="s">
        <v>5056</v>
      </c>
      <c r="M1009" s="80" t="s">
        <v>5057</v>
      </c>
      <c r="N1009" s="80" t="s">
        <v>120</v>
      </c>
      <c r="O1009" s="80" t="s">
        <v>2405</v>
      </c>
      <c r="P1009" s="80" t="s">
        <v>1720</v>
      </c>
      <c r="Q1009" s="80" t="s">
        <v>123</v>
      </c>
      <c r="R1009" s="80" t="s">
        <v>136</v>
      </c>
      <c r="S1009" s="80">
        <v>5</v>
      </c>
      <c r="T1009" s="80">
        <v>24</v>
      </c>
      <c r="U1009" s="80" t="s">
        <v>232</v>
      </c>
      <c r="V1009" s="80" t="s">
        <v>126</v>
      </c>
      <c r="W1009" s="80" t="s">
        <v>1770</v>
      </c>
      <c r="X1009" s="80"/>
      <c r="Y1009" s="80"/>
    </row>
    <row r="1010" spans="1:25">
      <c r="A1010" s="80">
        <f t="shared" si="17"/>
        <v>1009</v>
      </c>
      <c r="B1010" s="10">
        <v>45979.582129629627</v>
      </c>
      <c r="C1010" s="13" t="s">
        <v>222</v>
      </c>
      <c r="D1010" s="80" t="s">
        <v>4944</v>
      </c>
      <c r="E1010" s="80" t="s">
        <v>4992</v>
      </c>
      <c r="F1010" s="80" t="s">
        <v>5058</v>
      </c>
      <c r="G1010" s="80" t="s">
        <v>5059</v>
      </c>
      <c r="H1010" s="80" t="s">
        <v>115</v>
      </c>
      <c r="I1010" s="80" t="s">
        <v>4472</v>
      </c>
      <c r="J1010" s="80" t="s">
        <v>117</v>
      </c>
      <c r="K1010" s="80">
        <v>25</v>
      </c>
      <c r="L1010" s="80" t="s">
        <v>5060</v>
      </c>
      <c r="M1010" s="80" t="s">
        <v>5061</v>
      </c>
      <c r="N1010" s="80" t="s">
        <v>3643</v>
      </c>
      <c r="O1010" s="80" t="s">
        <v>5062</v>
      </c>
      <c r="P1010" s="80" t="s">
        <v>269</v>
      </c>
      <c r="Q1010" s="80" t="s">
        <v>123</v>
      </c>
      <c r="R1010" s="80" t="s">
        <v>174</v>
      </c>
      <c r="S1010" s="80">
        <v>18</v>
      </c>
      <c r="T1010" s="80">
        <v>18</v>
      </c>
      <c r="U1010" s="80" t="s">
        <v>232</v>
      </c>
      <c r="V1010" s="80" t="s">
        <v>126</v>
      </c>
      <c r="W1010" s="80" t="s">
        <v>127</v>
      </c>
      <c r="X1010" s="80"/>
      <c r="Y1010" s="80"/>
    </row>
    <row r="1011" spans="1:25">
      <c r="A1011" s="80">
        <f t="shared" si="17"/>
        <v>1010</v>
      </c>
      <c r="B1011" s="10">
        <v>45979.58221064815</v>
      </c>
      <c r="C1011" s="13" t="s">
        <v>329</v>
      </c>
      <c r="D1011" s="80" t="s">
        <v>4945</v>
      </c>
      <c r="E1011" s="80" t="s">
        <v>4993</v>
      </c>
      <c r="F1011" s="80" t="s">
        <v>5063</v>
      </c>
      <c r="G1011" s="80" t="s">
        <v>5064</v>
      </c>
      <c r="H1011" s="80" t="s">
        <v>115</v>
      </c>
      <c r="I1011" s="80" t="s">
        <v>918</v>
      </c>
      <c r="J1011" s="80" t="s">
        <v>117</v>
      </c>
      <c r="K1011" s="80">
        <v>1</v>
      </c>
      <c r="L1011" s="80" t="s">
        <v>5065</v>
      </c>
      <c r="M1011" s="80" t="s">
        <v>5066</v>
      </c>
      <c r="N1011" s="80" t="s">
        <v>120</v>
      </c>
      <c r="O1011" s="80" t="s">
        <v>1319</v>
      </c>
      <c r="P1011" s="80" t="s">
        <v>1720</v>
      </c>
      <c r="Q1011" s="80" t="s">
        <v>123</v>
      </c>
      <c r="R1011" s="80" t="s">
        <v>124</v>
      </c>
      <c r="S1011" s="80">
        <v>9</v>
      </c>
      <c r="T1011" s="80">
        <v>18</v>
      </c>
      <c r="U1011" s="80" t="s">
        <v>336</v>
      </c>
      <c r="V1011" s="80" t="s">
        <v>126</v>
      </c>
      <c r="W1011" s="80" t="s">
        <v>127</v>
      </c>
      <c r="X1011" s="80"/>
      <c r="Y1011" s="80"/>
    </row>
    <row r="1012" spans="1:25">
      <c r="A1012" s="80">
        <f t="shared" si="17"/>
        <v>1011</v>
      </c>
      <c r="B1012" s="10">
        <v>45979.583252314813</v>
      </c>
      <c r="C1012" s="13" t="s">
        <v>359</v>
      </c>
      <c r="D1012" s="80" t="s">
        <v>4946</v>
      </c>
      <c r="E1012" s="80" t="s">
        <v>4994</v>
      </c>
      <c r="F1012" s="80" t="s">
        <v>5067</v>
      </c>
      <c r="G1012" s="80" t="s">
        <v>5068</v>
      </c>
      <c r="H1012" s="80" t="s">
        <v>115</v>
      </c>
      <c r="I1012" s="80" t="s">
        <v>252</v>
      </c>
      <c r="J1012" s="80" t="s">
        <v>117</v>
      </c>
      <c r="K1012" s="80">
        <v>24</v>
      </c>
      <c r="L1012" s="80" t="s">
        <v>5069</v>
      </c>
      <c r="M1012" s="80" t="s">
        <v>5070</v>
      </c>
      <c r="N1012" s="80" t="s">
        <v>120</v>
      </c>
      <c r="O1012" s="80" t="s">
        <v>152</v>
      </c>
      <c r="P1012" s="80" t="s">
        <v>178</v>
      </c>
      <c r="Q1012" s="80" t="s">
        <v>123</v>
      </c>
      <c r="R1012" s="80" t="s">
        <v>174</v>
      </c>
      <c r="S1012" s="80">
        <v>4</v>
      </c>
      <c r="T1012" s="80">
        <v>12</v>
      </c>
      <c r="U1012" s="80" t="s">
        <v>361</v>
      </c>
      <c r="V1012" s="80" t="s">
        <v>126</v>
      </c>
      <c r="W1012" s="80" t="s">
        <v>127</v>
      </c>
      <c r="X1012" s="80"/>
      <c r="Y1012" s="80"/>
    </row>
    <row r="1013" spans="1:25">
      <c r="A1013" s="80">
        <f t="shared" si="17"/>
        <v>1012</v>
      </c>
      <c r="B1013" s="10">
        <v>45979.58666666667</v>
      </c>
      <c r="C1013" s="13" t="s">
        <v>222</v>
      </c>
      <c r="D1013" s="80" t="s">
        <v>4947</v>
      </c>
      <c r="E1013" s="80" t="s">
        <v>4995</v>
      </c>
      <c r="F1013" s="80" t="s">
        <v>5071</v>
      </c>
      <c r="G1013" s="80" t="s">
        <v>5072</v>
      </c>
      <c r="H1013" s="80" t="s">
        <v>115</v>
      </c>
      <c r="I1013" s="80" t="s">
        <v>252</v>
      </c>
      <c r="J1013" s="80" t="s">
        <v>117</v>
      </c>
      <c r="K1013" s="80">
        <v>6</v>
      </c>
      <c r="L1013" s="80" t="s">
        <v>5073</v>
      </c>
      <c r="M1013" s="80" t="s">
        <v>5074</v>
      </c>
      <c r="N1013" s="80" t="s">
        <v>120</v>
      </c>
      <c r="O1013" s="80" t="s">
        <v>611</v>
      </c>
      <c r="P1013" s="80" t="s">
        <v>135</v>
      </c>
      <c r="Q1013" s="80" t="s">
        <v>123</v>
      </c>
      <c r="R1013" s="80" t="s">
        <v>174</v>
      </c>
      <c r="S1013" s="80">
        <v>10</v>
      </c>
      <c r="T1013" s="80">
        <v>18</v>
      </c>
      <c r="U1013" s="80" t="s">
        <v>232</v>
      </c>
      <c r="V1013" s="80" t="s">
        <v>126</v>
      </c>
      <c r="W1013" s="80" t="s">
        <v>127</v>
      </c>
      <c r="X1013" s="80"/>
      <c r="Y1013" s="80"/>
    </row>
    <row r="1014" spans="1:25">
      <c r="A1014" s="80">
        <f t="shared" si="17"/>
        <v>1013</v>
      </c>
      <c r="B1014" s="10">
        <v>45979.591273148151</v>
      </c>
      <c r="C1014" s="13" t="s">
        <v>563</v>
      </c>
      <c r="D1014" s="80" t="s">
        <v>4948</v>
      </c>
      <c r="E1014" s="80" t="s">
        <v>4996</v>
      </c>
      <c r="F1014" s="80" t="s">
        <v>5075</v>
      </c>
      <c r="G1014" s="80" t="s">
        <v>5076</v>
      </c>
      <c r="H1014" s="80" t="s">
        <v>115</v>
      </c>
      <c r="I1014" s="80" t="s">
        <v>227</v>
      </c>
      <c r="J1014" s="80" t="s">
        <v>117</v>
      </c>
      <c r="K1014" s="80">
        <v>18</v>
      </c>
      <c r="L1014" s="80" t="s">
        <v>5077</v>
      </c>
      <c r="M1014" s="80" t="s">
        <v>5078</v>
      </c>
      <c r="N1014" s="80" t="s">
        <v>120</v>
      </c>
      <c r="O1014" s="80" t="s">
        <v>428</v>
      </c>
      <c r="P1014" s="80" t="s">
        <v>287</v>
      </c>
      <c r="Q1014" s="80" t="s">
        <v>123</v>
      </c>
      <c r="R1014" s="80" t="s">
        <v>174</v>
      </c>
      <c r="S1014" s="80">
        <v>10</v>
      </c>
      <c r="T1014" s="80">
        <v>12</v>
      </c>
      <c r="U1014" s="80" t="s">
        <v>565</v>
      </c>
      <c r="V1014" s="80" t="s">
        <v>126</v>
      </c>
      <c r="W1014" s="80" t="s">
        <v>127</v>
      </c>
      <c r="X1014" s="80"/>
      <c r="Y1014" s="80"/>
    </row>
    <row r="1015" spans="1:25">
      <c r="A1015" s="80">
        <f t="shared" si="17"/>
        <v>1014</v>
      </c>
      <c r="B1015" s="10">
        <v>45979.591643518521</v>
      </c>
      <c r="C1015" s="13" t="s">
        <v>362</v>
      </c>
      <c r="D1015" s="80" t="s">
        <v>4949</v>
      </c>
      <c r="E1015" s="80" t="s">
        <v>4996</v>
      </c>
      <c r="F1015" s="80" t="s">
        <v>5075</v>
      </c>
      <c r="G1015" s="80" t="s">
        <v>5076</v>
      </c>
      <c r="H1015" s="80" t="s">
        <v>115</v>
      </c>
      <c r="I1015" s="80" t="s">
        <v>227</v>
      </c>
      <c r="J1015" s="80" t="s">
        <v>117</v>
      </c>
      <c r="K1015" s="80">
        <v>18</v>
      </c>
      <c r="L1015" s="80" t="s">
        <v>5077</v>
      </c>
      <c r="M1015" s="80" t="s">
        <v>5078</v>
      </c>
      <c r="N1015" s="80" t="s">
        <v>120</v>
      </c>
      <c r="O1015" s="80" t="s">
        <v>428</v>
      </c>
      <c r="P1015" s="80" t="s">
        <v>287</v>
      </c>
      <c r="Q1015" s="80" t="s">
        <v>123</v>
      </c>
      <c r="R1015" s="80" t="s">
        <v>174</v>
      </c>
      <c r="S1015" s="80">
        <v>10</v>
      </c>
      <c r="T1015" s="80">
        <v>12</v>
      </c>
      <c r="U1015" s="80" t="s">
        <v>364</v>
      </c>
      <c r="V1015" s="80" t="s">
        <v>126</v>
      </c>
      <c r="W1015" s="80" t="s">
        <v>127</v>
      </c>
      <c r="X1015" s="80"/>
      <c r="Y1015" s="80"/>
    </row>
    <row r="1016" spans="1:25">
      <c r="A1016" s="80">
        <f t="shared" si="17"/>
        <v>1015</v>
      </c>
      <c r="B1016" s="10">
        <v>45979.617546296293</v>
      </c>
      <c r="C1016" s="13" t="s">
        <v>604</v>
      </c>
      <c r="D1016" s="80" t="s">
        <v>4950</v>
      </c>
      <c r="E1016" s="80" t="s">
        <v>4997</v>
      </c>
      <c r="F1016" s="80" t="s">
        <v>5079</v>
      </c>
      <c r="G1016" s="80" t="s">
        <v>5080</v>
      </c>
      <c r="H1016" s="80" t="s">
        <v>115</v>
      </c>
      <c r="I1016" s="80" t="s">
        <v>865</v>
      </c>
      <c r="J1016" s="80" t="s">
        <v>117</v>
      </c>
      <c r="K1016" s="80">
        <v>20</v>
      </c>
      <c r="L1016" s="80" t="s">
        <v>5081</v>
      </c>
      <c r="M1016" s="80" t="s">
        <v>5082</v>
      </c>
      <c r="N1016" s="80" t="s">
        <v>120</v>
      </c>
      <c r="O1016" s="80" t="s">
        <v>121</v>
      </c>
      <c r="P1016" s="80" t="s">
        <v>178</v>
      </c>
      <c r="Q1016" s="80" t="s">
        <v>123</v>
      </c>
      <c r="R1016" s="80" t="s">
        <v>166</v>
      </c>
      <c r="S1016" s="80">
        <v>8</v>
      </c>
      <c r="T1016" s="80">
        <v>12</v>
      </c>
      <c r="U1016" s="80" t="s">
        <v>613</v>
      </c>
      <c r="V1016" s="80" t="s">
        <v>126</v>
      </c>
      <c r="W1016" s="80" t="s">
        <v>127</v>
      </c>
      <c r="X1016" s="80"/>
      <c r="Y1016" s="80"/>
    </row>
    <row r="1017" spans="1:25">
      <c r="A1017" s="80">
        <f t="shared" si="17"/>
        <v>1016</v>
      </c>
      <c r="B1017" s="10">
        <v>45979.617627314816</v>
      </c>
      <c r="C1017" s="13" t="s">
        <v>563</v>
      </c>
      <c r="D1017" s="80" t="s">
        <v>4951</v>
      </c>
      <c r="E1017" s="80" t="s">
        <v>4997</v>
      </c>
      <c r="F1017" s="80" t="s">
        <v>5079</v>
      </c>
      <c r="G1017" s="80" t="s">
        <v>5080</v>
      </c>
      <c r="H1017" s="80" t="s">
        <v>115</v>
      </c>
      <c r="I1017" s="80" t="s">
        <v>865</v>
      </c>
      <c r="J1017" s="80" t="s">
        <v>117</v>
      </c>
      <c r="K1017" s="80">
        <v>20</v>
      </c>
      <c r="L1017" s="80" t="s">
        <v>5081</v>
      </c>
      <c r="M1017" s="80" t="s">
        <v>5082</v>
      </c>
      <c r="N1017" s="80" t="s">
        <v>120</v>
      </c>
      <c r="O1017" s="80" t="s">
        <v>121</v>
      </c>
      <c r="P1017" s="80" t="s">
        <v>178</v>
      </c>
      <c r="Q1017" s="80" t="s">
        <v>123</v>
      </c>
      <c r="R1017" s="80" t="s">
        <v>166</v>
      </c>
      <c r="S1017" s="80">
        <v>8</v>
      </c>
      <c r="T1017" s="80">
        <v>12</v>
      </c>
      <c r="U1017" s="80" t="s">
        <v>565</v>
      </c>
      <c r="V1017" s="80" t="s">
        <v>126</v>
      </c>
      <c r="W1017" s="80" t="s">
        <v>127</v>
      </c>
      <c r="X1017" s="80"/>
      <c r="Y1017" s="80"/>
    </row>
    <row r="1018" spans="1:25">
      <c r="A1018" s="80">
        <f t="shared" si="17"/>
        <v>1017</v>
      </c>
      <c r="B1018" s="10">
        <v>45979.620104166665</v>
      </c>
      <c r="C1018" s="13" t="s">
        <v>110</v>
      </c>
      <c r="D1018" s="80" t="s">
        <v>4952</v>
      </c>
      <c r="E1018" s="80" t="s">
        <v>4998</v>
      </c>
      <c r="F1018" s="80" t="s">
        <v>5083</v>
      </c>
      <c r="G1018" s="80" t="s">
        <v>5084</v>
      </c>
      <c r="H1018" s="80" t="s">
        <v>115</v>
      </c>
      <c r="I1018" s="80" t="s">
        <v>1207</v>
      </c>
      <c r="J1018" s="80" t="s">
        <v>117</v>
      </c>
      <c r="K1018" s="80">
        <v>9</v>
      </c>
      <c r="L1018" s="80" t="s">
        <v>5085</v>
      </c>
      <c r="M1018" s="80" t="s">
        <v>5086</v>
      </c>
      <c r="N1018" s="80" t="s">
        <v>120</v>
      </c>
      <c r="O1018" s="80" t="s">
        <v>4328</v>
      </c>
      <c r="P1018" s="80" t="s">
        <v>178</v>
      </c>
      <c r="Q1018" s="80" t="s">
        <v>123</v>
      </c>
      <c r="R1018" s="80" t="s">
        <v>174</v>
      </c>
      <c r="S1018" s="80">
        <v>12</v>
      </c>
      <c r="T1018" s="80">
        <v>12</v>
      </c>
      <c r="U1018" s="80" t="s">
        <v>125</v>
      </c>
      <c r="V1018" s="80" t="s">
        <v>126</v>
      </c>
      <c r="W1018" s="80" t="s">
        <v>127</v>
      </c>
      <c r="X1018" s="80"/>
      <c r="Y1018" s="80"/>
    </row>
    <row r="1019" spans="1:25">
      <c r="A1019" s="80">
        <f t="shared" si="17"/>
        <v>1018</v>
      </c>
      <c r="B1019" s="10">
        <v>45979.621782407405</v>
      </c>
      <c r="C1019" s="13" t="s">
        <v>110</v>
      </c>
      <c r="D1019" s="80" t="s">
        <v>4953</v>
      </c>
      <c r="E1019" s="80" t="s">
        <v>4999</v>
      </c>
      <c r="F1019" s="80" t="s">
        <v>5087</v>
      </c>
      <c r="G1019" s="80" t="s">
        <v>5088</v>
      </c>
      <c r="H1019" s="80" t="s">
        <v>115</v>
      </c>
      <c r="I1019" s="80" t="s">
        <v>849</v>
      </c>
      <c r="J1019" s="80" t="s">
        <v>117</v>
      </c>
      <c r="K1019" s="80">
        <v>26</v>
      </c>
      <c r="L1019" s="80" t="s">
        <v>5089</v>
      </c>
      <c r="M1019" s="80" t="s">
        <v>5090</v>
      </c>
      <c r="N1019" s="80" t="s">
        <v>120</v>
      </c>
      <c r="O1019" s="80" t="s">
        <v>371</v>
      </c>
      <c r="P1019" s="80" t="s">
        <v>135</v>
      </c>
      <c r="Q1019" s="80" t="s">
        <v>123</v>
      </c>
      <c r="R1019" s="80" t="s">
        <v>174</v>
      </c>
      <c r="S1019" s="80">
        <v>28</v>
      </c>
      <c r="T1019" s="80">
        <v>36</v>
      </c>
      <c r="U1019" s="80" t="s">
        <v>125</v>
      </c>
      <c r="V1019" s="80" t="s">
        <v>126</v>
      </c>
      <c r="W1019" s="80" t="s">
        <v>127</v>
      </c>
      <c r="X1019" s="80"/>
      <c r="Y1019" s="80"/>
    </row>
    <row r="1020" spans="1:25">
      <c r="A1020" s="80">
        <f t="shared" si="17"/>
        <v>1019</v>
      </c>
      <c r="B1020" s="10">
        <v>45979.628055555557</v>
      </c>
      <c r="C1020" s="13" t="s">
        <v>456</v>
      </c>
      <c r="D1020" s="80" t="s">
        <v>4954</v>
      </c>
      <c r="E1020" s="80" t="s">
        <v>5000</v>
      </c>
      <c r="F1020" s="80" t="s">
        <v>5091</v>
      </c>
      <c r="G1020" s="80" t="s">
        <v>5092</v>
      </c>
      <c r="H1020" s="80" t="s">
        <v>115</v>
      </c>
      <c r="I1020" s="80" t="s">
        <v>252</v>
      </c>
      <c r="J1020" s="80" t="s">
        <v>117</v>
      </c>
      <c r="K1020" s="80">
        <v>1</v>
      </c>
      <c r="L1020" s="80" t="s">
        <v>5093</v>
      </c>
      <c r="M1020" s="80" t="s">
        <v>5094</v>
      </c>
      <c r="N1020" s="80" t="s">
        <v>120</v>
      </c>
      <c r="O1020" s="80" t="s">
        <v>152</v>
      </c>
      <c r="P1020" s="80" t="s">
        <v>304</v>
      </c>
      <c r="Q1020" s="80" t="s">
        <v>123</v>
      </c>
      <c r="R1020" s="80" t="s">
        <v>136</v>
      </c>
      <c r="S1020" s="80">
        <v>15</v>
      </c>
      <c r="T1020" s="80">
        <v>18</v>
      </c>
      <c r="U1020" s="80" t="s">
        <v>466</v>
      </c>
      <c r="V1020" s="80" t="s">
        <v>126</v>
      </c>
      <c r="W1020" s="80" t="s">
        <v>127</v>
      </c>
      <c r="X1020" s="80"/>
      <c r="Y1020" s="80"/>
    </row>
    <row r="1021" spans="1:25">
      <c r="A1021" s="80">
        <f t="shared" si="17"/>
        <v>1020</v>
      </c>
      <c r="B1021" s="10">
        <v>45979.629259259258</v>
      </c>
      <c r="C1021" s="13" t="s">
        <v>456</v>
      </c>
      <c r="D1021" s="80" t="s">
        <v>4955</v>
      </c>
      <c r="E1021" s="80" t="s">
        <v>5001</v>
      </c>
      <c r="F1021" s="80" t="s">
        <v>5095</v>
      </c>
      <c r="G1021" s="80" t="s">
        <v>5096</v>
      </c>
      <c r="H1021" s="80" t="s">
        <v>115</v>
      </c>
      <c r="I1021" s="80" t="s">
        <v>275</v>
      </c>
      <c r="J1021" s="80" t="s">
        <v>117</v>
      </c>
      <c r="K1021" s="80">
        <v>1</v>
      </c>
      <c r="L1021" s="80" t="s">
        <v>5097</v>
      </c>
      <c r="M1021" s="80" t="s">
        <v>5098</v>
      </c>
      <c r="N1021" s="80" t="s">
        <v>120</v>
      </c>
      <c r="O1021" s="80" t="s">
        <v>152</v>
      </c>
      <c r="P1021" s="80" t="s">
        <v>135</v>
      </c>
      <c r="Q1021" s="80" t="s">
        <v>123</v>
      </c>
      <c r="R1021" s="80" t="s">
        <v>136</v>
      </c>
      <c r="S1021" s="80">
        <v>17</v>
      </c>
      <c r="T1021" s="80">
        <v>18</v>
      </c>
      <c r="U1021" s="80" t="s">
        <v>466</v>
      </c>
      <c r="V1021" s="80" t="s">
        <v>126</v>
      </c>
      <c r="W1021" s="80" t="s">
        <v>127</v>
      </c>
      <c r="X1021" s="80"/>
      <c r="Y1021" s="80"/>
    </row>
    <row r="1022" spans="1:25">
      <c r="A1022" s="80">
        <f t="shared" si="17"/>
        <v>1021</v>
      </c>
      <c r="B1022" s="10">
        <v>45979.637870370374</v>
      </c>
      <c r="C1022" s="13" t="s">
        <v>1465</v>
      </c>
      <c r="D1022" s="80" t="s">
        <v>4956</v>
      </c>
      <c r="E1022" s="80" t="s">
        <v>1016</v>
      </c>
      <c r="F1022" s="80" t="s">
        <v>1017</v>
      </c>
      <c r="G1022" s="80" t="s">
        <v>1018</v>
      </c>
      <c r="H1022" s="80" t="s">
        <v>174</v>
      </c>
      <c r="I1022" s="80" t="s">
        <v>173</v>
      </c>
      <c r="J1022" s="80" t="s">
        <v>9</v>
      </c>
      <c r="K1022" s="80">
        <v>1</v>
      </c>
      <c r="L1022" s="80" t="s">
        <v>1019</v>
      </c>
      <c r="M1022" s="80" t="s">
        <v>1020</v>
      </c>
      <c r="N1022" s="80" t="s">
        <v>120</v>
      </c>
      <c r="O1022" s="80" t="s">
        <v>449</v>
      </c>
      <c r="P1022" s="80" t="s">
        <v>178</v>
      </c>
      <c r="Q1022" s="80" t="s">
        <v>123</v>
      </c>
      <c r="R1022" s="80" t="s">
        <v>174</v>
      </c>
      <c r="S1022" s="80">
        <v>1</v>
      </c>
      <c r="T1022" s="80">
        <v>18</v>
      </c>
      <c r="U1022" s="80" t="s">
        <v>1473</v>
      </c>
      <c r="V1022" s="80" t="s">
        <v>126</v>
      </c>
      <c r="W1022" s="80" t="s">
        <v>127</v>
      </c>
      <c r="X1022" s="80"/>
      <c r="Y1022" s="80"/>
    </row>
    <row r="1023" spans="1:25">
      <c r="A1023" s="80">
        <f t="shared" si="17"/>
        <v>1022</v>
      </c>
      <c r="B1023" s="10">
        <v>45979.638113425928</v>
      </c>
      <c r="C1023" s="13" t="s">
        <v>1465</v>
      </c>
      <c r="D1023" s="80" t="s">
        <v>4957</v>
      </c>
      <c r="E1023" s="80" t="s">
        <v>5002</v>
      </c>
      <c r="F1023" s="80" t="s">
        <v>5099</v>
      </c>
      <c r="G1023" s="80" t="s">
        <v>5100</v>
      </c>
      <c r="H1023" s="80" t="s">
        <v>115</v>
      </c>
      <c r="I1023" s="80" t="s">
        <v>252</v>
      </c>
      <c r="J1023" s="80" t="s">
        <v>117</v>
      </c>
      <c r="K1023" s="80">
        <v>17</v>
      </c>
      <c r="L1023" s="80" t="s">
        <v>5101</v>
      </c>
      <c r="M1023" s="80" t="s">
        <v>5102</v>
      </c>
      <c r="N1023" s="80" t="s">
        <v>120</v>
      </c>
      <c r="O1023" s="80" t="s">
        <v>5103</v>
      </c>
      <c r="P1023" s="80" t="s">
        <v>135</v>
      </c>
      <c r="Q1023" s="80" t="s">
        <v>123</v>
      </c>
      <c r="R1023" s="80" t="s">
        <v>174</v>
      </c>
      <c r="S1023" s="80">
        <v>8</v>
      </c>
      <c r="T1023" s="80">
        <v>24</v>
      </c>
      <c r="U1023" s="80" t="s">
        <v>1473</v>
      </c>
      <c r="V1023" s="80" t="s">
        <v>126</v>
      </c>
      <c r="W1023" s="80" t="s">
        <v>127</v>
      </c>
      <c r="X1023" s="80"/>
      <c r="Y1023" s="80"/>
    </row>
    <row r="1024" spans="1:25">
      <c r="A1024" s="80">
        <f t="shared" si="17"/>
        <v>1023</v>
      </c>
      <c r="B1024" s="10">
        <v>45979.649525462963</v>
      </c>
      <c r="C1024" s="13" t="s">
        <v>320</v>
      </c>
      <c r="D1024" s="80" t="s">
        <v>4958</v>
      </c>
      <c r="E1024" s="80" t="s">
        <v>5003</v>
      </c>
      <c r="F1024" s="80" t="s">
        <v>5104</v>
      </c>
      <c r="G1024" s="80" t="s">
        <v>5105</v>
      </c>
      <c r="H1024" s="80" t="s">
        <v>115</v>
      </c>
      <c r="I1024" s="80" t="s">
        <v>865</v>
      </c>
      <c r="J1024" s="80" t="s">
        <v>9</v>
      </c>
      <c r="K1024" s="80">
        <v>15</v>
      </c>
      <c r="L1024" s="80" t="s">
        <v>5106</v>
      </c>
      <c r="M1024" s="80" t="s">
        <v>5107</v>
      </c>
      <c r="N1024" s="80" t="s">
        <v>120</v>
      </c>
      <c r="O1024" s="80" t="s">
        <v>3274</v>
      </c>
      <c r="P1024" s="80" t="s">
        <v>1552</v>
      </c>
      <c r="Q1024" s="80" t="s">
        <v>123</v>
      </c>
      <c r="R1024" s="80" t="s">
        <v>174</v>
      </c>
      <c r="S1024" s="80">
        <v>2</v>
      </c>
      <c r="T1024" s="80">
        <v>24</v>
      </c>
      <c r="U1024" s="80" t="s">
        <v>328</v>
      </c>
      <c r="V1024" s="80" t="s">
        <v>126</v>
      </c>
      <c r="W1024" s="80" t="s">
        <v>127</v>
      </c>
      <c r="X1024" s="80"/>
      <c r="Y1024" s="80"/>
    </row>
    <row r="1025" spans="1:25">
      <c r="A1025" s="80">
        <f t="shared" si="17"/>
        <v>1024</v>
      </c>
      <c r="B1025" s="10">
        <v>45979.658402777779</v>
      </c>
      <c r="C1025" s="13" t="s">
        <v>320</v>
      </c>
      <c r="D1025" s="80" t="s">
        <v>4959</v>
      </c>
      <c r="E1025" s="80" t="s">
        <v>5004</v>
      </c>
      <c r="F1025" s="80" t="s">
        <v>5108</v>
      </c>
      <c r="G1025" s="80" t="s">
        <v>5109</v>
      </c>
      <c r="H1025" s="80" t="s">
        <v>115</v>
      </c>
      <c r="I1025" s="80" t="s">
        <v>865</v>
      </c>
      <c r="J1025" s="80" t="s">
        <v>117</v>
      </c>
      <c r="K1025" s="80">
        <v>13</v>
      </c>
      <c r="L1025" s="80" t="s">
        <v>5110</v>
      </c>
      <c r="M1025" s="80" t="s">
        <v>5111</v>
      </c>
      <c r="N1025" s="80" t="s">
        <v>120</v>
      </c>
      <c r="O1025" s="80" t="s">
        <v>611</v>
      </c>
      <c r="P1025" s="80" t="s">
        <v>214</v>
      </c>
      <c r="Q1025" s="80" t="s">
        <v>123</v>
      </c>
      <c r="R1025" s="80" t="s">
        <v>174</v>
      </c>
      <c r="S1025" s="80">
        <v>20</v>
      </c>
      <c r="T1025" s="80">
        <v>24</v>
      </c>
      <c r="U1025" s="80" t="s">
        <v>328</v>
      </c>
      <c r="V1025" s="80" t="s">
        <v>126</v>
      </c>
      <c r="W1025" s="80" t="s">
        <v>127</v>
      </c>
      <c r="X1025" s="80"/>
      <c r="Y1025" s="80"/>
    </row>
    <row r="1026" spans="1:25">
      <c r="A1026" s="80">
        <f t="shared" si="17"/>
        <v>1025</v>
      </c>
      <c r="B1026" s="10">
        <v>45979.66615740741</v>
      </c>
      <c r="C1026" s="13" t="s">
        <v>563</v>
      </c>
      <c r="D1026" s="80" t="s">
        <v>4960</v>
      </c>
      <c r="E1026" s="80" t="s">
        <v>5005</v>
      </c>
      <c r="F1026" s="80" t="s">
        <v>5112</v>
      </c>
      <c r="G1026" s="80" t="s">
        <v>5113</v>
      </c>
      <c r="H1026" s="80" t="s">
        <v>115</v>
      </c>
      <c r="I1026" s="80" t="s">
        <v>918</v>
      </c>
      <c r="J1026" s="80" t="s">
        <v>117</v>
      </c>
      <c r="K1026" s="80">
        <v>7</v>
      </c>
      <c r="L1026" s="80" t="s">
        <v>5114</v>
      </c>
      <c r="M1026" s="80" t="s">
        <v>5115</v>
      </c>
      <c r="N1026" s="80" t="s">
        <v>120</v>
      </c>
      <c r="O1026" s="80" t="s">
        <v>152</v>
      </c>
      <c r="P1026" s="80" t="s">
        <v>1180</v>
      </c>
      <c r="Q1026" s="80" t="s">
        <v>123</v>
      </c>
      <c r="R1026" s="80" t="s">
        <v>174</v>
      </c>
      <c r="S1026" s="80">
        <v>10</v>
      </c>
      <c r="T1026" s="80">
        <v>18</v>
      </c>
      <c r="U1026" s="80" t="s">
        <v>565</v>
      </c>
      <c r="V1026" s="80" t="s">
        <v>126</v>
      </c>
      <c r="W1026" s="80" t="s">
        <v>127</v>
      </c>
      <c r="X1026" s="80"/>
      <c r="Y1026" s="80"/>
    </row>
    <row r="1027" spans="1:25">
      <c r="A1027" s="80">
        <f t="shared" si="17"/>
        <v>1026</v>
      </c>
      <c r="B1027" s="10">
        <v>45979.672395833331</v>
      </c>
      <c r="C1027" s="13" t="s">
        <v>456</v>
      </c>
      <c r="D1027" s="80" t="s">
        <v>4961</v>
      </c>
      <c r="E1027" s="80" t="s">
        <v>5006</v>
      </c>
      <c r="F1027" s="80" t="s">
        <v>5116</v>
      </c>
      <c r="G1027" s="80" t="s">
        <v>5117</v>
      </c>
      <c r="H1027" s="80" t="s">
        <v>115</v>
      </c>
      <c r="I1027" s="80" t="s">
        <v>252</v>
      </c>
      <c r="J1027" s="80" t="s">
        <v>461</v>
      </c>
      <c r="K1027" s="80">
        <v>3</v>
      </c>
      <c r="L1027" s="80" t="s">
        <v>5118</v>
      </c>
      <c r="M1027" s="80" t="s">
        <v>5119</v>
      </c>
      <c r="N1027" s="80" t="s">
        <v>120</v>
      </c>
      <c r="O1027" s="80" t="s">
        <v>213</v>
      </c>
      <c r="P1027" s="80" t="s">
        <v>135</v>
      </c>
      <c r="Q1027" s="80" t="s">
        <v>123</v>
      </c>
      <c r="R1027" s="80" t="s">
        <v>124</v>
      </c>
      <c r="S1027" s="80">
        <v>17</v>
      </c>
      <c r="T1027" s="80">
        <v>18</v>
      </c>
      <c r="U1027" s="80" t="s">
        <v>466</v>
      </c>
      <c r="V1027" s="80" t="s">
        <v>126</v>
      </c>
      <c r="W1027" s="80" t="s">
        <v>127</v>
      </c>
      <c r="X1027" s="80"/>
      <c r="Y1027" s="80"/>
    </row>
    <row r="1028" spans="1:25">
      <c r="A1028" s="80">
        <f t="shared" si="17"/>
        <v>1027</v>
      </c>
      <c r="B1028" s="10">
        <v>45979.673368055555</v>
      </c>
      <c r="C1028" s="13" t="s">
        <v>329</v>
      </c>
      <c r="D1028" s="80" t="s">
        <v>4962</v>
      </c>
      <c r="E1028" s="80" t="s">
        <v>5007</v>
      </c>
      <c r="F1028" s="80" t="s">
        <v>5120</v>
      </c>
      <c r="G1028" s="80" t="s">
        <v>5121</v>
      </c>
      <c r="H1028" s="80" t="s">
        <v>115</v>
      </c>
      <c r="I1028" s="80" t="s">
        <v>275</v>
      </c>
      <c r="J1028" s="80" t="s">
        <v>117</v>
      </c>
      <c r="K1028" s="80">
        <v>8</v>
      </c>
      <c r="L1028" s="80" t="s">
        <v>5122</v>
      </c>
      <c r="M1028" s="80" t="s">
        <v>5123</v>
      </c>
      <c r="N1028" s="80" t="s">
        <v>120</v>
      </c>
      <c r="O1028" s="80" t="s">
        <v>3274</v>
      </c>
      <c r="P1028" s="80" t="s">
        <v>135</v>
      </c>
      <c r="Q1028" s="80" t="s">
        <v>123</v>
      </c>
      <c r="R1028" s="80" t="s">
        <v>174</v>
      </c>
      <c r="S1028" s="80">
        <v>4</v>
      </c>
      <c r="T1028" s="80">
        <v>12</v>
      </c>
      <c r="U1028" s="80" t="s">
        <v>336</v>
      </c>
      <c r="V1028" s="80" t="s">
        <v>126</v>
      </c>
      <c r="W1028" s="80" t="s">
        <v>127</v>
      </c>
      <c r="X1028" s="80"/>
      <c r="Y1028" s="80"/>
    </row>
    <row r="1029" spans="1:25">
      <c r="A1029" s="80">
        <f t="shared" si="17"/>
        <v>1028</v>
      </c>
      <c r="B1029" s="10">
        <v>45979.676678240743</v>
      </c>
      <c r="C1029" s="13" t="s">
        <v>222</v>
      </c>
      <c r="D1029" s="80" t="s">
        <v>4963</v>
      </c>
      <c r="E1029" s="80" t="s">
        <v>1546</v>
      </c>
      <c r="F1029" s="80" t="s">
        <v>1547</v>
      </c>
      <c r="G1029" s="80" t="s">
        <v>1548</v>
      </c>
      <c r="H1029" s="80" t="s">
        <v>1258</v>
      </c>
      <c r="I1029" s="80" t="s">
        <v>44</v>
      </c>
      <c r="J1029" s="80" t="s">
        <v>9</v>
      </c>
      <c r="K1029" s="80">
        <v>4</v>
      </c>
      <c r="L1029" s="80" t="s">
        <v>1549</v>
      </c>
      <c r="M1029" s="80" t="s">
        <v>1550</v>
      </c>
      <c r="N1029" s="80" t="s">
        <v>120</v>
      </c>
      <c r="O1029" s="80" t="s">
        <v>1551</v>
      </c>
      <c r="P1029" s="80" t="s">
        <v>1552</v>
      </c>
      <c r="Q1029" s="80" t="s">
        <v>123</v>
      </c>
      <c r="R1029" s="80" t="s">
        <v>136</v>
      </c>
      <c r="S1029" s="80">
        <v>6</v>
      </c>
      <c r="T1029" s="80">
        <v>18</v>
      </c>
      <c r="U1029" s="80" t="s">
        <v>232</v>
      </c>
      <c r="V1029" s="80" t="s">
        <v>126</v>
      </c>
      <c r="W1029" s="80" t="s">
        <v>188</v>
      </c>
      <c r="X1029" s="80"/>
      <c r="Y1029" s="80"/>
    </row>
    <row r="1030" spans="1:25">
      <c r="A1030" s="80">
        <f t="shared" si="17"/>
        <v>1029</v>
      </c>
      <c r="B1030" s="10">
        <v>45979.677766203706</v>
      </c>
      <c r="C1030" s="13" t="s">
        <v>329</v>
      </c>
      <c r="D1030" s="80" t="s">
        <v>4964</v>
      </c>
      <c r="E1030" s="80" t="s">
        <v>1546</v>
      </c>
      <c r="F1030" s="80" t="s">
        <v>1547</v>
      </c>
      <c r="G1030" s="80" t="s">
        <v>1548</v>
      </c>
      <c r="H1030" s="80" t="s">
        <v>1258</v>
      </c>
      <c r="I1030" s="80" t="s">
        <v>44</v>
      </c>
      <c r="J1030" s="80" t="s">
        <v>9</v>
      </c>
      <c r="K1030" s="80">
        <v>4</v>
      </c>
      <c r="L1030" s="80" t="s">
        <v>1549</v>
      </c>
      <c r="M1030" s="80" t="s">
        <v>1550</v>
      </c>
      <c r="N1030" s="80" t="s">
        <v>120</v>
      </c>
      <c r="O1030" s="80" t="s">
        <v>1551</v>
      </c>
      <c r="P1030" s="80" t="s">
        <v>1552</v>
      </c>
      <c r="Q1030" s="80" t="s">
        <v>123</v>
      </c>
      <c r="R1030" s="80" t="s">
        <v>136</v>
      </c>
      <c r="S1030" s="80">
        <v>6</v>
      </c>
      <c r="T1030" s="80">
        <v>18</v>
      </c>
      <c r="U1030" s="80" t="s">
        <v>336</v>
      </c>
      <c r="V1030" s="80" t="s">
        <v>126</v>
      </c>
      <c r="W1030" s="80" t="s">
        <v>188</v>
      </c>
      <c r="X1030" s="80"/>
      <c r="Y1030" s="80"/>
    </row>
    <row r="1031" spans="1:25">
      <c r="A1031" s="80">
        <f t="shared" si="17"/>
        <v>1030</v>
      </c>
      <c r="B1031" s="10">
        <v>45979.680162037039</v>
      </c>
      <c r="C1031" s="13" t="s">
        <v>329</v>
      </c>
      <c r="D1031" s="80" t="s">
        <v>4965</v>
      </c>
      <c r="E1031" s="80" t="s">
        <v>5008</v>
      </c>
      <c r="F1031" s="80" t="s">
        <v>5124</v>
      </c>
      <c r="G1031" s="80" t="s">
        <v>5125</v>
      </c>
      <c r="H1031" s="80" t="s">
        <v>115</v>
      </c>
      <c r="I1031" s="80" t="s">
        <v>842</v>
      </c>
      <c r="J1031" s="80" t="s">
        <v>117</v>
      </c>
      <c r="K1031" s="80">
        <v>6</v>
      </c>
      <c r="L1031" s="80" t="s">
        <v>5126</v>
      </c>
      <c r="M1031" s="80" t="s">
        <v>5127</v>
      </c>
      <c r="N1031" s="80" t="s">
        <v>120</v>
      </c>
      <c r="O1031" s="80" t="s">
        <v>121</v>
      </c>
      <c r="P1031" s="80" t="s">
        <v>612</v>
      </c>
      <c r="Q1031" s="80" t="s">
        <v>123</v>
      </c>
      <c r="R1031" s="80" t="s">
        <v>174</v>
      </c>
      <c r="S1031" s="80">
        <v>22</v>
      </c>
      <c r="T1031" s="80">
        <v>24</v>
      </c>
      <c r="U1031" s="80" t="s">
        <v>336</v>
      </c>
      <c r="V1031" s="80" t="s">
        <v>126</v>
      </c>
      <c r="W1031" s="80" t="s">
        <v>127</v>
      </c>
      <c r="X1031" s="80"/>
      <c r="Y1031" s="80"/>
    </row>
    <row r="1032" spans="1:25">
      <c r="A1032" s="80">
        <f t="shared" si="17"/>
        <v>1031</v>
      </c>
      <c r="B1032" s="10">
        <v>45979.684236111112</v>
      </c>
      <c r="C1032" s="13" t="s">
        <v>362</v>
      </c>
      <c r="D1032" s="80" t="s">
        <v>4966</v>
      </c>
      <c r="E1032" s="80" t="s">
        <v>1496</v>
      </c>
      <c r="F1032" s="80" t="s">
        <v>1497</v>
      </c>
      <c r="G1032" s="80" t="s">
        <v>1498</v>
      </c>
      <c r="H1032" s="80" t="s">
        <v>174</v>
      </c>
      <c r="I1032" s="80" t="s">
        <v>173</v>
      </c>
      <c r="J1032" s="80" t="s">
        <v>9</v>
      </c>
      <c r="K1032" s="80">
        <v>3</v>
      </c>
      <c r="L1032" s="80" t="s">
        <v>1499</v>
      </c>
      <c r="M1032" s="80" t="s">
        <v>1500</v>
      </c>
      <c r="N1032" s="80" t="s">
        <v>164</v>
      </c>
      <c r="O1032" s="80" t="s">
        <v>1501</v>
      </c>
      <c r="P1032" s="80" t="s">
        <v>135</v>
      </c>
      <c r="Q1032" s="80" t="s">
        <v>123</v>
      </c>
      <c r="R1032" s="80" t="s">
        <v>174</v>
      </c>
      <c r="S1032" s="80">
        <v>16</v>
      </c>
      <c r="T1032" s="80">
        <v>24</v>
      </c>
      <c r="U1032" s="80" t="s">
        <v>364</v>
      </c>
      <c r="V1032" s="80" t="s">
        <v>126</v>
      </c>
      <c r="W1032" s="80" t="s">
        <v>127</v>
      </c>
      <c r="X1032" s="80"/>
      <c r="Y1032" s="80"/>
    </row>
    <row r="1033" spans="1:25">
      <c r="A1033" s="80">
        <f t="shared" si="17"/>
        <v>1032</v>
      </c>
      <c r="B1033" s="10">
        <v>45979.693865740737</v>
      </c>
      <c r="C1033" s="13" t="s">
        <v>329</v>
      </c>
      <c r="D1033" s="80" t="s">
        <v>4967</v>
      </c>
      <c r="E1033" s="80" t="s">
        <v>2137</v>
      </c>
      <c r="F1033" s="80" t="s">
        <v>2138</v>
      </c>
      <c r="G1033" s="80" t="s">
        <v>2139</v>
      </c>
      <c r="H1033" s="80" t="s">
        <v>115</v>
      </c>
      <c r="I1033" s="80" t="s">
        <v>244</v>
      </c>
      <c r="J1033" s="80" t="s">
        <v>117</v>
      </c>
      <c r="K1033" s="80">
        <v>12</v>
      </c>
      <c r="L1033" s="80" t="s">
        <v>2140</v>
      </c>
      <c r="M1033" s="80" t="s">
        <v>2141</v>
      </c>
      <c r="N1033" s="80" t="s">
        <v>120</v>
      </c>
      <c r="O1033" s="80" t="s">
        <v>2142</v>
      </c>
      <c r="P1033" s="80" t="s">
        <v>269</v>
      </c>
      <c r="Q1033" s="80" t="s">
        <v>123</v>
      </c>
      <c r="R1033" s="80" t="s">
        <v>174</v>
      </c>
      <c r="S1033" s="80">
        <v>5</v>
      </c>
      <c r="T1033" s="80">
        <v>6</v>
      </c>
      <c r="U1033" s="80" t="s">
        <v>336</v>
      </c>
      <c r="V1033" s="80" t="s">
        <v>126</v>
      </c>
      <c r="W1033" s="80" t="s">
        <v>127</v>
      </c>
      <c r="X1033" s="80"/>
      <c r="Y1033" s="80"/>
    </row>
    <row r="1034" spans="1:25">
      <c r="A1034" s="80">
        <f t="shared" si="17"/>
        <v>1033</v>
      </c>
      <c r="B1034" s="10">
        <v>45979.694120370368</v>
      </c>
      <c r="C1034" s="13" t="s">
        <v>110</v>
      </c>
      <c r="D1034" s="80" t="s">
        <v>4968</v>
      </c>
      <c r="E1034" s="80" t="s">
        <v>5009</v>
      </c>
      <c r="F1034" s="80" t="s">
        <v>5128</v>
      </c>
      <c r="G1034" s="80" t="s">
        <v>5129</v>
      </c>
      <c r="H1034" s="80" t="s">
        <v>115</v>
      </c>
      <c r="I1034" s="80" t="s">
        <v>1207</v>
      </c>
      <c r="J1034" s="80" t="s">
        <v>117</v>
      </c>
      <c r="K1034" s="80">
        <v>4</v>
      </c>
      <c r="L1034" s="80" t="s">
        <v>5130</v>
      </c>
      <c r="M1034" s="80" t="s">
        <v>5131</v>
      </c>
      <c r="N1034" s="80" t="s">
        <v>120</v>
      </c>
      <c r="O1034" s="80" t="s">
        <v>121</v>
      </c>
      <c r="P1034" s="80" t="s">
        <v>612</v>
      </c>
      <c r="Q1034" s="80" t="s">
        <v>123</v>
      </c>
      <c r="R1034" s="80" t="s">
        <v>136</v>
      </c>
      <c r="S1034" s="80">
        <v>3</v>
      </c>
      <c r="T1034" s="80">
        <v>24</v>
      </c>
      <c r="U1034" s="80" t="s">
        <v>125</v>
      </c>
      <c r="V1034" s="80" t="s">
        <v>126</v>
      </c>
      <c r="W1034" s="80" t="s">
        <v>127</v>
      </c>
      <c r="X1034" s="80"/>
      <c r="Y1034" s="80"/>
    </row>
    <row r="1035" spans="1:25">
      <c r="A1035" s="80">
        <f t="shared" si="17"/>
        <v>1034</v>
      </c>
      <c r="B1035" s="10">
        <v>45979.739490740743</v>
      </c>
      <c r="C1035" s="13" t="s">
        <v>110</v>
      </c>
      <c r="D1035" s="80" t="s">
        <v>4969</v>
      </c>
      <c r="E1035" s="80" t="s">
        <v>5010</v>
      </c>
      <c r="F1035" s="80" t="s">
        <v>5132</v>
      </c>
      <c r="G1035" s="80" t="s">
        <v>5133</v>
      </c>
      <c r="H1035" s="80" t="s">
        <v>174</v>
      </c>
      <c r="I1035" s="80" t="s">
        <v>173</v>
      </c>
      <c r="J1035" s="80" t="s">
        <v>9</v>
      </c>
      <c r="K1035" s="80">
        <v>1</v>
      </c>
      <c r="L1035" s="80" t="s">
        <v>5134</v>
      </c>
      <c r="M1035" s="80" t="s">
        <v>5135</v>
      </c>
      <c r="N1035" s="80" t="s">
        <v>120</v>
      </c>
      <c r="O1035" s="80" t="s">
        <v>327</v>
      </c>
      <c r="P1035" s="80" t="s">
        <v>135</v>
      </c>
      <c r="Q1035" s="80" t="s">
        <v>123</v>
      </c>
      <c r="R1035" s="80" t="s">
        <v>174</v>
      </c>
      <c r="S1035" s="80">
        <v>12</v>
      </c>
      <c r="T1035" s="80">
        <v>18</v>
      </c>
      <c r="U1035" s="80" t="s">
        <v>125</v>
      </c>
      <c r="V1035" s="80" t="s">
        <v>126</v>
      </c>
      <c r="W1035" s="80" t="s">
        <v>127</v>
      </c>
      <c r="X1035" s="80"/>
      <c r="Y1035" s="80"/>
    </row>
    <row r="1036" spans="1:25">
      <c r="A1036" s="80">
        <f t="shared" si="17"/>
        <v>1035</v>
      </c>
      <c r="B1036" s="10">
        <v>45979.746874999997</v>
      </c>
      <c r="C1036" s="13" t="s">
        <v>157</v>
      </c>
      <c r="D1036" s="80" t="s">
        <v>4970</v>
      </c>
      <c r="E1036" s="80" t="s">
        <v>1998</v>
      </c>
      <c r="F1036" s="80" t="s">
        <v>1999</v>
      </c>
      <c r="G1036" s="80" t="s">
        <v>2000</v>
      </c>
      <c r="H1036" s="80" t="s">
        <v>210</v>
      </c>
      <c r="I1036" s="80" t="s">
        <v>49</v>
      </c>
      <c r="J1036" s="80" t="s">
        <v>9</v>
      </c>
      <c r="K1036" s="80">
        <v>3</v>
      </c>
      <c r="L1036" s="80" t="s">
        <v>2001</v>
      </c>
      <c r="M1036" s="80" t="s">
        <v>2002</v>
      </c>
      <c r="N1036" s="80" t="s">
        <v>120</v>
      </c>
      <c r="O1036" s="80" t="s">
        <v>371</v>
      </c>
      <c r="P1036" s="80" t="s">
        <v>269</v>
      </c>
      <c r="Q1036" s="80" t="s">
        <v>123</v>
      </c>
      <c r="R1036" s="80" t="s">
        <v>136</v>
      </c>
      <c r="S1036" s="80">
        <v>10</v>
      </c>
      <c r="T1036" s="80">
        <v>12</v>
      </c>
      <c r="U1036" s="80" t="s">
        <v>167</v>
      </c>
      <c r="V1036" s="80" t="s">
        <v>126</v>
      </c>
      <c r="W1036" s="80" t="s">
        <v>5333</v>
      </c>
      <c r="X1036" s="80"/>
      <c r="Y1036" s="80"/>
    </row>
    <row r="1037" spans="1:25">
      <c r="A1037" s="80">
        <f t="shared" si="17"/>
        <v>1036</v>
      </c>
      <c r="B1037" s="10">
        <v>45979.749432870369</v>
      </c>
      <c r="C1037" s="13" t="s">
        <v>157</v>
      </c>
      <c r="D1037" s="80" t="s">
        <v>4971</v>
      </c>
      <c r="E1037" s="80" t="s">
        <v>2516</v>
      </c>
      <c r="F1037" s="80" t="s">
        <v>2517</v>
      </c>
      <c r="G1037" s="80" t="s">
        <v>2518</v>
      </c>
      <c r="H1037" s="80" t="s">
        <v>115</v>
      </c>
      <c r="I1037" s="80" t="s">
        <v>252</v>
      </c>
      <c r="J1037" s="80" t="s">
        <v>117</v>
      </c>
      <c r="K1037" s="80">
        <v>4</v>
      </c>
      <c r="L1037" s="80" t="s">
        <v>2519</v>
      </c>
      <c r="M1037" s="80" t="s">
        <v>2520</v>
      </c>
      <c r="N1037" s="80" t="s">
        <v>120</v>
      </c>
      <c r="O1037" s="80" t="s">
        <v>990</v>
      </c>
      <c r="P1037" s="80" t="s">
        <v>135</v>
      </c>
      <c r="Q1037" s="80" t="s">
        <v>123</v>
      </c>
      <c r="R1037" s="80" t="s">
        <v>136</v>
      </c>
      <c r="S1037" s="80">
        <v>4</v>
      </c>
      <c r="T1037" s="80">
        <v>18</v>
      </c>
      <c r="U1037" s="80" t="s">
        <v>167</v>
      </c>
      <c r="V1037" s="80" t="s">
        <v>126</v>
      </c>
      <c r="W1037" s="80" t="s">
        <v>127</v>
      </c>
      <c r="X1037" s="80"/>
      <c r="Y1037" s="80"/>
    </row>
    <row r="1038" spans="1:25">
      <c r="A1038" s="80">
        <f t="shared" si="17"/>
        <v>1037</v>
      </c>
      <c r="B1038" s="10">
        <v>45979.758796296293</v>
      </c>
      <c r="C1038" s="13" t="s">
        <v>3665</v>
      </c>
      <c r="D1038" s="80" t="s">
        <v>4972</v>
      </c>
      <c r="E1038" s="80" t="s">
        <v>5011</v>
      </c>
      <c r="F1038" s="80" t="s">
        <v>5136</v>
      </c>
      <c r="G1038" s="80" t="s">
        <v>5137</v>
      </c>
      <c r="H1038" s="80" t="s">
        <v>115</v>
      </c>
      <c r="I1038" s="80" t="s">
        <v>244</v>
      </c>
      <c r="J1038" s="80" t="s">
        <v>461</v>
      </c>
      <c r="K1038" s="80">
        <v>1</v>
      </c>
      <c r="L1038" s="80" t="s">
        <v>5138</v>
      </c>
      <c r="M1038" s="80" t="s">
        <v>5139</v>
      </c>
      <c r="N1038" s="80" t="s">
        <v>120</v>
      </c>
      <c r="O1038" s="80" t="s">
        <v>152</v>
      </c>
      <c r="P1038" s="80" t="s">
        <v>135</v>
      </c>
      <c r="Q1038" s="80" t="s">
        <v>123</v>
      </c>
      <c r="R1038" s="80" t="s">
        <v>136</v>
      </c>
      <c r="S1038" s="80">
        <v>16</v>
      </c>
      <c r="T1038" s="80">
        <v>18</v>
      </c>
      <c r="U1038" s="80" t="s">
        <v>3667</v>
      </c>
      <c r="V1038" s="80" t="s">
        <v>126</v>
      </c>
      <c r="W1038" s="80" t="s">
        <v>127</v>
      </c>
      <c r="X1038" s="80"/>
      <c r="Y1038" s="80"/>
    </row>
    <row r="1039" spans="1:25">
      <c r="A1039" s="80">
        <f t="shared" si="17"/>
        <v>1038</v>
      </c>
      <c r="B1039" s="10">
        <v>45979.787499999999</v>
      </c>
      <c r="C1039" s="13" t="s">
        <v>329</v>
      </c>
      <c r="D1039" s="80" t="s">
        <v>4973</v>
      </c>
      <c r="E1039" s="80" t="s">
        <v>2027</v>
      </c>
      <c r="F1039" s="80" t="s">
        <v>2028</v>
      </c>
      <c r="G1039" s="80" t="s">
        <v>2029</v>
      </c>
      <c r="H1039" s="80" t="s">
        <v>115</v>
      </c>
      <c r="I1039" s="80" t="s">
        <v>244</v>
      </c>
      <c r="J1039" s="80" t="s">
        <v>117</v>
      </c>
      <c r="K1039" s="80">
        <v>22</v>
      </c>
      <c r="L1039" s="80" t="s">
        <v>2030</v>
      </c>
      <c r="M1039" s="80" t="s">
        <v>2031</v>
      </c>
      <c r="N1039" s="80" t="s">
        <v>120</v>
      </c>
      <c r="O1039" s="80" t="s">
        <v>152</v>
      </c>
      <c r="P1039" s="80" t="s">
        <v>581</v>
      </c>
      <c r="Q1039" s="80" t="s">
        <v>123</v>
      </c>
      <c r="R1039" s="80" t="s">
        <v>174</v>
      </c>
      <c r="S1039" s="80">
        <v>9</v>
      </c>
      <c r="T1039" s="80">
        <v>12</v>
      </c>
      <c r="U1039" s="80" t="s">
        <v>336</v>
      </c>
      <c r="V1039" s="80" t="s">
        <v>126</v>
      </c>
      <c r="W1039" s="80" t="s">
        <v>127</v>
      </c>
      <c r="X1039" s="80"/>
      <c r="Y1039" s="80"/>
    </row>
    <row r="1040" spans="1:25">
      <c r="A1040" s="80">
        <f t="shared" si="17"/>
        <v>1039</v>
      </c>
      <c r="B1040" s="10">
        <v>45979.792719907404</v>
      </c>
      <c r="C1040" s="13" t="s">
        <v>329</v>
      </c>
      <c r="D1040" s="80" t="s">
        <v>4974</v>
      </c>
      <c r="E1040" s="80" t="s">
        <v>4095</v>
      </c>
      <c r="F1040" s="80" t="s">
        <v>4096</v>
      </c>
      <c r="G1040" s="80" t="s">
        <v>4097</v>
      </c>
      <c r="H1040" s="80" t="s">
        <v>115</v>
      </c>
      <c r="I1040" s="80" t="s">
        <v>865</v>
      </c>
      <c r="J1040" s="80" t="s">
        <v>9</v>
      </c>
      <c r="K1040" s="80">
        <v>20</v>
      </c>
      <c r="L1040" s="80" t="s">
        <v>4098</v>
      </c>
      <c r="M1040" s="80" t="s">
        <v>4099</v>
      </c>
      <c r="N1040" s="80" t="s">
        <v>120</v>
      </c>
      <c r="O1040" s="80" t="s">
        <v>240</v>
      </c>
      <c r="P1040" s="80" t="s">
        <v>135</v>
      </c>
      <c r="Q1040" s="80" t="s">
        <v>123</v>
      </c>
      <c r="R1040" s="80" t="s">
        <v>174</v>
      </c>
      <c r="S1040" s="80">
        <v>1</v>
      </c>
      <c r="T1040" s="80">
        <v>18</v>
      </c>
      <c r="U1040" s="80" t="s">
        <v>336</v>
      </c>
      <c r="V1040" s="80" t="s">
        <v>126</v>
      </c>
      <c r="W1040" s="80" t="s">
        <v>127</v>
      </c>
      <c r="X1040" s="80"/>
      <c r="Y1040" s="80"/>
    </row>
    <row r="1041" spans="1:25">
      <c r="A1041" s="80">
        <f t="shared" si="17"/>
        <v>1040</v>
      </c>
      <c r="B1041" s="10">
        <v>45979.796122685184</v>
      </c>
      <c r="C1041" s="13" t="s">
        <v>329</v>
      </c>
      <c r="D1041" s="80" t="s">
        <v>4975</v>
      </c>
      <c r="E1041" s="80" t="s">
        <v>812</v>
      </c>
      <c r="F1041" s="80" t="s">
        <v>813</v>
      </c>
      <c r="G1041" s="80" t="s">
        <v>814</v>
      </c>
      <c r="H1041" s="80" t="s">
        <v>115</v>
      </c>
      <c r="I1041" s="80" t="s">
        <v>227</v>
      </c>
      <c r="J1041" s="80" t="s">
        <v>117</v>
      </c>
      <c r="K1041" s="80">
        <v>9</v>
      </c>
      <c r="L1041" s="80" t="s">
        <v>815</v>
      </c>
      <c r="M1041" s="80" t="s">
        <v>816</v>
      </c>
      <c r="N1041" s="80" t="s">
        <v>164</v>
      </c>
      <c r="O1041" s="80" t="s">
        <v>817</v>
      </c>
      <c r="P1041" s="80" t="s">
        <v>588</v>
      </c>
      <c r="Q1041" s="80" t="s">
        <v>123</v>
      </c>
      <c r="R1041" s="80" t="s">
        <v>174</v>
      </c>
      <c r="S1041" s="80">
        <v>12</v>
      </c>
      <c r="T1041" s="80">
        <v>12</v>
      </c>
      <c r="U1041" s="80" t="s">
        <v>336</v>
      </c>
      <c r="V1041" s="80" t="s">
        <v>126</v>
      </c>
      <c r="W1041" s="80" t="s">
        <v>127</v>
      </c>
      <c r="X1041" s="80"/>
      <c r="Y1041" s="80"/>
    </row>
    <row r="1042" spans="1:25">
      <c r="A1042" s="80">
        <f t="shared" si="17"/>
        <v>1041</v>
      </c>
      <c r="B1042" s="10">
        <v>45979.798252314817</v>
      </c>
      <c r="C1042" s="13" t="s">
        <v>2012</v>
      </c>
      <c r="D1042" s="80" t="s">
        <v>4976</v>
      </c>
      <c r="E1042" s="80" t="s">
        <v>5012</v>
      </c>
      <c r="F1042" s="80" t="s">
        <v>5140</v>
      </c>
      <c r="G1042" s="80" t="s">
        <v>5141</v>
      </c>
      <c r="H1042" s="80" t="s">
        <v>115</v>
      </c>
      <c r="I1042" s="80" t="s">
        <v>1069</v>
      </c>
      <c r="J1042" s="80" t="s">
        <v>9</v>
      </c>
      <c r="K1042" s="80">
        <v>26</v>
      </c>
      <c r="L1042" s="80" t="s">
        <v>5142</v>
      </c>
      <c r="M1042" s="80" t="s">
        <v>5143</v>
      </c>
      <c r="N1042" s="80" t="s">
        <v>120</v>
      </c>
      <c r="O1042" s="80" t="s">
        <v>152</v>
      </c>
      <c r="P1042" s="80" t="s">
        <v>135</v>
      </c>
      <c r="Q1042" s="80" t="s">
        <v>123</v>
      </c>
      <c r="R1042" s="80" t="s">
        <v>174</v>
      </c>
      <c r="S1042" s="80">
        <v>5</v>
      </c>
      <c r="T1042" s="80">
        <v>18</v>
      </c>
      <c r="U1042" s="80" t="s">
        <v>2019</v>
      </c>
      <c r="V1042" s="80" t="s">
        <v>126</v>
      </c>
      <c r="W1042" s="80" t="s">
        <v>127</v>
      </c>
      <c r="X1042" s="80"/>
      <c r="Y1042" s="80"/>
    </row>
    <row r="1043" spans="1:25">
      <c r="A1043" s="80">
        <f t="shared" si="17"/>
        <v>1042</v>
      </c>
      <c r="B1043" s="10">
        <v>45979.808854166666</v>
      </c>
      <c r="C1043" s="13" t="s">
        <v>2012</v>
      </c>
      <c r="D1043" s="80" t="s">
        <v>4977</v>
      </c>
      <c r="E1043" s="80" t="s">
        <v>5013</v>
      </c>
      <c r="F1043" s="80" t="s">
        <v>5144</v>
      </c>
      <c r="G1043" s="80" t="s">
        <v>5145</v>
      </c>
      <c r="H1043" s="80" t="s">
        <v>115</v>
      </c>
      <c r="I1043" s="80" t="s">
        <v>1383</v>
      </c>
      <c r="J1043" s="80" t="s">
        <v>461</v>
      </c>
      <c r="K1043" s="80">
        <v>21</v>
      </c>
      <c r="L1043" s="80" t="s">
        <v>5146</v>
      </c>
      <c r="M1043" s="80" t="s">
        <v>5147</v>
      </c>
      <c r="N1043" s="80" t="s">
        <v>120</v>
      </c>
      <c r="O1043" s="80" t="s">
        <v>121</v>
      </c>
      <c r="P1043" s="80" t="s">
        <v>5148</v>
      </c>
      <c r="Q1043" s="80" t="s">
        <v>123</v>
      </c>
      <c r="R1043" s="80" t="s">
        <v>174</v>
      </c>
      <c r="S1043" s="80">
        <v>21</v>
      </c>
      <c r="T1043" s="80">
        <v>24</v>
      </c>
      <c r="U1043" s="80" t="s">
        <v>2019</v>
      </c>
      <c r="V1043" s="80" t="s">
        <v>126</v>
      </c>
      <c r="W1043" s="80" t="s">
        <v>127</v>
      </c>
      <c r="X1043" s="80"/>
      <c r="Y1043" s="80"/>
    </row>
    <row r="1044" spans="1:25">
      <c r="A1044" s="80">
        <f t="shared" si="17"/>
        <v>1043</v>
      </c>
      <c r="B1044" s="10">
        <v>45979.825057870374</v>
      </c>
      <c r="C1044" s="13" t="s">
        <v>1251</v>
      </c>
      <c r="D1044" s="80" t="s">
        <v>4978</v>
      </c>
      <c r="E1044" s="80" t="s">
        <v>5014</v>
      </c>
      <c r="F1044" s="80" t="s">
        <v>5149</v>
      </c>
      <c r="G1044" s="80" t="s">
        <v>5150</v>
      </c>
      <c r="H1044" s="80" t="s">
        <v>115</v>
      </c>
      <c r="I1044" s="80" t="s">
        <v>227</v>
      </c>
      <c r="J1044" s="80" t="s">
        <v>9</v>
      </c>
      <c r="K1044" s="80">
        <v>1</v>
      </c>
      <c r="L1044" s="80" t="s">
        <v>5151</v>
      </c>
      <c r="M1044" s="80" t="s">
        <v>5152</v>
      </c>
      <c r="N1044" s="80" t="s">
        <v>120</v>
      </c>
      <c r="O1044" s="80" t="s">
        <v>152</v>
      </c>
      <c r="P1044" s="80" t="s">
        <v>279</v>
      </c>
      <c r="Q1044" s="80" t="s">
        <v>123</v>
      </c>
      <c r="R1044" s="80" t="s">
        <v>136</v>
      </c>
      <c r="S1044" s="80">
        <v>2</v>
      </c>
      <c r="T1044" s="80">
        <v>12</v>
      </c>
      <c r="U1044" s="80" t="s">
        <v>1253</v>
      </c>
      <c r="V1044" s="80" t="s">
        <v>126</v>
      </c>
      <c r="W1044" s="80" t="s">
        <v>204</v>
      </c>
      <c r="X1044" s="80" t="s">
        <v>205</v>
      </c>
      <c r="Y1044" s="80"/>
    </row>
    <row r="1045" spans="1:25">
      <c r="A1045" s="80">
        <f t="shared" si="17"/>
        <v>1044</v>
      </c>
      <c r="B1045" s="10">
        <v>45979.827638888892</v>
      </c>
      <c r="C1045" s="13" t="s">
        <v>168</v>
      </c>
      <c r="D1045" s="80" t="s">
        <v>4979</v>
      </c>
      <c r="E1045" s="80" t="s">
        <v>5015</v>
      </c>
      <c r="F1045" s="80" t="s">
        <v>5153</v>
      </c>
      <c r="G1045" s="80" t="s">
        <v>5154</v>
      </c>
      <c r="H1045" s="80" t="s">
        <v>115</v>
      </c>
      <c r="I1045" s="80" t="s">
        <v>1383</v>
      </c>
      <c r="J1045" s="80" t="s">
        <v>117</v>
      </c>
      <c r="K1045" s="80">
        <v>6</v>
      </c>
      <c r="L1045" s="80" t="s">
        <v>5155</v>
      </c>
      <c r="M1045" s="80" t="s">
        <v>5156</v>
      </c>
      <c r="N1045" s="80" t="s">
        <v>120</v>
      </c>
      <c r="O1045" s="80" t="s">
        <v>152</v>
      </c>
      <c r="P1045" s="80" t="s">
        <v>1522</v>
      </c>
      <c r="Q1045" s="80" t="s">
        <v>123</v>
      </c>
      <c r="R1045" s="80" t="s">
        <v>174</v>
      </c>
      <c r="S1045" s="80">
        <v>15</v>
      </c>
      <c r="T1045" s="80">
        <v>18</v>
      </c>
      <c r="U1045" s="80" t="s">
        <v>179</v>
      </c>
      <c r="V1045" s="80" t="s">
        <v>126</v>
      </c>
      <c r="W1045" s="80" t="s">
        <v>127</v>
      </c>
      <c r="X1045" s="80"/>
      <c r="Y1045" s="80"/>
    </row>
    <row r="1046" spans="1:25">
      <c r="A1046" s="80">
        <f t="shared" si="17"/>
        <v>1045</v>
      </c>
      <c r="B1046" s="10">
        <v>45979.938599537039</v>
      </c>
      <c r="C1046" s="13" t="s">
        <v>2077</v>
      </c>
      <c r="D1046" s="80" t="s">
        <v>4980</v>
      </c>
      <c r="E1046" s="80" t="s">
        <v>5016</v>
      </c>
      <c r="F1046" s="80" t="s">
        <v>5157</v>
      </c>
      <c r="G1046" s="80" t="s">
        <v>5158</v>
      </c>
      <c r="H1046" s="80" t="s">
        <v>115</v>
      </c>
      <c r="I1046" s="80" t="s">
        <v>1410</v>
      </c>
      <c r="J1046" s="80" t="s">
        <v>117</v>
      </c>
      <c r="K1046" s="80">
        <v>10</v>
      </c>
      <c r="L1046" s="80" t="s">
        <v>5159</v>
      </c>
      <c r="M1046" s="80" t="s">
        <v>5160</v>
      </c>
      <c r="N1046" s="80" t="s">
        <v>164</v>
      </c>
      <c r="O1046" s="80" t="s">
        <v>464</v>
      </c>
      <c r="P1046" s="80" t="s">
        <v>178</v>
      </c>
      <c r="Q1046" s="80" t="s">
        <v>123</v>
      </c>
      <c r="R1046" s="80" t="s">
        <v>174</v>
      </c>
      <c r="S1046" s="80">
        <v>9</v>
      </c>
      <c r="T1046" s="80">
        <v>12</v>
      </c>
      <c r="U1046" s="80" t="s">
        <v>2084</v>
      </c>
      <c r="V1046" s="80" t="s">
        <v>126</v>
      </c>
      <c r="W1046" s="80" t="s">
        <v>127</v>
      </c>
      <c r="X1046" s="80"/>
      <c r="Y1046" s="80"/>
    </row>
    <row r="1047" spans="1:25">
      <c r="A1047" s="80">
        <f t="shared" si="17"/>
        <v>1046</v>
      </c>
      <c r="B1047" s="10">
        <v>45980.337222222224</v>
      </c>
      <c r="C1047" s="13" t="s">
        <v>168</v>
      </c>
      <c r="D1047" s="80" t="s">
        <v>5162</v>
      </c>
      <c r="E1047" s="80" t="s">
        <v>5210</v>
      </c>
      <c r="F1047" s="80" t="s">
        <v>5235</v>
      </c>
      <c r="G1047" s="80" t="s">
        <v>5236</v>
      </c>
      <c r="H1047" s="80" t="s">
        <v>115</v>
      </c>
      <c r="I1047" s="80" t="s">
        <v>252</v>
      </c>
      <c r="J1047" s="80" t="s">
        <v>117</v>
      </c>
      <c r="K1047" s="80">
        <v>2</v>
      </c>
      <c r="L1047" s="80" t="s">
        <v>5237</v>
      </c>
      <c r="M1047" s="80" t="s">
        <v>5238</v>
      </c>
      <c r="N1047" s="80" t="s">
        <v>120</v>
      </c>
      <c r="O1047" s="80" t="s">
        <v>213</v>
      </c>
      <c r="P1047" s="80" t="s">
        <v>269</v>
      </c>
      <c r="Q1047" s="80" t="s">
        <v>123</v>
      </c>
      <c r="R1047" s="80" t="s">
        <v>124</v>
      </c>
      <c r="S1047" s="80">
        <v>16</v>
      </c>
      <c r="T1047" s="80">
        <v>18</v>
      </c>
      <c r="U1047" s="80" t="s">
        <v>179</v>
      </c>
      <c r="V1047" s="80" t="s">
        <v>126</v>
      </c>
      <c r="W1047" s="80" t="s">
        <v>127</v>
      </c>
      <c r="X1047" s="80"/>
      <c r="Y1047" s="80"/>
    </row>
    <row r="1048" spans="1:25">
      <c r="A1048" s="80">
        <f t="shared" si="17"/>
        <v>1047</v>
      </c>
      <c r="B1048" s="10">
        <v>45980.376030092593</v>
      </c>
      <c r="C1048" s="13" t="s">
        <v>359</v>
      </c>
      <c r="D1048" s="80" t="s">
        <v>5163</v>
      </c>
      <c r="E1048" s="80" t="s">
        <v>5211</v>
      </c>
      <c r="F1048" s="80" t="s">
        <v>5239</v>
      </c>
      <c r="G1048" s="80" t="s">
        <v>5240</v>
      </c>
      <c r="H1048" s="80" t="s">
        <v>115</v>
      </c>
      <c r="I1048" s="80" t="s">
        <v>227</v>
      </c>
      <c r="J1048" s="80" t="s">
        <v>117</v>
      </c>
      <c r="K1048" s="80">
        <v>15</v>
      </c>
      <c r="L1048" s="80" t="s">
        <v>5241</v>
      </c>
      <c r="M1048" s="80" t="s">
        <v>5242</v>
      </c>
      <c r="N1048" s="80" t="s">
        <v>120</v>
      </c>
      <c r="O1048" s="80" t="s">
        <v>152</v>
      </c>
      <c r="P1048" s="80" t="s">
        <v>135</v>
      </c>
      <c r="Q1048" s="80" t="s">
        <v>123</v>
      </c>
      <c r="R1048" s="80" t="s">
        <v>174</v>
      </c>
      <c r="S1048" s="80">
        <v>13</v>
      </c>
      <c r="T1048" s="80">
        <v>18</v>
      </c>
      <c r="U1048" s="80" t="s">
        <v>361</v>
      </c>
      <c r="V1048" s="80" t="s">
        <v>126</v>
      </c>
      <c r="W1048" s="80" t="s">
        <v>127</v>
      </c>
      <c r="X1048" s="80"/>
      <c r="Y1048" s="80"/>
    </row>
    <row r="1049" spans="1:25">
      <c r="A1049" s="80">
        <f t="shared" si="17"/>
        <v>1048</v>
      </c>
      <c r="B1049" s="10">
        <v>45980.414074074077</v>
      </c>
      <c r="C1049" s="13" t="s">
        <v>2012</v>
      </c>
      <c r="D1049" s="80" t="s">
        <v>5164</v>
      </c>
      <c r="E1049" s="80" t="s">
        <v>3605</v>
      </c>
      <c r="F1049" s="80" t="s">
        <v>3606</v>
      </c>
      <c r="G1049" s="80" t="s">
        <v>3607</v>
      </c>
      <c r="H1049" s="80" t="s">
        <v>115</v>
      </c>
      <c r="I1049" s="80" t="s">
        <v>918</v>
      </c>
      <c r="J1049" s="80" t="s">
        <v>117</v>
      </c>
      <c r="K1049" s="80">
        <v>1</v>
      </c>
      <c r="L1049" s="80" t="s">
        <v>3608</v>
      </c>
      <c r="M1049" s="80" t="s">
        <v>3609</v>
      </c>
      <c r="N1049" s="80" t="s">
        <v>120</v>
      </c>
      <c r="O1049" s="80" t="s">
        <v>121</v>
      </c>
      <c r="P1049" s="80" t="s">
        <v>231</v>
      </c>
      <c r="Q1049" s="80" t="s">
        <v>123</v>
      </c>
      <c r="R1049" s="80" t="s">
        <v>136</v>
      </c>
      <c r="S1049" s="80">
        <v>8</v>
      </c>
      <c r="T1049" s="80">
        <v>18</v>
      </c>
      <c r="U1049" s="80" t="s">
        <v>2019</v>
      </c>
      <c r="V1049" s="80" t="s">
        <v>126</v>
      </c>
      <c r="W1049" s="80" t="s">
        <v>127</v>
      </c>
      <c r="X1049" s="80"/>
      <c r="Y1049" s="80"/>
    </row>
    <row r="1050" spans="1:25">
      <c r="A1050" s="80">
        <f t="shared" ref="A1050:A1095" si="18">A1049+1</f>
        <v>1049</v>
      </c>
      <c r="B1050" s="10">
        <v>45980.414351851854</v>
      </c>
      <c r="C1050" s="13" t="s">
        <v>2012</v>
      </c>
      <c r="D1050" s="80" t="s">
        <v>5165</v>
      </c>
      <c r="E1050" s="80" t="s">
        <v>2802</v>
      </c>
      <c r="F1050" s="80" t="s">
        <v>2803</v>
      </c>
      <c r="G1050" s="80" t="s">
        <v>2804</v>
      </c>
      <c r="H1050" s="80" t="s">
        <v>174</v>
      </c>
      <c r="I1050" s="80" t="s">
        <v>173</v>
      </c>
      <c r="J1050" s="80" t="s">
        <v>9</v>
      </c>
      <c r="K1050" s="80">
        <v>1</v>
      </c>
      <c r="L1050" s="80" t="s">
        <v>2805</v>
      </c>
      <c r="M1050" s="80" t="s">
        <v>2806</v>
      </c>
      <c r="N1050" s="80" t="s">
        <v>120</v>
      </c>
      <c r="O1050" s="80" t="s">
        <v>152</v>
      </c>
      <c r="P1050" s="80" t="s">
        <v>135</v>
      </c>
      <c r="Q1050" s="80" t="s">
        <v>123</v>
      </c>
      <c r="R1050" s="80" t="s">
        <v>174</v>
      </c>
      <c r="S1050" s="80">
        <v>1</v>
      </c>
      <c r="T1050" s="80">
        <v>18</v>
      </c>
      <c r="U1050" s="80" t="s">
        <v>2019</v>
      </c>
      <c r="V1050" s="80" t="s">
        <v>126</v>
      </c>
      <c r="W1050" s="80" t="s">
        <v>127</v>
      </c>
      <c r="X1050" s="80"/>
      <c r="Y1050" s="80"/>
    </row>
    <row r="1051" spans="1:25">
      <c r="A1051" s="80">
        <f t="shared" si="18"/>
        <v>1050</v>
      </c>
      <c r="B1051" s="10">
        <v>45980.414606481485</v>
      </c>
      <c r="C1051" s="13" t="s">
        <v>2012</v>
      </c>
      <c r="D1051" s="80" t="s">
        <v>5166</v>
      </c>
      <c r="E1051" s="80" t="s">
        <v>170</v>
      </c>
      <c r="F1051" s="80" t="s">
        <v>171</v>
      </c>
      <c r="G1051" s="80" t="s">
        <v>172</v>
      </c>
      <c r="H1051" s="80" t="s">
        <v>174</v>
      </c>
      <c r="I1051" s="80" t="s">
        <v>173</v>
      </c>
      <c r="J1051" s="80" t="s">
        <v>9</v>
      </c>
      <c r="K1051" s="80">
        <v>1</v>
      </c>
      <c r="L1051" s="80" t="s">
        <v>175</v>
      </c>
      <c r="M1051" s="80" t="s">
        <v>176</v>
      </c>
      <c r="N1051" s="80" t="s">
        <v>120</v>
      </c>
      <c r="O1051" s="80" t="s">
        <v>177</v>
      </c>
      <c r="P1051" s="80" t="s">
        <v>178</v>
      </c>
      <c r="Q1051" s="80" t="s">
        <v>123</v>
      </c>
      <c r="R1051" s="80" t="s">
        <v>174</v>
      </c>
      <c r="S1051" s="80">
        <v>4</v>
      </c>
      <c r="T1051" s="80">
        <v>12</v>
      </c>
      <c r="U1051" s="80" t="s">
        <v>2019</v>
      </c>
      <c r="V1051" s="80" t="s">
        <v>126</v>
      </c>
      <c r="W1051" s="80" t="s">
        <v>127</v>
      </c>
      <c r="X1051" s="80"/>
      <c r="Y1051" s="80"/>
    </row>
    <row r="1052" spans="1:25">
      <c r="A1052" s="80">
        <f t="shared" si="18"/>
        <v>1051</v>
      </c>
      <c r="B1052" s="10">
        <v>45980.414826388886</v>
      </c>
      <c r="C1052" s="13" t="s">
        <v>2012</v>
      </c>
      <c r="D1052" s="80" t="s">
        <v>5166</v>
      </c>
      <c r="E1052" s="80" t="s">
        <v>4767</v>
      </c>
      <c r="F1052" s="80" t="s">
        <v>4797</v>
      </c>
      <c r="G1052" s="80" t="s">
        <v>4798</v>
      </c>
      <c r="H1052" s="80" t="s">
        <v>477</v>
      </c>
      <c r="I1052" s="80" t="s">
        <v>1165</v>
      </c>
      <c r="J1052" s="80" t="s">
        <v>9</v>
      </c>
      <c r="K1052" s="80">
        <v>26</v>
      </c>
      <c r="L1052" s="80" t="s">
        <v>4799</v>
      </c>
      <c r="M1052" s="80" t="s">
        <v>4800</v>
      </c>
      <c r="N1052" s="80" t="s">
        <v>120</v>
      </c>
      <c r="O1052" s="80" t="s">
        <v>152</v>
      </c>
      <c r="P1052" s="80" t="s">
        <v>588</v>
      </c>
      <c r="Q1052" s="80" t="s">
        <v>123</v>
      </c>
      <c r="R1052" s="80" t="s">
        <v>136</v>
      </c>
      <c r="S1052" s="80">
        <v>12</v>
      </c>
      <c r="T1052" s="80">
        <v>18</v>
      </c>
      <c r="U1052" s="80" t="s">
        <v>2019</v>
      </c>
      <c r="V1052" s="80" t="s">
        <v>126</v>
      </c>
      <c r="W1052" s="80" t="s">
        <v>5333</v>
      </c>
      <c r="X1052" s="80"/>
      <c r="Y1052" s="80"/>
    </row>
    <row r="1053" spans="1:25">
      <c r="A1053" s="80">
        <f t="shared" si="18"/>
        <v>1052</v>
      </c>
      <c r="B1053" s="10">
        <v>45980.417916666665</v>
      </c>
      <c r="C1053" s="13" t="s">
        <v>1785</v>
      </c>
      <c r="D1053" s="80" t="s">
        <v>5167</v>
      </c>
      <c r="E1053" s="80" t="s">
        <v>1722</v>
      </c>
      <c r="F1053" s="80" t="s">
        <v>1723</v>
      </c>
      <c r="G1053" s="80" t="s">
        <v>1724</v>
      </c>
      <c r="H1053" s="80" t="s">
        <v>174</v>
      </c>
      <c r="I1053" s="80" t="s">
        <v>173</v>
      </c>
      <c r="J1053" s="80" t="s">
        <v>9</v>
      </c>
      <c r="K1053" s="80">
        <v>1</v>
      </c>
      <c r="L1053" s="80" t="s">
        <v>1725</v>
      </c>
      <c r="M1053" s="80" t="s">
        <v>1726</v>
      </c>
      <c r="N1053" s="80" t="s">
        <v>120</v>
      </c>
      <c r="O1053" s="80" t="s">
        <v>213</v>
      </c>
      <c r="P1053" s="80" t="s">
        <v>135</v>
      </c>
      <c r="Q1053" s="80" t="s">
        <v>123</v>
      </c>
      <c r="R1053" s="80" t="s">
        <v>174</v>
      </c>
      <c r="S1053" s="80">
        <v>7</v>
      </c>
      <c r="T1053" s="80">
        <v>18</v>
      </c>
      <c r="U1053" s="80" t="s">
        <v>1792</v>
      </c>
      <c r="V1053" s="80" t="s">
        <v>126</v>
      </c>
      <c r="W1053" s="80" t="s">
        <v>127</v>
      </c>
      <c r="X1053" s="80"/>
      <c r="Y1053" s="80"/>
    </row>
    <row r="1054" spans="1:25">
      <c r="A1054" s="80">
        <f t="shared" si="18"/>
        <v>1053</v>
      </c>
      <c r="B1054" s="10">
        <v>45980.468402777777</v>
      </c>
      <c r="C1054" s="13" t="s">
        <v>110</v>
      </c>
      <c r="D1054" s="80" t="s">
        <v>5168</v>
      </c>
      <c r="E1054" s="80" t="s">
        <v>3122</v>
      </c>
      <c r="F1054" s="80" t="s">
        <v>3123</v>
      </c>
      <c r="G1054" s="80" t="s">
        <v>3124</v>
      </c>
      <c r="H1054" s="80" t="s">
        <v>115</v>
      </c>
      <c r="I1054" s="80" t="s">
        <v>865</v>
      </c>
      <c r="J1054" s="80" t="s">
        <v>117</v>
      </c>
      <c r="K1054" s="80">
        <v>15</v>
      </c>
      <c r="L1054" s="80" t="s">
        <v>3125</v>
      </c>
      <c r="M1054" s="80" t="s">
        <v>3126</v>
      </c>
      <c r="N1054" s="80" t="s">
        <v>120</v>
      </c>
      <c r="O1054" s="80" t="s">
        <v>152</v>
      </c>
      <c r="P1054" s="80" t="s">
        <v>581</v>
      </c>
      <c r="Q1054" s="80" t="s">
        <v>123</v>
      </c>
      <c r="R1054" s="80" t="s">
        <v>174</v>
      </c>
      <c r="S1054" s="80">
        <v>19</v>
      </c>
      <c r="T1054" s="80">
        <v>24</v>
      </c>
      <c r="U1054" s="80" t="s">
        <v>125</v>
      </c>
      <c r="V1054" s="80" t="s">
        <v>126</v>
      </c>
      <c r="W1054" s="80" t="s">
        <v>127</v>
      </c>
      <c r="X1054" s="80"/>
      <c r="Y1054" s="80"/>
    </row>
    <row r="1055" spans="1:25">
      <c r="A1055" s="80">
        <f t="shared" si="18"/>
        <v>1054</v>
      </c>
      <c r="B1055" s="10">
        <v>45980.471030092594</v>
      </c>
      <c r="C1055" s="13" t="s">
        <v>3665</v>
      </c>
      <c r="D1055" s="80" t="s">
        <v>5169</v>
      </c>
      <c r="E1055" s="80" t="s">
        <v>1722</v>
      </c>
      <c r="F1055" s="80" t="s">
        <v>1723</v>
      </c>
      <c r="G1055" s="80" t="s">
        <v>1724</v>
      </c>
      <c r="H1055" s="80" t="s">
        <v>174</v>
      </c>
      <c r="I1055" s="80" t="s">
        <v>173</v>
      </c>
      <c r="J1055" s="80" t="s">
        <v>9</v>
      </c>
      <c r="K1055" s="80">
        <v>1</v>
      </c>
      <c r="L1055" s="80" t="s">
        <v>1725</v>
      </c>
      <c r="M1055" s="80" t="s">
        <v>1726</v>
      </c>
      <c r="N1055" s="80" t="s">
        <v>120</v>
      </c>
      <c r="O1055" s="80" t="s">
        <v>213</v>
      </c>
      <c r="P1055" s="80" t="s">
        <v>135</v>
      </c>
      <c r="Q1055" s="80" t="s">
        <v>123</v>
      </c>
      <c r="R1055" s="80" t="s">
        <v>174</v>
      </c>
      <c r="S1055" s="80">
        <v>7</v>
      </c>
      <c r="T1055" s="80">
        <v>18</v>
      </c>
      <c r="U1055" s="80" t="s">
        <v>3667</v>
      </c>
      <c r="V1055" s="80" t="s">
        <v>126</v>
      </c>
      <c r="W1055" s="80" t="s">
        <v>127</v>
      </c>
      <c r="X1055" s="80"/>
      <c r="Y1055" s="80"/>
    </row>
    <row r="1056" spans="1:25">
      <c r="A1056" s="80">
        <f t="shared" si="18"/>
        <v>1055</v>
      </c>
      <c r="B1056" s="10">
        <v>45980.474745370368</v>
      </c>
      <c r="C1056" s="13" t="s">
        <v>456</v>
      </c>
      <c r="D1056" s="80" t="s">
        <v>5170</v>
      </c>
      <c r="E1056" s="80" t="s">
        <v>1722</v>
      </c>
      <c r="F1056" s="80" t="s">
        <v>1723</v>
      </c>
      <c r="G1056" s="80" t="s">
        <v>1724</v>
      </c>
      <c r="H1056" s="80" t="s">
        <v>174</v>
      </c>
      <c r="I1056" s="80" t="s">
        <v>173</v>
      </c>
      <c r="J1056" s="80" t="s">
        <v>9</v>
      </c>
      <c r="K1056" s="80">
        <v>1</v>
      </c>
      <c r="L1056" s="80" t="s">
        <v>1725</v>
      </c>
      <c r="M1056" s="80" t="s">
        <v>1726</v>
      </c>
      <c r="N1056" s="80" t="s">
        <v>120</v>
      </c>
      <c r="O1056" s="80" t="s">
        <v>213</v>
      </c>
      <c r="P1056" s="80" t="s">
        <v>135</v>
      </c>
      <c r="Q1056" s="80" t="s">
        <v>123</v>
      </c>
      <c r="R1056" s="80" t="s">
        <v>174</v>
      </c>
      <c r="S1056" s="80">
        <v>7</v>
      </c>
      <c r="T1056" s="80">
        <v>18</v>
      </c>
      <c r="U1056" s="80" t="s">
        <v>466</v>
      </c>
      <c r="V1056" s="80" t="s">
        <v>126</v>
      </c>
      <c r="W1056" s="80" t="s">
        <v>127</v>
      </c>
      <c r="X1056" s="80"/>
      <c r="Y1056" s="80"/>
    </row>
    <row r="1057" spans="1:25">
      <c r="A1057" s="80">
        <f t="shared" si="18"/>
        <v>1056</v>
      </c>
      <c r="B1057" s="10">
        <v>45980.475636574076</v>
      </c>
      <c r="C1057" s="13" t="s">
        <v>456</v>
      </c>
      <c r="D1057" s="80" t="s">
        <v>5171</v>
      </c>
      <c r="E1057" s="80" t="s">
        <v>2802</v>
      </c>
      <c r="F1057" s="80" t="s">
        <v>2803</v>
      </c>
      <c r="G1057" s="80" t="s">
        <v>2804</v>
      </c>
      <c r="H1057" s="80" t="s">
        <v>174</v>
      </c>
      <c r="I1057" s="80" t="s">
        <v>173</v>
      </c>
      <c r="J1057" s="80" t="s">
        <v>9</v>
      </c>
      <c r="K1057" s="80">
        <v>1</v>
      </c>
      <c r="L1057" s="80" t="s">
        <v>2805</v>
      </c>
      <c r="M1057" s="80" t="s">
        <v>2806</v>
      </c>
      <c r="N1057" s="80" t="s">
        <v>120</v>
      </c>
      <c r="O1057" s="80" t="s">
        <v>152</v>
      </c>
      <c r="P1057" s="80" t="s">
        <v>135</v>
      </c>
      <c r="Q1057" s="80" t="s">
        <v>123</v>
      </c>
      <c r="R1057" s="80" t="s">
        <v>174</v>
      </c>
      <c r="S1057" s="80">
        <v>1</v>
      </c>
      <c r="T1057" s="80">
        <v>18</v>
      </c>
      <c r="U1057" s="80" t="s">
        <v>466</v>
      </c>
      <c r="V1057" s="80" t="s">
        <v>126</v>
      </c>
      <c r="W1057" s="80" t="s">
        <v>127</v>
      </c>
      <c r="X1057" s="80"/>
      <c r="Y1057" s="80"/>
    </row>
    <row r="1058" spans="1:25">
      <c r="A1058" s="80">
        <f t="shared" si="18"/>
        <v>1057</v>
      </c>
      <c r="B1058" s="10">
        <v>45980.476354166669</v>
      </c>
      <c r="C1058" s="13" t="s">
        <v>456</v>
      </c>
      <c r="D1058" s="80" t="s">
        <v>5172</v>
      </c>
      <c r="E1058" s="80" t="s">
        <v>4767</v>
      </c>
      <c r="F1058" s="80" t="s">
        <v>4797</v>
      </c>
      <c r="G1058" s="80" t="s">
        <v>4798</v>
      </c>
      <c r="H1058" s="80" t="s">
        <v>477</v>
      </c>
      <c r="I1058" s="80" t="s">
        <v>1165</v>
      </c>
      <c r="J1058" s="80" t="s">
        <v>9</v>
      </c>
      <c r="K1058" s="80">
        <v>26</v>
      </c>
      <c r="L1058" s="80" t="s">
        <v>4799</v>
      </c>
      <c r="M1058" s="80" t="s">
        <v>4800</v>
      </c>
      <c r="N1058" s="80" t="s">
        <v>120</v>
      </c>
      <c r="O1058" s="80" t="s">
        <v>152</v>
      </c>
      <c r="P1058" s="80" t="s">
        <v>588</v>
      </c>
      <c r="Q1058" s="80" t="s">
        <v>123</v>
      </c>
      <c r="R1058" s="80" t="s">
        <v>136</v>
      </c>
      <c r="S1058" s="80">
        <v>12</v>
      </c>
      <c r="T1058" s="80">
        <v>18</v>
      </c>
      <c r="U1058" s="80" t="s">
        <v>466</v>
      </c>
      <c r="V1058" s="80" t="s">
        <v>126</v>
      </c>
      <c r="W1058" s="80" t="s">
        <v>1770</v>
      </c>
      <c r="X1058" s="80"/>
      <c r="Y1058" s="80"/>
    </row>
    <row r="1059" spans="1:25">
      <c r="A1059" s="80">
        <f t="shared" si="18"/>
        <v>1058</v>
      </c>
      <c r="B1059" s="10">
        <v>45980.479456018518</v>
      </c>
      <c r="C1059" s="13" t="s">
        <v>1588</v>
      </c>
      <c r="D1059" s="80" t="s">
        <v>5173</v>
      </c>
      <c r="E1059" s="80" t="s">
        <v>1722</v>
      </c>
      <c r="F1059" s="80" t="s">
        <v>1723</v>
      </c>
      <c r="G1059" s="80" t="s">
        <v>1724</v>
      </c>
      <c r="H1059" s="80" t="s">
        <v>174</v>
      </c>
      <c r="I1059" s="80" t="s">
        <v>173</v>
      </c>
      <c r="J1059" s="80" t="s">
        <v>9</v>
      </c>
      <c r="K1059" s="80">
        <v>1</v>
      </c>
      <c r="L1059" s="80" t="s">
        <v>1725</v>
      </c>
      <c r="M1059" s="80" t="s">
        <v>1726</v>
      </c>
      <c r="N1059" s="80" t="s">
        <v>120</v>
      </c>
      <c r="O1059" s="80" t="s">
        <v>213</v>
      </c>
      <c r="P1059" s="80" t="s">
        <v>135</v>
      </c>
      <c r="Q1059" s="80" t="s">
        <v>123</v>
      </c>
      <c r="R1059" s="80" t="s">
        <v>174</v>
      </c>
      <c r="S1059" s="80">
        <v>7</v>
      </c>
      <c r="T1059" s="80">
        <v>18</v>
      </c>
      <c r="U1059" s="80" t="s">
        <v>1590</v>
      </c>
      <c r="V1059" s="80" t="s">
        <v>126</v>
      </c>
      <c r="W1059" s="80" t="s">
        <v>127</v>
      </c>
      <c r="X1059" s="80"/>
      <c r="Y1059" s="80"/>
    </row>
    <row r="1060" spans="1:25">
      <c r="A1060" s="80">
        <f t="shared" si="18"/>
        <v>1059</v>
      </c>
      <c r="B1060" s="10">
        <v>45980.480231481481</v>
      </c>
      <c r="C1060" s="13" t="s">
        <v>297</v>
      </c>
      <c r="D1060" s="80" t="s">
        <v>5174</v>
      </c>
      <c r="E1060" s="80" t="s">
        <v>5212</v>
      </c>
      <c r="F1060" s="80" t="s">
        <v>5243</v>
      </c>
      <c r="G1060" s="80" t="s">
        <v>5244</v>
      </c>
      <c r="H1060" s="80" t="s">
        <v>3517</v>
      </c>
      <c r="I1060" s="80" t="s">
        <v>46</v>
      </c>
      <c r="J1060" s="80" t="s">
        <v>9</v>
      </c>
      <c r="K1060" s="80">
        <v>2</v>
      </c>
      <c r="L1060" s="80" t="s">
        <v>5245</v>
      </c>
      <c r="M1060" s="80" t="s">
        <v>5246</v>
      </c>
      <c r="N1060" s="80" t="s">
        <v>164</v>
      </c>
      <c r="O1060" s="80" t="s">
        <v>202</v>
      </c>
      <c r="P1060" s="80" t="s">
        <v>135</v>
      </c>
      <c r="Q1060" s="80" t="s">
        <v>123</v>
      </c>
      <c r="R1060" s="80" t="s">
        <v>136</v>
      </c>
      <c r="S1060" s="80">
        <v>13</v>
      </c>
      <c r="T1060" s="80">
        <v>18</v>
      </c>
      <c r="U1060" s="80" t="s">
        <v>305</v>
      </c>
      <c r="V1060" s="80" t="s">
        <v>126</v>
      </c>
      <c r="W1060" s="80" t="s">
        <v>137</v>
      </c>
      <c r="X1060" s="80"/>
      <c r="Y1060" s="80"/>
    </row>
    <row r="1061" spans="1:25">
      <c r="A1061" s="80">
        <f t="shared" si="18"/>
        <v>1060</v>
      </c>
      <c r="B1061" s="10">
        <v>45980.484212962961</v>
      </c>
      <c r="C1061" s="13" t="s">
        <v>456</v>
      </c>
      <c r="D1061" s="80" t="s">
        <v>5175</v>
      </c>
      <c r="E1061" s="80" t="s">
        <v>4199</v>
      </c>
      <c r="F1061" s="80" t="s">
        <v>4200</v>
      </c>
      <c r="G1061" s="80" t="s">
        <v>4201</v>
      </c>
      <c r="H1061" s="80" t="s">
        <v>184</v>
      </c>
      <c r="I1061" s="80" t="s">
        <v>46</v>
      </c>
      <c r="J1061" s="80" t="s">
        <v>9</v>
      </c>
      <c r="K1061" s="80">
        <v>6</v>
      </c>
      <c r="L1061" s="80" t="s">
        <v>4202</v>
      </c>
      <c r="M1061" s="80" t="s">
        <v>4203</v>
      </c>
      <c r="N1061" s="80" t="s">
        <v>120</v>
      </c>
      <c r="O1061" s="80" t="s">
        <v>152</v>
      </c>
      <c r="P1061" s="80" t="s">
        <v>304</v>
      </c>
      <c r="Q1061" s="80" t="s">
        <v>123</v>
      </c>
      <c r="R1061" s="80" t="s">
        <v>136</v>
      </c>
      <c r="S1061" s="80">
        <v>9</v>
      </c>
      <c r="T1061" s="80">
        <v>18</v>
      </c>
      <c r="U1061" s="80" t="s">
        <v>466</v>
      </c>
      <c r="V1061" s="80" t="s">
        <v>126</v>
      </c>
      <c r="W1061" s="80" t="s">
        <v>1770</v>
      </c>
      <c r="X1061" s="80"/>
      <c r="Y1061" s="80"/>
    </row>
    <row r="1062" spans="1:25">
      <c r="A1062" s="80">
        <f t="shared" si="18"/>
        <v>1061</v>
      </c>
      <c r="B1062" s="10">
        <v>45980.503958333335</v>
      </c>
      <c r="C1062" s="13" t="s">
        <v>563</v>
      </c>
      <c r="D1062" s="80" t="s">
        <v>5176</v>
      </c>
      <c r="E1062" s="80" t="s">
        <v>5213</v>
      </c>
      <c r="F1062" s="80" t="s">
        <v>5247</v>
      </c>
      <c r="G1062" s="80" t="s">
        <v>5248</v>
      </c>
      <c r="H1062" s="80" t="s">
        <v>115</v>
      </c>
      <c r="I1062" s="80" t="s">
        <v>275</v>
      </c>
      <c r="J1062" s="80" t="s">
        <v>117</v>
      </c>
      <c r="K1062" s="80">
        <v>4</v>
      </c>
      <c r="L1062" s="80" t="s">
        <v>5249</v>
      </c>
      <c r="M1062" s="80" t="s">
        <v>5250</v>
      </c>
      <c r="N1062" s="80" t="s">
        <v>120</v>
      </c>
      <c r="O1062" s="80" t="s">
        <v>652</v>
      </c>
      <c r="P1062" s="80" t="s">
        <v>546</v>
      </c>
      <c r="Q1062" s="80" t="s">
        <v>123</v>
      </c>
      <c r="R1062" s="80" t="s">
        <v>124</v>
      </c>
      <c r="S1062" s="80">
        <v>18</v>
      </c>
      <c r="T1062" s="80">
        <v>24</v>
      </c>
      <c r="U1062" s="80" t="s">
        <v>565</v>
      </c>
      <c r="V1062" s="80" t="s">
        <v>126</v>
      </c>
      <c r="W1062" s="80" t="s">
        <v>127</v>
      </c>
      <c r="X1062" s="80"/>
      <c r="Y1062" s="80"/>
    </row>
    <row r="1063" spans="1:25">
      <c r="A1063" s="80">
        <f t="shared" si="18"/>
        <v>1062</v>
      </c>
      <c r="B1063" s="10">
        <v>45980.506979166668</v>
      </c>
      <c r="C1063" s="13" t="s">
        <v>362</v>
      </c>
      <c r="D1063" s="80" t="s">
        <v>5177</v>
      </c>
      <c r="E1063" s="80" t="s">
        <v>5214</v>
      </c>
      <c r="F1063" s="80" t="s">
        <v>5251</v>
      </c>
      <c r="G1063" s="80" t="s">
        <v>5252</v>
      </c>
      <c r="H1063" s="80" t="s">
        <v>115</v>
      </c>
      <c r="I1063" s="80" t="s">
        <v>275</v>
      </c>
      <c r="J1063" s="80" t="s">
        <v>117</v>
      </c>
      <c r="K1063" s="80">
        <v>20</v>
      </c>
      <c r="L1063" s="80" t="s">
        <v>5253</v>
      </c>
      <c r="M1063" s="80" t="s">
        <v>5254</v>
      </c>
      <c r="N1063" s="80" t="s">
        <v>120</v>
      </c>
      <c r="O1063" s="80" t="s">
        <v>121</v>
      </c>
      <c r="P1063" s="80" t="s">
        <v>178</v>
      </c>
      <c r="Q1063" s="80" t="s">
        <v>123</v>
      </c>
      <c r="R1063" s="80" t="s">
        <v>174</v>
      </c>
      <c r="S1063" s="80">
        <v>10</v>
      </c>
      <c r="T1063" s="80">
        <v>18</v>
      </c>
      <c r="U1063" s="80" t="s">
        <v>364</v>
      </c>
      <c r="V1063" s="80" t="s">
        <v>126</v>
      </c>
      <c r="W1063" s="80" t="s">
        <v>127</v>
      </c>
      <c r="X1063" s="80"/>
      <c r="Y1063" s="80"/>
    </row>
    <row r="1064" spans="1:25">
      <c r="A1064" s="80">
        <f t="shared" si="18"/>
        <v>1063</v>
      </c>
      <c r="B1064" s="10">
        <v>45980.553124999999</v>
      </c>
      <c r="C1064" s="13" t="s">
        <v>320</v>
      </c>
      <c r="D1064" s="80" t="s">
        <v>5178</v>
      </c>
      <c r="E1064" s="80" t="s">
        <v>5215</v>
      </c>
      <c r="F1064" s="80" t="s">
        <v>5255</v>
      </c>
      <c r="G1064" s="80" t="s">
        <v>5256</v>
      </c>
      <c r="H1064" s="80" t="s">
        <v>115</v>
      </c>
      <c r="I1064" s="80" t="s">
        <v>4472</v>
      </c>
      <c r="J1064" s="80" t="s">
        <v>117</v>
      </c>
      <c r="K1064" s="80">
        <v>1</v>
      </c>
      <c r="L1064" s="80" t="s">
        <v>5257</v>
      </c>
      <c r="M1064" s="80" t="s">
        <v>5258</v>
      </c>
      <c r="N1064" s="80" t="s">
        <v>120</v>
      </c>
      <c r="O1064" s="80" t="s">
        <v>611</v>
      </c>
      <c r="P1064" s="80" t="s">
        <v>135</v>
      </c>
      <c r="Q1064" s="80" t="s">
        <v>123</v>
      </c>
      <c r="R1064" s="80" t="s">
        <v>136</v>
      </c>
      <c r="S1064" s="80">
        <v>9</v>
      </c>
      <c r="T1064" s="80">
        <v>24</v>
      </c>
      <c r="U1064" s="80" t="s">
        <v>328</v>
      </c>
      <c r="V1064" s="80" t="s">
        <v>126</v>
      </c>
      <c r="W1064" s="80" t="s">
        <v>127</v>
      </c>
      <c r="X1064" s="80"/>
      <c r="Y1064" s="80"/>
    </row>
    <row r="1065" spans="1:25">
      <c r="A1065" s="80">
        <f t="shared" si="18"/>
        <v>1064</v>
      </c>
      <c r="B1065" s="10">
        <v>45980.558738425927</v>
      </c>
      <c r="C1065" s="13" t="s">
        <v>280</v>
      </c>
      <c r="D1065" s="80" t="s">
        <v>5179</v>
      </c>
      <c r="E1065" s="80" t="s">
        <v>5216</v>
      </c>
      <c r="F1065" s="80" t="s">
        <v>5259</v>
      </c>
      <c r="G1065" s="80" t="s">
        <v>5260</v>
      </c>
      <c r="H1065" s="80" t="s">
        <v>115</v>
      </c>
      <c r="I1065" s="80" t="s">
        <v>252</v>
      </c>
      <c r="J1065" s="80" t="s">
        <v>117</v>
      </c>
      <c r="K1065" s="80">
        <v>1</v>
      </c>
      <c r="L1065" s="80" t="s">
        <v>5261</v>
      </c>
      <c r="M1065" s="80" t="s">
        <v>5262</v>
      </c>
      <c r="N1065" s="80" t="s">
        <v>120</v>
      </c>
      <c r="O1065" s="80" t="s">
        <v>230</v>
      </c>
      <c r="P1065" s="80" t="s">
        <v>269</v>
      </c>
      <c r="Q1065" s="80" t="s">
        <v>123</v>
      </c>
      <c r="R1065" s="80" t="s">
        <v>124</v>
      </c>
      <c r="S1065" s="80">
        <v>3</v>
      </c>
      <c r="T1065" s="80">
        <v>18</v>
      </c>
      <c r="U1065" s="80" t="s">
        <v>288</v>
      </c>
      <c r="V1065" s="80" t="s">
        <v>126</v>
      </c>
      <c r="W1065" s="80" t="s">
        <v>127</v>
      </c>
      <c r="X1065" s="80"/>
      <c r="Y1065" s="80"/>
    </row>
    <row r="1066" spans="1:25">
      <c r="A1066" s="80">
        <f t="shared" si="18"/>
        <v>1065</v>
      </c>
      <c r="B1066" s="10">
        <v>45980.559039351851</v>
      </c>
      <c r="C1066" s="13" t="s">
        <v>589</v>
      </c>
      <c r="D1066" s="80" t="s">
        <v>5180</v>
      </c>
      <c r="E1066" s="80" t="s">
        <v>5216</v>
      </c>
      <c r="F1066" s="80" t="s">
        <v>5259</v>
      </c>
      <c r="G1066" s="80" t="s">
        <v>5260</v>
      </c>
      <c r="H1066" s="80" t="s">
        <v>115</v>
      </c>
      <c r="I1066" s="80" t="s">
        <v>252</v>
      </c>
      <c r="J1066" s="80" t="s">
        <v>117</v>
      </c>
      <c r="K1066" s="80">
        <v>1</v>
      </c>
      <c r="L1066" s="80" t="s">
        <v>5261</v>
      </c>
      <c r="M1066" s="80" t="s">
        <v>5262</v>
      </c>
      <c r="N1066" s="80" t="s">
        <v>120</v>
      </c>
      <c r="O1066" s="80" t="s">
        <v>230</v>
      </c>
      <c r="P1066" s="80" t="s">
        <v>269</v>
      </c>
      <c r="Q1066" s="80" t="s">
        <v>123</v>
      </c>
      <c r="R1066" s="80" t="s">
        <v>124</v>
      </c>
      <c r="S1066" s="80">
        <v>3</v>
      </c>
      <c r="T1066" s="80">
        <v>18</v>
      </c>
      <c r="U1066" s="80" t="s">
        <v>596</v>
      </c>
      <c r="V1066" s="80" t="s">
        <v>126</v>
      </c>
      <c r="W1066" s="80" t="s">
        <v>127</v>
      </c>
      <c r="X1066" s="80"/>
      <c r="Y1066" s="80"/>
    </row>
    <row r="1067" spans="1:25">
      <c r="A1067" s="80">
        <f t="shared" si="18"/>
        <v>1066</v>
      </c>
      <c r="B1067" s="10">
        <v>45980.560833333337</v>
      </c>
      <c r="C1067" s="13" t="s">
        <v>320</v>
      </c>
      <c r="D1067" s="80" t="s">
        <v>5181</v>
      </c>
      <c r="E1067" s="80" t="s">
        <v>5217</v>
      </c>
      <c r="F1067" s="80" t="s">
        <v>5263</v>
      </c>
      <c r="G1067" s="80" t="s">
        <v>5264</v>
      </c>
      <c r="H1067" s="80" t="s">
        <v>174</v>
      </c>
      <c r="I1067" s="80" t="s">
        <v>173</v>
      </c>
      <c r="J1067" s="80" t="s">
        <v>9</v>
      </c>
      <c r="K1067" s="80">
        <v>11</v>
      </c>
      <c r="L1067" s="80" t="s">
        <v>5265</v>
      </c>
      <c r="M1067" s="80" t="s">
        <v>5266</v>
      </c>
      <c r="N1067" s="80" t="s">
        <v>120</v>
      </c>
      <c r="O1067" s="80" t="s">
        <v>510</v>
      </c>
      <c r="P1067" s="80" t="s">
        <v>832</v>
      </c>
      <c r="Q1067" s="80" t="s">
        <v>123</v>
      </c>
      <c r="R1067" s="80" t="s">
        <v>174</v>
      </c>
      <c r="S1067" s="80">
        <v>3</v>
      </c>
      <c r="T1067" s="80">
        <v>12</v>
      </c>
      <c r="U1067" s="80" t="s">
        <v>328</v>
      </c>
      <c r="V1067" s="80" t="s">
        <v>126</v>
      </c>
      <c r="W1067" s="80" t="s">
        <v>127</v>
      </c>
      <c r="X1067" s="80"/>
      <c r="Y1067" s="80"/>
    </row>
    <row r="1068" spans="1:25">
      <c r="A1068" s="80">
        <f t="shared" si="18"/>
        <v>1067</v>
      </c>
      <c r="B1068" s="10">
        <v>45980.561168981483</v>
      </c>
      <c r="C1068" s="13" t="s">
        <v>329</v>
      </c>
      <c r="D1068" s="80" t="s">
        <v>5182</v>
      </c>
      <c r="E1068" s="80" t="s">
        <v>2027</v>
      </c>
      <c r="F1068" s="80" t="s">
        <v>2028</v>
      </c>
      <c r="G1068" s="80" t="s">
        <v>2029</v>
      </c>
      <c r="H1068" s="80" t="s">
        <v>115</v>
      </c>
      <c r="I1068" s="80" t="s">
        <v>244</v>
      </c>
      <c r="J1068" s="80" t="s">
        <v>117</v>
      </c>
      <c r="K1068" s="80">
        <v>22</v>
      </c>
      <c r="L1068" s="80" t="s">
        <v>2030</v>
      </c>
      <c r="M1068" s="80" t="s">
        <v>2031</v>
      </c>
      <c r="N1068" s="80" t="s">
        <v>120</v>
      </c>
      <c r="O1068" s="80" t="s">
        <v>152</v>
      </c>
      <c r="P1068" s="80" t="s">
        <v>581</v>
      </c>
      <c r="Q1068" s="80" t="s">
        <v>123</v>
      </c>
      <c r="R1068" s="80" t="s">
        <v>174</v>
      </c>
      <c r="S1068" s="80">
        <v>9</v>
      </c>
      <c r="T1068" s="80">
        <v>12</v>
      </c>
      <c r="U1068" s="80" t="s">
        <v>336</v>
      </c>
      <c r="V1068" s="80" t="s">
        <v>126</v>
      </c>
      <c r="W1068" s="80" t="s">
        <v>127</v>
      </c>
      <c r="X1068" s="80"/>
      <c r="Y1068" s="80"/>
    </row>
    <row r="1069" spans="1:25">
      <c r="A1069" s="80">
        <f t="shared" si="18"/>
        <v>1068</v>
      </c>
      <c r="B1069" s="10">
        <v>45980.561793981484</v>
      </c>
      <c r="C1069" s="13" t="s">
        <v>320</v>
      </c>
      <c r="D1069" s="80" t="s">
        <v>5183</v>
      </c>
      <c r="E1069" s="80" t="s">
        <v>5218</v>
      </c>
      <c r="F1069" s="80" t="s">
        <v>5267</v>
      </c>
      <c r="G1069" s="80" t="s">
        <v>5268</v>
      </c>
      <c r="H1069" s="80" t="s">
        <v>115</v>
      </c>
      <c r="I1069" s="80" t="s">
        <v>1383</v>
      </c>
      <c r="J1069" s="80" t="s">
        <v>461</v>
      </c>
      <c r="K1069" s="80">
        <v>3</v>
      </c>
      <c r="L1069" s="80" t="s">
        <v>5269</v>
      </c>
      <c r="M1069" s="80" t="s">
        <v>5270</v>
      </c>
      <c r="N1069" s="80" t="s">
        <v>120</v>
      </c>
      <c r="O1069" s="80" t="s">
        <v>121</v>
      </c>
      <c r="P1069" s="80" t="s">
        <v>178</v>
      </c>
      <c r="Q1069" s="80" t="s">
        <v>123</v>
      </c>
      <c r="R1069" s="80" t="s">
        <v>136</v>
      </c>
      <c r="S1069" s="80">
        <v>21</v>
      </c>
      <c r="T1069" s="80">
        <v>24</v>
      </c>
      <c r="U1069" s="80" t="s">
        <v>328</v>
      </c>
      <c r="V1069" s="80" t="s">
        <v>126</v>
      </c>
      <c r="W1069" s="80" t="s">
        <v>127</v>
      </c>
      <c r="X1069" s="80"/>
      <c r="Y1069" s="80"/>
    </row>
    <row r="1070" spans="1:25">
      <c r="A1070" s="80">
        <f t="shared" si="18"/>
        <v>1069</v>
      </c>
      <c r="B1070" s="10">
        <v>45980.563784722224</v>
      </c>
      <c r="C1070" s="13" t="s">
        <v>2004</v>
      </c>
      <c r="D1070" s="80" t="s">
        <v>5184</v>
      </c>
      <c r="E1070" s="80" t="s">
        <v>5219</v>
      </c>
      <c r="F1070" s="80" t="s">
        <v>5271</v>
      </c>
      <c r="G1070" s="80" t="s">
        <v>5272</v>
      </c>
      <c r="H1070" s="80" t="s">
        <v>115</v>
      </c>
      <c r="I1070" s="80" t="s">
        <v>1410</v>
      </c>
      <c r="J1070" s="80" t="s">
        <v>117</v>
      </c>
      <c r="K1070" s="80">
        <v>2</v>
      </c>
      <c r="L1070" s="80" t="s">
        <v>5273</v>
      </c>
      <c r="M1070" s="80" t="s">
        <v>5274</v>
      </c>
      <c r="N1070" s="80" t="s">
        <v>120</v>
      </c>
      <c r="O1070" s="80" t="s">
        <v>5275</v>
      </c>
      <c r="P1070" s="80" t="s">
        <v>135</v>
      </c>
      <c r="Q1070" s="80" t="s">
        <v>123</v>
      </c>
      <c r="R1070" s="80" t="s">
        <v>136</v>
      </c>
      <c r="S1070" s="80">
        <v>6</v>
      </c>
      <c r="T1070" s="80">
        <v>18</v>
      </c>
      <c r="U1070" s="80" t="s">
        <v>2011</v>
      </c>
      <c r="V1070" s="80" t="s">
        <v>126</v>
      </c>
      <c r="W1070" s="80" t="s">
        <v>127</v>
      </c>
      <c r="X1070" s="80"/>
      <c r="Y1070" s="80"/>
    </row>
    <row r="1071" spans="1:25">
      <c r="A1071" s="80">
        <f t="shared" si="18"/>
        <v>1070</v>
      </c>
      <c r="B1071" s="10">
        <v>45980.56585648148</v>
      </c>
      <c r="C1071" s="13" t="s">
        <v>320</v>
      </c>
      <c r="D1071" s="80" t="s">
        <v>5185</v>
      </c>
      <c r="E1071" s="80" t="s">
        <v>1162</v>
      </c>
      <c r="F1071" s="80" t="s">
        <v>1163</v>
      </c>
      <c r="G1071" s="80" t="s">
        <v>1164</v>
      </c>
      <c r="H1071" s="80" t="s">
        <v>477</v>
      </c>
      <c r="I1071" s="80" t="s">
        <v>1165</v>
      </c>
      <c r="J1071" s="80" t="s">
        <v>9</v>
      </c>
      <c r="K1071" s="80">
        <v>21</v>
      </c>
      <c r="L1071" s="80" t="s">
        <v>1166</v>
      </c>
      <c r="M1071" s="80" t="s">
        <v>1167</v>
      </c>
      <c r="N1071" s="80" t="s">
        <v>120</v>
      </c>
      <c r="O1071" s="80" t="s">
        <v>240</v>
      </c>
      <c r="P1071" s="80" t="s">
        <v>135</v>
      </c>
      <c r="Q1071" s="80" t="s">
        <v>123</v>
      </c>
      <c r="R1071" s="80" t="s">
        <v>136</v>
      </c>
      <c r="S1071" s="80">
        <v>2</v>
      </c>
      <c r="T1071" s="80">
        <v>18</v>
      </c>
      <c r="U1071" s="80" t="s">
        <v>328</v>
      </c>
      <c r="V1071" s="80" t="s">
        <v>126</v>
      </c>
      <c r="W1071" s="80" t="s">
        <v>5334</v>
      </c>
      <c r="X1071" s="80"/>
      <c r="Y1071" s="80"/>
    </row>
    <row r="1072" spans="1:25">
      <c r="A1072" s="80">
        <f t="shared" si="18"/>
        <v>1071</v>
      </c>
      <c r="B1072" s="10">
        <v>45980.567037037035</v>
      </c>
      <c r="C1072" s="13" t="s">
        <v>359</v>
      </c>
      <c r="D1072" s="80" t="s">
        <v>5186</v>
      </c>
      <c r="E1072" s="80" t="s">
        <v>5220</v>
      </c>
      <c r="F1072" s="80" t="s">
        <v>5276</v>
      </c>
      <c r="G1072" s="80" t="s">
        <v>5277</v>
      </c>
      <c r="H1072" s="80" t="s">
        <v>115</v>
      </c>
      <c r="I1072" s="80" t="s">
        <v>4472</v>
      </c>
      <c r="J1072" s="80" t="s">
        <v>117</v>
      </c>
      <c r="K1072" s="80">
        <v>25</v>
      </c>
      <c r="L1072" s="80" t="s">
        <v>5278</v>
      </c>
      <c r="M1072" s="80" t="s">
        <v>5279</v>
      </c>
      <c r="N1072" s="80" t="s">
        <v>120</v>
      </c>
      <c r="O1072" s="80" t="s">
        <v>398</v>
      </c>
      <c r="P1072" s="80" t="s">
        <v>269</v>
      </c>
      <c r="Q1072" s="80" t="s">
        <v>123</v>
      </c>
      <c r="R1072" s="80" t="s">
        <v>174</v>
      </c>
      <c r="S1072" s="80">
        <v>4</v>
      </c>
      <c r="T1072" s="80">
        <v>12</v>
      </c>
      <c r="U1072" s="80" t="s">
        <v>361</v>
      </c>
      <c r="V1072" s="80" t="s">
        <v>126</v>
      </c>
      <c r="W1072" s="80" t="s">
        <v>127</v>
      </c>
      <c r="X1072" s="80"/>
      <c r="Y1072" s="80"/>
    </row>
    <row r="1073" spans="1:25">
      <c r="A1073" s="80">
        <f t="shared" si="18"/>
        <v>1072</v>
      </c>
      <c r="B1073" s="10">
        <v>45980.567083333335</v>
      </c>
      <c r="C1073" s="13" t="s">
        <v>222</v>
      </c>
      <c r="D1073" s="80" t="s">
        <v>5187</v>
      </c>
      <c r="E1073" s="80" t="s">
        <v>2828</v>
      </c>
      <c r="F1073" s="80" t="s">
        <v>2829</v>
      </c>
      <c r="G1073" s="80" t="s">
        <v>2830</v>
      </c>
      <c r="H1073" s="80" t="s">
        <v>115</v>
      </c>
      <c r="I1073" s="80" t="s">
        <v>865</v>
      </c>
      <c r="J1073" s="80" t="s">
        <v>117</v>
      </c>
      <c r="K1073" s="80">
        <v>18</v>
      </c>
      <c r="L1073" s="80" t="s">
        <v>2831</v>
      </c>
      <c r="M1073" s="80" t="s">
        <v>2832</v>
      </c>
      <c r="N1073" s="80" t="s">
        <v>120</v>
      </c>
      <c r="O1073" s="80" t="s">
        <v>611</v>
      </c>
      <c r="P1073" s="80" t="s">
        <v>135</v>
      </c>
      <c r="Q1073" s="80" t="s">
        <v>123</v>
      </c>
      <c r="R1073" s="80" t="s">
        <v>174</v>
      </c>
      <c r="S1073" s="80">
        <v>9</v>
      </c>
      <c r="T1073" s="80">
        <v>24</v>
      </c>
      <c r="U1073" s="80" t="s">
        <v>232</v>
      </c>
      <c r="V1073" s="80" t="s">
        <v>126</v>
      </c>
      <c r="W1073" s="80" t="s">
        <v>127</v>
      </c>
      <c r="X1073" s="80"/>
      <c r="Y1073" s="80"/>
    </row>
    <row r="1074" spans="1:25">
      <c r="A1074" s="80">
        <f t="shared" si="18"/>
        <v>1073</v>
      </c>
      <c r="B1074" s="10">
        <v>45980.568101851852</v>
      </c>
      <c r="C1074" s="13" t="s">
        <v>320</v>
      </c>
      <c r="D1074" s="80" t="s">
        <v>5188</v>
      </c>
      <c r="E1074" s="80" t="s">
        <v>5221</v>
      </c>
      <c r="F1074" s="80" t="s">
        <v>5280</v>
      </c>
      <c r="G1074" s="80" t="s">
        <v>5281</v>
      </c>
      <c r="H1074" s="80" t="s">
        <v>115</v>
      </c>
      <c r="I1074" s="80" t="s">
        <v>227</v>
      </c>
      <c r="J1074" s="80" t="s">
        <v>117</v>
      </c>
      <c r="K1074" s="80">
        <v>1</v>
      </c>
      <c r="L1074" s="80" t="s">
        <v>5282</v>
      </c>
      <c r="M1074" s="80" t="s">
        <v>5283</v>
      </c>
      <c r="N1074" s="80" t="s">
        <v>120</v>
      </c>
      <c r="O1074" s="80" t="s">
        <v>572</v>
      </c>
      <c r="P1074" s="80" t="s">
        <v>135</v>
      </c>
      <c r="Q1074" s="80" t="s">
        <v>123</v>
      </c>
      <c r="R1074" s="80" t="s">
        <v>136</v>
      </c>
      <c r="S1074" s="80">
        <v>10</v>
      </c>
      <c r="T1074" s="80">
        <v>24</v>
      </c>
      <c r="U1074" s="80" t="s">
        <v>328</v>
      </c>
      <c r="V1074" s="80" t="s">
        <v>126</v>
      </c>
      <c r="W1074" s="80" t="s">
        <v>127</v>
      </c>
      <c r="X1074" s="80"/>
      <c r="Y1074" s="80"/>
    </row>
    <row r="1075" spans="1:25">
      <c r="A1075" s="80">
        <f t="shared" si="18"/>
        <v>1074</v>
      </c>
      <c r="B1075" s="10">
        <v>45980.573703703703</v>
      </c>
      <c r="C1075" s="13" t="s">
        <v>280</v>
      </c>
      <c r="D1075" s="80" t="s">
        <v>5189</v>
      </c>
      <c r="E1075" s="80" t="s">
        <v>5222</v>
      </c>
      <c r="F1075" s="80" t="s">
        <v>5284</v>
      </c>
      <c r="G1075" s="80" t="s">
        <v>5285</v>
      </c>
      <c r="H1075" s="80" t="s">
        <v>115</v>
      </c>
      <c r="I1075" s="80" t="s">
        <v>1410</v>
      </c>
      <c r="J1075" s="80" t="s">
        <v>117</v>
      </c>
      <c r="K1075" s="80">
        <v>16</v>
      </c>
      <c r="L1075" s="80" t="s">
        <v>5286</v>
      </c>
      <c r="M1075" s="80" t="s">
        <v>5287</v>
      </c>
      <c r="N1075" s="80" t="s">
        <v>120</v>
      </c>
      <c r="O1075" s="80" t="s">
        <v>187</v>
      </c>
      <c r="P1075" s="80" t="s">
        <v>279</v>
      </c>
      <c r="Q1075" s="80" t="s">
        <v>123</v>
      </c>
      <c r="R1075" s="80" t="s">
        <v>174</v>
      </c>
      <c r="S1075" s="80">
        <v>10</v>
      </c>
      <c r="T1075" s="80">
        <v>18</v>
      </c>
      <c r="U1075" s="80" t="s">
        <v>288</v>
      </c>
      <c r="V1075" s="80" t="s">
        <v>126</v>
      </c>
      <c r="W1075" s="80" t="s">
        <v>127</v>
      </c>
      <c r="X1075" s="80"/>
      <c r="Y1075" s="80"/>
    </row>
    <row r="1076" spans="1:25">
      <c r="A1076" s="80">
        <f t="shared" si="18"/>
        <v>1075</v>
      </c>
      <c r="B1076" s="10">
        <v>45980.574548611112</v>
      </c>
      <c r="C1076" s="13" t="s">
        <v>320</v>
      </c>
      <c r="D1076" s="80" t="s">
        <v>5190</v>
      </c>
      <c r="E1076" s="80" t="s">
        <v>5223</v>
      </c>
      <c r="F1076" s="80" t="s">
        <v>5288</v>
      </c>
      <c r="G1076" s="80" t="s">
        <v>5289</v>
      </c>
      <c r="H1076" s="80" t="s">
        <v>115</v>
      </c>
      <c r="I1076" s="80" t="s">
        <v>227</v>
      </c>
      <c r="J1076" s="80" t="s">
        <v>117</v>
      </c>
      <c r="K1076" s="80">
        <v>1</v>
      </c>
      <c r="L1076" s="80" t="s">
        <v>5290</v>
      </c>
      <c r="M1076" s="80" t="s">
        <v>5291</v>
      </c>
      <c r="N1076" s="80" t="s">
        <v>164</v>
      </c>
      <c r="O1076" s="80" t="s">
        <v>464</v>
      </c>
      <c r="P1076" s="80" t="s">
        <v>135</v>
      </c>
      <c r="Q1076" s="80" t="s">
        <v>123</v>
      </c>
      <c r="R1076" s="80" t="s">
        <v>136</v>
      </c>
      <c r="S1076" s="80">
        <v>6</v>
      </c>
      <c r="T1076" s="80">
        <v>18</v>
      </c>
      <c r="U1076" s="80" t="s">
        <v>328</v>
      </c>
      <c r="V1076" s="80" t="s">
        <v>126</v>
      </c>
      <c r="W1076" s="80" t="s">
        <v>127</v>
      </c>
      <c r="X1076" s="80"/>
      <c r="Y1076" s="80"/>
    </row>
    <row r="1077" spans="1:25">
      <c r="A1077" s="80">
        <f t="shared" si="18"/>
        <v>1076</v>
      </c>
      <c r="B1077" s="10">
        <v>45980.579189814816</v>
      </c>
      <c r="C1077" s="13" t="s">
        <v>320</v>
      </c>
      <c r="D1077" s="80" t="s">
        <v>5191</v>
      </c>
      <c r="E1077" s="80" t="s">
        <v>734</v>
      </c>
      <c r="F1077" s="80" t="s">
        <v>735</v>
      </c>
      <c r="G1077" s="80" t="s">
        <v>736</v>
      </c>
      <c r="H1077" s="80" t="s">
        <v>115</v>
      </c>
      <c r="I1077" s="80" t="s">
        <v>865</v>
      </c>
      <c r="J1077" s="80" t="s">
        <v>9</v>
      </c>
      <c r="K1077" s="80">
        <v>22</v>
      </c>
      <c r="L1077" s="80" t="s">
        <v>737</v>
      </c>
      <c r="M1077" s="80" t="s">
        <v>738</v>
      </c>
      <c r="N1077" s="80" t="s">
        <v>120</v>
      </c>
      <c r="O1077" s="80" t="s">
        <v>152</v>
      </c>
      <c r="P1077" s="80" t="s">
        <v>135</v>
      </c>
      <c r="Q1077" s="80" t="s">
        <v>123</v>
      </c>
      <c r="R1077" s="80" t="s">
        <v>174</v>
      </c>
      <c r="S1077" s="80">
        <v>1</v>
      </c>
      <c r="T1077" s="80">
        <v>18</v>
      </c>
      <c r="U1077" s="80" t="s">
        <v>328</v>
      </c>
      <c r="V1077" s="80" t="s">
        <v>126</v>
      </c>
      <c r="W1077" s="80" t="s">
        <v>127</v>
      </c>
      <c r="X1077" s="80"/>
      <c r="Y1077" s="80"/>
    </row>
    <row r="1078" spans="1:25">
      <c r="A1078" s="80">
        <f t="shared" si="18"/>
        <v>1077</v>
      </c>
      <c r="B1078" s="10">
        <v>45980.579444444447</v>
      </c>
      <c r="C1078" s="13" t="s">
        <v>222</v>
      </c>
      <c r="D1078" s="80" t="s">
        <v>5192</v>
      </c>
      <c r="E1078" s="80" t="s">
        <v>734</v>
      </c>
      <c r="F1078" s="80" t="s">
        <v>735</v>
      </c>
      <c r="G1078" s="80" t="s">
        <v>736</v>
      </c>
      <c r="H1078" s="80" t="s">
        <v>115</v>
      </c>
      <c r="I1078" s="80" t="s">
        <v>865</v>
      </c>
      <c r="J1078" s="80" t="s">
        <v>9</v>
      </c>
      <c r="K1078" s="80">
        <v>22</v>
      </c>
      <c r="L1078" s="80" t="s">
        <v>737</v>
      </c>
      <c r="M1078" s="80" t="s">
        <v>738</v>
      </c>
      <c r="N1078" s="80" t="s">
        <v>120</v>
      </c>
      <c r="O1078" s="80" t="s">
        <v>152</v>
      </c>
      <c r="P1078" s="80" t="s">
        <v>135</v>
      </c>
      <c r="Q1078" s="80" t="s">
        <v>123</v>
      </c>
      <c r="R1078" s="80" t="s">
        <v>174</v>
      </c>
      <c r="S1078" s="80">
        <v>1</v>
      </c>
      <c r="T1078" s="80">
        <v>18</v>
      </c>
      <c r="U1078" s="80" t="s">
        <v>232</v>
      </c>
      <c r="V1078" s="80" t="s">
        <v>126</v>
      </c>
      <c r="W1078" s="80" t="s">
        <v>127</v>
      </c>
      <c r="X1078" s="80"/>
      <c r="Y1078" s="80"/>
    </row>
    <row r="1079" spans="1:25">
      <c r="A1079" s="80">
        <f t="shared" si="18"/>
        <v>1078</v>
      </c>
      <c r="B1079" s="10">
        <v>45980.582129629627</v>
      </c>
      <c r="C1079" s="13" t="s">
        <v>359</v>
      </c>
      <c r="D1079" s="80" t="s">
        <v>5193</v>
      </c>
      <c r="E1079" s="80" t="s">
        <v>2212</v>
      </c>
      <c r="F1079" s="80" t="s">
        <v>2213</v>
      </c>
      <c r="G1079" s="80" t="s">
        <v>2214</v>
      </c>
      <c r="H1079" s="80" t="s">
        <v>115</v>
      </c>
      <c r="I1079" s="80" t="s">
        <v>865</v>
      </c>
      <c r="J1079" s="80" t="s">
        <v>117</v>
      </c>
      <c r="K1079" s="80">
        <v>6</v>
      </c>
      <c r="L1079" s="80" t="s">
        <v>2215</v>
      </c>
      <c r="M1079" s="80" t="s">
        <v>2216</v>
      </c>
      <c r="N1079" s="80" t="s">
        <v>120</v>
      </c>
      <c r="O1079" s="80" t="s">
        <v>2217</v>
      </c>
      <c r="P1079" s="80" t="s">
        <v>135</v>
      </c>
      <c r="Q1079" s="80" t="s">
        <v>123</v>
      </c>
      <c r="R1079" s="80" t="s">
        <v>124</v>
      </c>
      <c r="S1079" s="80">
        <v>3</v>
      </c>
      <c r="T1079" s="80">
        <v>18</v>
      </c>
      <c r="U1079" s="80" t="s">
        <v>361</v>
      </c>
      <c r="V1079" s="80" t="s">
        <v>126</v>
      </c>
      <c r="W1079" s="80" t="s">
        <v>127</v>
      </c>
      <c r="X1079" s="80"/>
      <c r="Y1079" s="80"/>
    </row>
    <row r="1080" spans="1:25">
      <c r="A1080" s="80">
        <f t="shared" si="18"/>
        <v>1079</v>
      </c>
      <c r="B1080" s="10">
        <v>45980.583773148152</v>
      </c>
      <c r="C1080" s="13" t="s">
        <v>329</v>
      </c>
      <c r="D1080" s="80" t="s">
        <v>5194</v>
      </c>
      <c r="E1080" s="80" t="s">
        <v>778</v>
      </c>
      <c r="F1080" s="80" t="s">
        <v>779</v>
      </c>
      <c r="G1080" s="80" t="s">
        <v>780</v>
      </c>
      <c r="H1080" s="80" t="s">
        <v>115</v>
      </c>
      <c r="I1080" s="80" t="s">
        <v>227</v>
      </c>
      <c r="J1080" s="80" t="s">
        <v>117</v>
      </c>
      <c r="K1080" s="80">
        <v>16</v>
      </c>
      <c r="L1080" s="80" t="s">
        <v>781</v>
      </c>
      <c r="M1080" s="80" t="s">
        <v>782</v>
      </c>
      <c r="N1080" s="80" t="s">
        <v>120</v>
      </c>
      <c r="O1080" s="80" t="s">
        <v>152</v>
      </c>
      <c r="P1080" s="80" t="s">
        <v>135</v>
      </c>
      <c r="Q1080" s="80" t="s">
        <v>123</v>
      </c>
      <c r="R1080" s="80" t="s">
        <v>174</v>
      </c>
      <c r="S1080" s="80">
        <v>18</v>
      </c>
      <c r="T1080" s="80">
        <v>36</v>
      </c>
      <c r="U1080" s="80" t="s">
        <v>336</v>
      </c>
      <c r="V1080" s="80" t="s">
        <v>126</v>
      </c>
      <c r="W1080" s="80" t="s">
        <v>127</v>
      </c>
      <c r="X1080" s="80"/>
      <c r="Y1080" s="80"/>
    </row>
    <row r="1081" spans="1:25">
      <c r="A1081" s="80">
        <f t="shared" si="18"/>
        <v>1080</v>
      </c>
      <c r="B1081" s="10">
        <v>45980.584861111114</v>
      </c>
      <c r="C1081" s="13" t="s">
        <v>329</v>
      </c>
      <c r="D1081" s="80" t="s">
        <v>5195</v>
      </c>
      <c r="E1081" s="80" t="s">
        <v>5224</v>
      </c>
      <c r="F1081" s="80" t="s">
        <v>5292</v>
      </c>
      <c r="G1081" s="80" t="s">
        <v>5293</v>
      </c>
      <c r="H1081" s="80" t="s">
        <v>115</v>
      </c>
      <c r="I1081" s="80" t="s">
        <v>1410</v>
      </c>
      <c r="J1081" s="80" t="s">
        <v>117</v>
      </c>
      <c r="K1081" s="80">
        <v>20</v>
      </c>
      <c r="L1081" s="80" t="s">
        <v>5294</v>
      </c>
      <c r="M1081" s="80" t="s">
        <v>5295</v>
      </c>
      <c r="N1081" s="80" t="s">
        <v>164</v>
      </c>
      <c r="O1081" s="80" t="s">
        <v>538</v>
      </c>
      <c r="P1081" s="80" t="s">
        <v>178</v>
      </c>
      <c r="Q1081" s="80" t="s">
        <v>123</v>
      </c>
      <c r="R1081" s="80" t="s">
        <v>174</v>
      </c>
      <c r="S1081" s="80">
        <v>10</v>
      </c>
      <c r="T1081" s="80">
        <v>24</v>
      </c>
      <c r="U1081" s="80" t="s">
        <v>336</v>
      </c>
      <c r="V1081" s="80" t="s">
        <v>126</v>
      </c>
      <c r="W1081" s="80" t="s">
        <v>127</v>
      </c>
      <c r="X1081" s="80"/>
      <c r="Y1081" s="80"/>
    </row>
    <row r="1082" spans="1:25">
      <c r="A1082" s="80">
        <f t="shared" si="18"/>
        <v>1081</v>
      </c>
      <c r="B1082" s="10">
        <v>45980.587233796294</v>
      </c>
      <c r="C1082" s="13" t="s">
        <v>359</v>
      </c>
      <c r="D1082" s="80" t="s">
        <v>5196</v>
      </c>
      <c r="E1082" s="80" t="s">
        <v>5225</v>
      </c>
      <c r="F1082" s="80" t="s">
        <v>5296</v>
      </c>
      <c r="G1082" s="80" t="s">
        <v>5297</v>
      </c>
      <c r="H1082" s="80" t="s">
        <v>174</v>
      </c>
      <c r="I1082" s="80" t="s">
        <v>173</v>
      </c>
      <c r="J1082" s="80" t="s">
        <v>9</v>
      </c>
      <c r="K1082" s="80">
        <v>1</v>
      </c>
      <c r="L1082" s="80" t="s">
        <v>5298</v>
      </c>
      <c r="M1082" s="80" t="s">
        <v>5299</v>
      </c>
      <c r="N1082" s="80" t="s">
        <v>120</v>
      </c>
      <c r="O1082" s="80" t="s">
        <v>152</v>
      </c>
      <c r="P1082" s="80" t="s">
        <v>287</v>
      </c>
      <c r="Q1082" s="80" t="s">
        <v>123</v>
      </c>
      <c r="R1082" s="80" t="s">
        <v>174</v>
      </c>
      <c r="S1082" s="80">
        <v>4</v>
      </c>
      <c r="T1082" s="80">
        <v>12</v>
      </c>
      <c r="U1082" s="80" t="s">
        <v>361</v>
      </c>
      <c r="V1082" s="80" t="s">
        <v>126</v>
      </c>
      <c r="W1082" s="80" t="s">
        <v>127</v>
      </c>
      <c r="X1082" s="80"/>
      <c r="Y1082" s="80"/>
    </row>
    <row r="1083" spans="1:25">
      <c r="A1083" s="80">
        <f t="shared" si="18"/>
        <v>1082</v>
      </c>
      <c r="B1083" s="10">
        <v>45980.589942129627</v>
      </c>
      <c r="C1083" s="13" t="s">
        <v>320</v>
      </c>
      <c r="D1083" s="80" t="s">
        <v>5197</v>
      </c>
      <c r="E1083" s="80" t="s">
        <v>5226</v>
      </c>
      <c r="F1083" s="80" t="s">
        <v>5300</v>
      </c>
      <c r="G1083" s="80" t="s">
        <v>5301</v>
      </c>
      <c r="H1083" s="80" t="s">
        <v>115</v>
      </c>
      <c r="I1083" s="80" t="s">
        <v>865</v>
      </c>
      <c r="J1083" s="80" t="s">
        <v>117</v>
      </c>
      <c r="K1083" s="80">
        <v>20</v>
      </c>
      <c r="L1083" s="80" t="s">
        <v>5302</v>
      </c>
      <c r="M1083" s="80" t="s">
        <v>5303</v>
      </c>
      <c r="N1083" s="80" t="s">
        <v>164</v>
      </c>
      <c r="O1083" s="80" t="s">
        <v>720</v>
      </c>
      <c r="P1083" s="80" t="s">
        <v>1522</v>
      </c>
      <c r="Q1083" s="80" t="s">
        <v>123</v>
      </c>
      <c r="R1083" s="80" t="s">
        <v>124</v>
      </c>
      <c r="S1083" s="80">
        <v>17</v>
      </c>
      <c r="T1083" s="80">
        <v>18</v>
      </c>
      <c r="U1083" s="80" t="s">
        <v>328</v>
      </c>
      <c r="V1083" s="80" t="s">
        <v>126</v>
      </c>
      <c r="W1083" s="80" t="s">
        <v>127</v>
      </c>
      <c r="X1083" s="80"/>
      <c r="Y1083" s="80"/>
    </row>
    <row r="1084" spans="1:25">
      <c r="A1084" s="80">
        <f t="shared" si="18"/>
        <v>1083</v>
      </c>
      <c r="B1084" s="10">
        <v>45980.591666666667</v>
      </c>
      <c r="C1084" s="13" t="s">
        <v>222</v>
      </c>
      <c r="D1084" s="80" t="s">
        <v>5198</v>
      </c>
      <c r="E1084" s="80" t="s">
        <v>5227</v>
      </c>
      <c r="F1084" s="80" t="s">
        <v>5304</v>
      </c>
      <c r="G1084" s="80" t="s">
        <v>5305</v>
      </c>
      <c r="H1084" s="80" t="s">
        <v>115</v>
      </c>
      <c r="I1084" s="80" t="s">
        <v>865</v>
      </c>
      <c r="J1084" s="80" t="s">
        <v>117</v>
      </c>
      <c r="K1084" s="80">
        <v>16</v>
      </c>
      <c r="L1084" s="80" t="s">
        <v>5306</v>
      </c>
      <c r="M1084" s="80" t="s">
        <v>5307</v>
      </c>
      <c r="N1084" s="80" t="s">
        <v>164</v>
      </c>
      <c r="O1084" s="80" t="s">
        <v>202</v>
      </c>
      <c r="P1084" s="80" t="s">
        <v>269</v>
      </c>
      <c r="Q1084" s="80" t="s">
        <v>123</v>
      </c>
      <c r="R1084" s="80" t="s">
        <v>174</v>
      </c>
      <c r="S1084" s="80">
        <v>10</v>
      </c>
      <c r="T1084" s="80">
        <v>18</v>
      </c>
      <c r="U1084" s="80" t="s">
        <v>232</v>
      </c>
      <c r="V1084" s="80" t="s">
        <v>126</v>
      </c>
      <c r="W1084" s="80" t="s">
        <v>127</v>
      </c>
      <c r="X1084" s="80"/>
      <c r="Y1084" s="80"/>
    </row>
    <row r="1085" spans="1:25">
      <c r="A1085" s="80">
        <f t="shared" si="18"/>
        <v>1084</v>
      </c>
      <c r="B1085" s="10">
        <v>45980.593692129631</v>
      </c>
      <c r="C1085" s="13" t="s">
        <v>589</v>
      </c>
      <c r="D1085" s="80" t="s">
        <v>5199</v>
      </c>
      <c r="E1085" s="80" t="s">
        <v>5228</v>
      </c>
      <c r="F1085" s="80" t="s">
        <v>5308</v>
      </c>
      <c r="G1085" s="80" t="s">
        <v>5309</v>
      </c>
      <c r="H1085" s="80" t="s">
        <v>115</v>
      </c>
      <c r="I1085" s="80" t="s">
        <v>865</v>
      </c>
      <c r="J1085" s="80" t="s">
        <v>117</v>
      </c>
      <c r="K1085" s="80">
        <v>9</v>
      </c>
      <c r="L1085" s="80" t="s">
        <v>5310</v>
      </c>
      <c r="M1085" s="80" t="s">
        <v>5311</v>
      </c>
      <c r="N1085" s="80" t="s">
        <v>120</v>
      </c>
      <c r="O1085" s="80" t="s">
        <v>240</v>
      </c>
      <c r="P1085" s="80" t="s">
        <v>612</v>
      </c>
      <c r="Q1085" s="80" t="s">
        <v>123</v>
      </c>
      <c r="R1085" s="80" t="s">
        <v>174</v>
      </c>
      <c r="S1085" s="80">
        <v>4</v>
      </c>
      <c r="T1085" s="80">
        <v>24</v>
      </c>
      <c r="U1085" s="80" t="s">
        <v>596</v>
      </c>
      <c r="V1085" s="80" t="s">
        <v>126</v>
      </c>
      <c r="W1085" s="80" t="s">
        <v>127</v>
      </c>
      <c r="X1085" s="80"/>
      <c r="Y1085" s="80"/>
    </row>
    <row r="1086" spans="1:25">
      <c r="A1086" s="80">
        <f t="shared" si="18"/>
        <v>1085</v>
      </c>
      <c r="B1086" s="10">
        <v>45980.594930555555</v>
      </c>
      <c r="C1086" s="13" t="s">
        <v>329</v>
      </c>
      <c r="D1086" s="80" t="s">
        <v>5200</v>
      </c>
      <c r="E1086" s="80" t="s">
        <v>5229</v>
      </c>
      <c r="F1086" s="80" t="s">
        <v>5312</v>
      </c>
      <c r="G1086" s="80" t="s">
        <v>5313</v>
      </c>
      <c r="H1086" s="80" t="s">
        <v>115</v>
      </c>
      <c r="I1086" s="80" t="s">
        <v>955</v>
      </c>
      <c r="J1086" s="80" t="s">
        <v>117</v>
      </c>
      <c r="K1086" s="80">
        <v>20</v>
      </c>
      <c r="L1086" s="80" t="s">
        <v>5314</v>
      </c>
      <c r="M1086" s="80" t="s">
        <v>5315</v>
      </c>
      <c r="N1086" s="80" t="s">
        <v>120</v>
      </c>
      <c r="O1086" s="80" t="s">
        <v>152</v>
      </c>
      <c r="P1086" s="80" t="s">
        <v>135</v>
      </c>
      <c r="Q1086" s="80" t="s">
        <v>123</v>
      </c>
      <c r="R1086" s="80" t="s">
        <v>174</v>
      </c>
      <c r="S1086" s="80">
        <v>5</v>
      </c>
      <c r="T1086" s="80">
        <v>12</v>
      </c>
      <c r="U1086" s="80" t="s">
        <v>336</v>
      </c>
      <c r="V1086" s="80" t="s">
        <v>126</v>
      </c>
      <c r="W1086" s="80" t="s">
        <v>127</v>
      </c>
      <c r="X1086" s="80"/>
      <c r="Y1086" s="80"/>
    </row>
    <row r="1087" spans="1:25">
      <c r="A1087" s="80">
        <f t="shared" si="18"/>
        <v>1086</v>
      </c>
      <c r="B1087" s="10">
        <v>45980.603761574072</v>
      </c>
      <c r="C1087" s="13" t="s">
        <v>1305</v>
      </c>
      <c r="D1087" s="80" t="s">
        <v>5201</v>
      </c>
      <c r="E1087" s="80" t="s">
        <v>2828</v>
      </c>
      <c r="F1087" s="80" t="s">
        <v>2829</v>
      </c>
      <c r="G1087" s="80" t="s">
        <v>2830</v>
      </c>
      <c r="H1087" s="80" t="s">
        <v>115</v>
      </c>
      <c r="I1087" s="80" t="s">
        <v>865</v>
      </c>
      <c r="J1087" s="80" t="s">
        <v>117</v>
      </c>
      <c r="K1087" s="80">
        <v>18</v>
      </c>
      <c r="L1087" s="80" t="s">
        <v>2831</v>
      </c>
      <c r="M1087" s="80" t="s">
        <v>2832</v>
      </c>
      <c r="N1087" s="80" t="s">
        <v>120</v>
      </c>
      <c r="O1087" s="80" t="s">
        <v>611</v>
      </c>
      <c r="P1087" s="80" t="s">
        <v>135</v>
      </c>
      <c r="Q1087" s="80" t="s">
        <v>123</v>
      </c>
      <c r="R1087" s="80" t="s">
        <v>174</v>
      </c>
      <c r="S1087" s="80">
        <v>9</v>
      </c>
      <c r="T1087" s="80">
        <v>24</v>
      </c>
      <c r="U1087" s="80" t="s">
        <v>1312</v>
      </c>
      <c r="V1087" s="80" t="s">
        <v>126</v>
      </c>
      <c r="W1087" s="80" t="s">
        <v>127</v>
      </c>
      <c r="X1087" s="80"/>
      <c r="Y1087" s="80"/>
    </row>
    <row r="1088" spans="1:25">
      <c r="A1088" s="80">
        <f t="shared" si="18"/>
        <v>1087</v>
      </c>
      <c r="B1088" s="10">
        <v>45980.608472222222</v>
      </c>
      <c r="C1088" s="13" t="s">
        <v>329</v>
      </c>
      <c r="D1088" s="80" t="s">
        <v>5202</v>
      </c>
      <c r="E1088" s="80" t="s">
        <v>2137</v>
      </c>
      <c r="F1088" s="80" t="s">
        <v>2138</v>
      </c>
      <c r="G1088" s="80" t="s">
        <v>2139</v>
      </c>
      <c r="H1088" s="80" t="s">
        <v>115</v>
      </c>
      <c r="I1088" s="80" t="s">
        <v>244</v>
      </c>
      <c r="J1088" s="80" t="s">
        <v>117</v>
      </c>
      <c r="K1088" s="80">
        <v>12</v>
      </c>
      <c r="L1088" s="80" t="s">
        <v>2140</v>
      </c>
      <c r="M1088" s="80" t="s">
        <v>2141</v>
      </c>
      <c r="N1088" s="80" t="s">
        <v>120</v>
      </c>
      <c r="O1088" s="80" t="s">
        <v>2142</v>
      </c>
      <c r="P1088" s="80" t="s">
        <v>269</v>
      </c>
      <c r="Q1088" s="80" t="s">
        <v>123</v>
      </c>
      <c r="R1088" s="80" t="s">
        <v>174</v>
      </c>
      <c r="S1088" s="80">
        <v>5</v>
      </c>
      <c r="T1088" s="80">
        <v>6</v>
      </c>
      <c r="U1088" s="80" t="s">
        <v>336</v>
      </c>
      <c r="V1088" s="80" t="s">
        <v>126</v>
      </c>
      <c r="W1088" s="80" t="s">
        <v>127</v>
      </c>
      <c r="X1088" s="80"/>
      <c r="Y1088" s="80"/>
    </row>
    <row r="1089" spans="1:25">
      <c r="A1089" s="80">
        <f t="shared" si="18"/>
        <v>1088</v>
      </c>
      <c r="B1089" s="10">
        <v>45980.656030092592</v>
      </c>
      <c r="C1089" s="13" t="s">
        <v>604</v>
      </c>
      <c r="D1089" s="80" t="s">
        <v>5203</v>
      </c>
      <c r="E1089" s="80" t="s">
        <v>5230</v>
      </c>
      <c r="F1089" s="80" t="s">
        <v>5316</v>
      </c>
      <c r="G1089" s="80" t="s">
        <v>5317</v>
      </c>
      <c r="H1089" s="80" t="s">
        <v>115</v>
      </c>
      <c r="I1089" s="80" t="s">
        <v>842</v>
      </c>
      <c r="J1089" s="80" t="s">
        <v>117</v>
      </c>
      <c r="K1089" s="80">
        <v>1</v>
      </c>
      <c r="L1089" s="80" t="s">
        <v>5318</v>
      </c>
      <c r="M1089" s="80" t="s">
        <v>5319</v>
      </c>
      <c r="N1089" s="80" t="s">
        <v>120</v>
      </c>
      <c r="O1089" s="80" t="s">
        <v>152</v>
      </c>
      <c r="P1089" s="80" t="s">
        <v>178</v>
      </c>
      <c r="Q1089" s="80" t="s">
        <v>123</v>
      </c>
      <c r="R1089" s="80" t="s">
        <v>136</v>
      </c>
      <c r="S1089" s="80">
        <v>2</v>
      </c>
      <c r="T1089" s="80">
        <v>12</v>
      </c>
      <c r="U1089" s="80" t="s">
        <v>613</v>
      </c>
      <c r="V1089" s="80" t="s">
        <v>126</v>
      </c>
      <c r="W1089" s="80" t="s">
        <v>127</v>
      </c>
      <c r="X1089" s="80"/>
      <c r="Y1089" s="80"/>
    </row>
    <row r="1090" spans="1:25">
      <c r="A1090" s="80">
        <f t="shared" si="18"/>
        <v>1089</v>
      </c>
      <c r="B1090" s="10">
        <v>45980.662557870368</v>
      </c>
      <c r="C1090" s="13" t="s">
        <v>110</v>
      </c>
      <c r="D1090" s="80" t="s">
        <v>5204</v>
      </c>
      <c r="E1090" s="80" t="s">
        <v>5231</v>
      </c>
      <c r="F1090" s="80" t="s">
        <v>5320</v>
      </c>
      <c r="G1090" s="80" t="s">
        <v>5321</v>
      </c>
      <c r="H1090" s="80" t="s">
        <v>115</v>
      </c>
      <c r="I1090" s="80" t="s">
        <v>849</v>
      </c>
      <c r="J1090" s="80" t="s">
        <v>117</v>
      </c>
      <c r="K1090" s="80">
        <v>7</v>
      </c>
      <c r="L1090" s="80" t="s">
        <v>5322</v>
      </c>
      <c r="M1090" s="80" t="s">
        <v>5323</v>
      </c>
      <c r="N1090" s="80" t="s">
        <v>164</v>
      </c>
      <c r="O1090" s="80" t="s">
        <v>202</v>
      </c>
      <c r="P1090" s="80" t="s">
        <v>178</v>
      </c>
      <c r="Q1090" s="80" t="s">
        <v>123</v>
      </c>
      <c r="R1090" s="80" t="s">
        <v>174</v>
      </c>
      <c r="S1090" s="80">
        <v>9</v>
      </c>
      <c r="T1090" s="80">
        <v>36</v>
      </c>
      <c r="U1090" s="80" t="s">
        <v>125</v>
      </c>
      <c r="V1090" s="80" t="s">
        <v>126</v>
      </c>
      <c r="W1090" s="80" t="s">
        <v>127</v>
      </c>
      <c r="X1090" s="80"/>
      <c r="Y1090" s="80"/>
    </row>
    <row r="1091" spans="1:25">
      <c r="A1091" s="80">
        <f t="shared" si="18"/>
        <v>1090</v>
      </c>
      <c r="B1091" s="10">
        <v>45980.665416666663</v>
      </c>
      <c r="C1091" s="13" t="s">
        <v>329</v>
      </c>
      <c r="D1091" s="80" t="s">
        <v>5205</v>
      </c>
      <c r="E1091" s="80" t="s">
        <v>5232</v>
      </c>
      <c r="F1091" s="80" t="s">
        <v>5324</v>
      </c>
      <c r="G1091" s="80" t="s">
        <v>5325</v>
      </c>
      <c r="H1091" s="80" t="s">
        <v>115</v>
      </c>
      <c r="I1091" s="80" t="s">
        <v>842</v>
      </c>
      <c r="J1091" s="80" t="s">
        <v>117</v>
      </c>
      <c r="K1091" s="80">
        <v>17</v>
      </c>
      <c r="L1091" s="80" t="s">
        <v>5326</v>
      </c>
      <c r="M1091" s="80" t="s">
        <v>5327</v>
      </c>
      <c r="N1091" s="80" t="s">
        <v>120</v>
      </c>
      <c r="O1091" s="80" t="s">
        <v>3526</v>
      </c>
      <c r="P1091" s="80" t="s">
        <v>279</v>
      </c>
      <c r="Q1091" s="80" t="s">
        <v>123</v>
      </c>
      <c r="R1091" s="80" t="s">
        <v>174</v>
      </c>
      <c r="S1091" s="80">
        <v>19</v>
      </c>
      <c r="T1091" s="80">
        <v>24</v>
      </c>
      <c r="U1091" s="80" t="s">
        <v>336</v>
      </c>
      <c r="V1091" s="80" t="s">
        <v>126</v>
      </c>
      <c r="W1091" s="80" t="s">
        <v>127</v>
      </c>
      <c r="X1091" s="80"/>
      <c r="Y1091" s="80"/>
    </row>
    <row r="1092" spans="1:25">
      <c r="A1092" s="80">
        <f t="shared" si="18"/>
        <v>1091</v>
      </c>
      <c r="B1092" s="10">
        <v>45980.667407407411</v>
      </c>
      <c r="C1092" s="13" t="s">
        <v>5161</v>
      </c>
      <c r="D1092" s="80" t="s">
        <v>5206</v>
      </c>
      <c r="E1092" s="80" t="s">
        <v>5233</v>
      </c>
      <c r="F1092" s="80" t="e">
        <v>#N/A</v>
      </c>
      <c r="G1092" s="80" t="e">
        <v>#N/A</v>
      </c>
      <c r="H1092" s="80" t="e">
        <v>#N/A</v>
      </c>
      <c r="I1092" s="80" t="e">
        <v>#N/A</v>
      </c>
      <c r="J1092" s="80" t="e">
        <v>#N/A</v>
      </c>
      <c r="K1092" s="80" t="e">
        <v>#N/A</v>
      </c>
      <c r="L1092" s="80" t="e">
        <v>#N/A</v>
      </c>
      <c r="M1092" s="80" t="e">
        <v>#N/A</v>
      </c>
      <c r="N1092" s="80" t="e">
        <v>#N/A</v>
      </c>
      <c r="O1092" s="80" t="e">
        <v>#N/A</v>
      </c>
      <c r="P1092" s="80" t="e">
        <v>#N/A</v>
      </c>
      <c r="Q1092" s="80" t="e">
        <v>#N/A</v>
      </c>
      <c r="R1092" s="80" t="e">
        <v>#N/A</v>
      </c>
      <c r="S1092" s="80" t="e">
        <v>#N/A</v>
      </c>
      <c r="T1092" s="80" t="e">
        <v>#N/A</v>
      </c>
      <c r="U1092" s="80" t="s">
        <v>5328</v>
      </c>
      <c r="V1092" s="80" t="s">
        <v>126</v>
      </c>
      <c r="W1092" s="80" t="s">
        <v>127</v>
      </c>
      <c r="X1092" s="80"/>
      <c r="Y1092" s="80"/>
    </row>
    <row r="1093" spans="1:25">
      <c r="A1093" s="80">
        <f t="shared" si="18"/>
        <v>1092</v>
      </c>
      <c r="B1093" s="10">
        <v>45980.677743055552</v>
      </c>
      <c r="C1093" s="13" t="s">
        <v>110</v>
      </c>
      <c r="D1093" s="80" t="s">
        <v>5207</v>
      </c>
      <c r="E1093" s="137">
        <v>13003167</v>
      </c>
      <c r="F1093" s="80" t="e">
        <v>#N/A</v>
      </c>
      <c r="G1093" s="80" t="e">
        <v>#N/A</v>
      </c>
      <c r="H1093" s="80" t="e">
        <v>#N/A</v>
      </c>
      <c r="I1093" s="80" t="e">
        <v>#N/A</v>
      </c>
      <c r="J1093" s="80" t="e">
        <v>#N/A</v>
      </c>
      <c r="K1093" s="80" t="e">
        <v>#N/A</v>
      </c>
      <c r="L1093" s="80" t="e">
        <v>#N/A</v>
      </c>
      <c r="M1093" s="80" t="e">
        <v>#N/A</v>
      </c>
      <c r="N1093" s="80" t="e">
        <v>#N/A</v>
      </c>
      <c r="O1093" s="80" t="e">
        <v>#N/A</v>
      </c>
      <c r="P1093" s="80" t="e">
        <v>#N/A</v>
      </c>
      <c r="Q1093" s="80" t="e">
        <v>#N/A</v>
      </c>
      <c r="R1093" s="80" t="e">
        <v>#N/A</v>
      </c>
      <c r="S1093" s="80" t="e">
        <v>#N/A</v>
      </c>
      <c r="T1093" s="80" t="e">
        <v>#N/A</v>
      </c>
      <c r="U1093" s="80" t="s">
        <v>125</v>
      </c>
      <c r="V1093" s="80" t="s">
        <v>126</v>
      </c>
      <c r="W1093" s="80" t="s">
        <v>127</v>
      </c>
      <c r="X1093" s="80"/>
      <c r="Y1093" s="80"/>
    </row>
    <row r="1094" spans="1:25">
      <c r="A1094" s="80">
        <f t="shared" si="18"/>
        <v>1093</v>
      </c>
      <c r="B1094" s="10">
        <v>45980.687476851854</v>
      </c>
      <c r="C1094" s="13" t="s">
        <v>329</v>
      </c>
      <c r="D1094" s="80" t="s">
        <v>5208</v>
      </c>
      <c r="E1094" s="80" t="s">
        <v>437</v>
      </c>
      <c r="F1094" s="80" t="s">
        <v>438</v>
      </c>
      <c r="G1094" s="80" t="s">
        <v>439</v>
      </c>
      <c r="H1094" s="80" t="s">
        <v>115</v>
      </c>
      <c r="I1094" s="80" t="s">
        <v>865</v>
      </c>
      <c r="J1094" s="80" t="s">
        <v>117</v>
      </c>
      <c r="K1094" s="80">
        <v>6</v>
      </c>
      <c r="L1094" s="80" t="s">
        <v>440</v>
      </c>
      <c r="M1094" s="80" t="s">
        <v>441</v>
      </c>
      <c r="N1094" s="80" t="s">
        <v>120</v>
      </c>
      <c r="O1094" s="80" t="s">
        <v>213</v>
      </c>
      <c r="P1094" s="80" t="s">
        <v>135</v>
      </c>
      <c r="Q1094" s="80" t="s">
        <v>123</v>
      </c>
      <c r="R1094" s="80" t="s">
        <v>124</v>
      </c>
      <c r="S1094" s="80">
        <v>16</v>
      </c>
      <c r="T1094" s="80">
        <v>24</v>
      </c>
      <c r="U1094" s="80" t="s">
        <v>336</v>
      </c>
      <c r="V1094" s="80" t="s">
        <v>126</v>
      </c>
      <c r="W1094" s="80" t="s">
        <v>127</v>
      </c>
      <c r="X1094" s="80"/>
      <c r="Y1094" s="80"/>
    </row>
    <row r="1095" spans="1:25">
      <c r="A1095" s="80">
        <f t="shared" si="18"/>
        <v>1094</v>
      </c>
      <c r="B1095" s="10">
        <v>45980.689641203702</v>
      </c>
      <c r="C1095" s="13" t="s">
        <v>110</v>
      </c>
      <c r="D1095" s="80" t="s">
        <v>5209</v>
      </c>
      <c r="E1095" s="80" t="s">
        <v>5234</v>
      </c>
      <c r="F1095" s="80" t="s">
        <v>5329</v>
      </c>
      <c r="G1095" s="80" t="s">
        <v>5330</v>
      </c>
      <c r="H1095" s="80" t="s">
        <v>115</v>
      </c>
      <c r="I1095" s="80" t="s">
        <v>1207</v>
      </c>
      <c r="J1095" s="80" t="s">
        <v>117</v>
      </c>
      <c r="K1095" s="80">
        <v>15</v>
      </c>
      <c r="L1095" s="80" t="s">
        <v>5331</v>
      </c>
      <c r="M1095" s="80" t="s">
        <v>5332</v>
      </c>
      <c r="N1095" s="80" t="s">
        <v>120</v>
      </c>
      <c r="O1095" s="80" t="s">
        <v>121</v>
      </c>
      <c r="P1095" s="80" t="s">
        <v>135</v>
      </c>
      <c r="Q1095" s="80" t="s">
        <v>123</v>
      </c>
      <c r="R1095" s="80" t="s">
        <v>174</v>
      </c>
      <c r="S1095" s="80">
        <v>4</v>
      </c>
      <c r="T1095" s="80">
        <v>24</v>
      </c>
      <c r="U1095" s="80" t="s">
        <v>125</v>
      </c>
      <c r="V1095" s="80" t="s">
        <v>126</v>
      </c>
      <c r="W1095" s="80" t="s">
        <v>127</v>
      </c>
      <c r="X1095" s="80"/>
      <c r="Y1095" s="80"/>
    </row>
    <row r="1096" spans="1:25">
      <c r="C1096" s="14"/>
    </row>
    <row r="1097" spans="1:25">
      <c r="C1097" s="14"/>
    </row>
    <row r="1098" spans="1:25">
      <c r="C1098" s="14"/>
    </row>
    <row r="1099" spans="1:25">
      <c r="C1099" s="14"/>
    </row>
    <row r="1100" spans="1:25">
      <c r="C1100" s="14"/>
    </row>
    <row r="1101" spans="1:25">
      <c r="C1101" s="14"/>
    </row>
    <row r="1102" spans="1:25">
      <c r="C1102" s="14"/>
    </row>
    <row r="1103" spans="1:25">
      <c r="C1103" s="14"/>
    </row>
    <row r="1104" spans="1:25">
      <c r="C1104" s="14"/>
    </row>
    <row r="1105" spans="3:3">
      <c r="C1105" s="14"/>
    </row>
    <row r="1106" spans="3:3">
      <c r="C1106" s="14"/>
    </row>
    <row r="1107" spans="3:3">
      <c r="C1107" s="14"/>
    </row>
    <row r="1108" spans="3:3">
      <c r="C1108" s="14"/>
    </row>
    <row r="1109" spans="3:3">
      <c r="C1109" s="14"/>
    </row>
    <row r="1110" spans="3:3">
      <c r="C1110" s="14"/>
    </row>
    <row r="1111" spans="3:3">
      <c r="C1111" s="14"/>
    </row>
    <row r="1112" spans="3:3">
      <c r="C1112" s="14"/>
    </row>
    <row r="1113" spans="3:3">
      <c r="C1113" s="14"/>
    </row>
    <row r="1114" spans="3:3">
      <c r="C1114" s="14"/>
    </row>
    <row r="1115" spans="3:3">
      <c r="C1115" s="14"/>
    </row>
    <row r="1116" spans="3:3">
      <c r="C1116" s="14"/>
    </row>
    <row r="1117" spans="3:3">
      <c r="C1117" s="14"/>
    </row>
    <row r="1118" spans="3:3">
      <c r="C1118" s="14"/>
    </row>
    <row r="1119" spans="3:3">
      <c r="C1119" s="14"/>
    </row>
    <row r="1120" spans="3:3">
      <c r="C1120" s="14"/>
    </row>
    <row r="1121" spans="3:3">
      <c r="C1121" s="14"/>
    </row>
    <row r="1122" spans="3:3">
      <c r="C1122" s="14"/>
    </row>
    <row r="1123" spans="3:3">
      <c r="C1123" s="14"/>
    </row>
    <row r="1124" spans="3:3">
      <c r="C1124" s="14"/>
    </row>
    <row r="1125" spans="3:3">
      <c r="C1125" s="14"/>
    </row>
    <row r="1126" spans="3:3">
      <c r="C1126" s="14"/>
    </row>
    <row r="1127" spans="3:3">
      <c r="C1127" s="14"/>
    </row>
    <row r="1128" spans="3:3">
      <c r="C1128" s="14"/>
    </row>
    <row r="1129" spans="3:3">
      <c r="C1129" s="14"/>
    </row>
    <row r="1130" spans="3:3">
      <c r="C1130" s="14"/>
    </row>
    <row r="1131" spans="3:3">
      <c r="C1131" s="14"/>
    </row>
    <row r="1132" spans="3:3">
      <c r="C1132" s="14"/>
    </row>
    <row r="1133" spans="3:3">
      <c r="C1133" s="14"/>
    </row>
    <row r="1134" spans="3:3">
      <c r="C1134" s="14"/>
    </row>
    <row r="1135" spans="3:3">
      <c r="C1135" s="14"/>
    </row>
    <row r="1136" spans="3:3">
      <c r="C1136" s="14"/>
    </row>
    <row r="1137" spans="3:3">
      <c r="C1137" s="14"/>
    </row>
    <row r="1138" spans="3:3">
      <c r="C1138" s="14"/>
    </row>
    <row r="1139" spans="3:3">
      <c r="C1139" s="14"/>
    </row>
    <row r="1140" spans="3:3">
      <c r="C1140" s="14"/>
    </row>
    <row r="1141" spans="3:3">
      <c r="C1141" s="14"/>
    </row>
    <row r="1142" spans="3:3">
      <c r="C1142" s="14"/>
    </row>
    <row r="1143" spans="3:3">
      <c r="C1143" s="14"/>
    </row>
    <row r="1144" spans="3:3">
      <c r="C1144" s="14"/>
    </row>
    <row r="1145" spans="3:3">
      <c r="C1145" s="14"/>
    </row>
    <row r="1146" spans="3:3">
      <c r="C1146" s="14"/>
    </row>
    <row r="1147" spans="3:3">
      <c r="C1147" s="14"/>
    </row>
    <row r="1148" spans="3:3">
      <c r="C1148" s="14"/>
    </row>
    <row r="1149" spans="3:3">
      <c r="C1149" s="14"/>
    </row>
    <row r="1150" spans="3:3">
      <c r="C1150" s="14"/>
    </row>
    <row r="1151" spans="3:3">
      <c r="C1151" s="14"/>
    </row>
    <row r="1152" spans="3:3">
      <c r="C1152" s="14"/>
    </row>
    <row r="1153" spans="3:3">
      <c r="C1153" s="14"/>
    </row>
    <row r="1154" spans="3:3">
      <c r="C1154" s="14"/>
    </row>
    <row r="1155" spans="3:3">
      <c r="C1155" s="14"/>
    </row>
    <row r="1156" spans="3:3">
      <c r="C1156" s="14"/>
    </row>
    <row r="1157" spans="3:3">
      <c r="C1157" s="14"/>
    </row>
    <row r="1158" spans="3:3">
      <c r="C1158" s="14"/>
    </row>
    <row r="1159" spans="3:3">
      <c r="C1159" s="14"/>
    </row>
    <row r="1160" spans="3:3">
      <c r="C1160" s="14"/>
    </row>
    <row r="1161" spans="3:3">
      <c r="C1161" s="14"/>
    </row>
    <row r="1162" spans="3:3">
      <c r="C1162" s="14"/>
    </row>
    <row r="1163" spans="3:3">
      <c r="C1163" s="14"/>
    </row>
    <row r="1164" spans="3:3">
      <c r="C1164" s="14"/>
    </row>
    <row r="1165" spans="3:3">
      <c r="C1165" s="14"/>
    </row>
    <row r="1166" spans="3:3">
      <c r="C1166" s="14"/>
    </row>
    <row r="1167" spans="3:3">
      <c r="C1167" s="14"/>
    </row>
    <row r="1168" spans="3:3">
      <c r="C1168" s="14"/>
    </row>
    <row r="1169" spans="3:3">
      <c r="C1169" s="14"/>
    </row>
    <row r="1170" spans="3:3">
      <c r="C1170" s="14"/>
    </row>
    <row r="1171" spans="3:3">
      <c r="C1171" s="14"/>
    </row>
    <row r="1172" spans="3:3">
      <c r="C1172" s="14"/>
    </row>
    <row r="1173" spans="3:3">
      <c r="C1173" s="14"/>
    </row>
    <row r="1174" spans="3:3">
      <c r="C1174" s="14"/>
    </row>
    <row r="1175" spans="3:3">
      <c r="C1175" s="14"/>
    </row>
    <row r="1176" spans="3:3">
      <c r="C1176" s="14"/>
    </row>
    <row r="1177" spans="3:3">
      <c r="C1177" s="14"/>
    </row>
    <row r="1178" spans="3:3">
      <c r="C1178" s="14"/>
    </row>
    <row r="1179" spans="3:3">
      <c r="C1179" s="14"/>
    </row>
    <row r="1180" spans="3:3">
      <c r="C1180" s="14"/>
    </row>
    <row r="1181" spans="3:3">
      <c r="C1181" s="14"/>
    </row>
    <row r="1182" spans="3:3">
      <c r="C1182" s="14"/>
    </row>
    <row r="1183" spans="3:3">
      <c r="C1183" s="14"/>
    </row>
    <row r="1184" spans="3:3">
      <c r="C1184" s="14"/>
    </row>
    <row r="1185" spans="3:3">
      <c r="C1185" s="14"/>
    </row>
    <row r="1186" spans="3:3">
      <c r="C1186" s="14"/>
    </row>
    <row r="1187" spans="3:3">
      <c r="C1187" s="14"/>
    </row>
    <row r="1188" spans="3:3">
      <c r="C1188" s="14"/>
    </row>
    <row r="1189" spans="3:3">
      <c r="C1189" s="14"/>
    </row>
    <row r="1190" spans="3:3">
      <c r="C1190" s="14"/>
    </row>
    <row r="1191" spans="3:3">
      <c r="C1191" s="14"/>
    </row>
    <row r="1192" spans="3:3">
      <c r="C1192" s="14"/>
    </row>
    <row r="1193" spans="3:3">
      <c r="C1193" s="14"/>
    </row>
    <row r="1194" spans="3:3">
      <c r="C1194" s="14"/>
    </row>
    <row r="1195" spans="3:3">
      <c r="C1195" s="14"/>
    </row>
    <row r="1196" spans="3:3">
      <c r="C1196" s="14"/>
    </row>
    <row r="1197" spans="3:3">
      <c r="C1197" s="14"/>
    </row>
    <row r="1198" spans="3:3">
      <c r="C1198" s="14"/>
    </row>
    <row r="1199" spans="3:3">
      <c r="C1199" s="14"/>
    </row>
    <row r="1200" spans="3:3">
      <c r="C1200" s="14"/>
    </row>
    <row r="1201" spans="3:3">
      <c r="C1201" s="14"/>
    </row>
    <row r="1202" spans="3:3">
      <c r="C1202" s="14"/>
    </row>
    <row r="1203" spans="3:3">
      <c r="C1203" s="14"/>
    </row>
    <row r="1204" spans="3:3">
      <c r="C1204" s="14"/>
    </row>
    <row r="1205" spans="3:3">
      <c r="C1205" s="14"/>
    </row>
    <row r="1206" spans="3:3">
      <c r="C1206" s="14"/>
    </row>
    <row r="1207" spans="3:3">
      <c r="C1207" s="14"/>
    </row>
    <row r="1208" spans="3:3">
      <c r="C1208" s="14"/>
    </row>
    <row r="1209" spans="3:3">
      <c r="C1209" s="14"/>
    </row>
    <row r="1210" spans="3:3">
      <c r="C1210" s="14"/>
    </row>
    <row r="1211" spans="3:3">
      <c r="C1211" s="14"/>
    </row>
    <row r="1212" spans="3:3">
      <c r="C1212" s="14"/>
    </row>
    <row r="1213" spans="3:3">
      <c r="C1213" s="14"/>
    </row>
    <row r="1214" spans="3:3">
      <c r="C1214" s="14"/>
    </row>
    <row r="1215" spans="3:3">
      <c r="C1215" s="14"/>
    </row>
    <row r="1216" spans="3:3">
      <c r="C1216" s="14"/>
    </row>
    <row r="1217" spans="3:3">
      <c r="C1217" s="14"/>
    </row>
    <row r="1218" spans="3:3">
      <c r="C1218" s="14"/>
    </row>
    <row r="1219" spans="3:3">
      <c r="C1219" s="14"/>
    </row>
    <row r="1220" spans="3:3">
      <c r="C1220" s="14"/>
    </row>
    <row r="1221" spans="3:3">
      <c r="C1221" s="14"/>
    </row>
    <row r="1222" spans="3:3">
      <c r="C1222" s="14"/>
    </row>
    <row r="1223" spans="3:3">
      <c r="C1223" s="14"/>
    </row>
    <row r="1224" spans="3:3">
      <c r="C1224" s="14"/>
    </row>
    <row r="1225" spans="3:3">
      <c r="C1225" s="14"/>
    </row>
    <row r="1226" spans="3:3">
      <c r="C1226" s="14"/>
    </row>
    <row r="1227" spans="3:3">
      <c r="C1227" s="14"/>
    </row>
    <row r="1228" spans="3:3">
      <c r="C1228" s="14"/>
    </row>
    <row r="1229" spans="3:3">
      <c r="C1229" s="14"/>
    </row>
    <row r="1230" spans="3:3">
      <c r="C1230" s="14"/>
    </row>
    <row r="1231" spans="3:3">
      <c r="C1231" s="14"/>
    </row>
    <row r="1232" spans="3:3">
      <c r="C1232" s="14"/>
    </row>
    <row r="1233" spans="3:3">
      <c r="C1233" s="14"/>
    </row>
    <row r="1234" spans="3:3">
      <c r="C1234" s="14"/>
    </row>
    <row r="1235" spans="3:3">
      <c r="C1235" s="14"/>
    </row>
    <row r="1236" spans="3:3">
      <c r="C1236" s="14"/>
    </row>
    <row r="1237" spans="3:3">
      <c r="C1237" s="14"/>
    </row>
    <row r="1238" spans="3:3">
      <c r="C1238" s="14"/>
    </row>
    <row r="1239" spans="3:3">
      <c r="C1239" s="14"/>
    </row>
    <row r="1240" spans="3:3">
      <c r="C1240" s="14"/>
    </row>
    <row r="1241" spans="3:3">
      <c r="C1241" s="14"/>
    </row>
    <row r="1242" spans="3:3">
      <c r="C1242" s="14"/>
    </row>
    <row r="1243" spans="3:3">
      <c r="C1243" s="14"/>
    </row>
    <row r="1244" spans="3:3">
      <c r="C1244" s="14"/>
    </row>
    <row r="1245" spans="3:3">
      <c r="C1245" s="14"/>
    </row>
    <row r="1246" spans="3:3">
      <c r="C1246" s="14"/>
    </row>
    <row r="1247" spans="3:3">
      <c r="C1247" s="14"/>
    </row>
    <row r="1248" spans="3:3">
      <c r="C1248" s="14"/>
    </row>
    <row r="1249" spans="3:3">
      <c r="C1249" s="14"/>
    </row>
    <row r="1250" spans="3:3">
      <c r="C1250" s="14"/>
    </row>
    <row r="1251" spans="3:3">
      <c r="C1251" s="14"/>
    </row>
    <row r="1252" spans="3:3">
      <c r="C1252" s="14"/>
    </row>
    <row r="1253" spans="3:3">
      <c r="C1253" s="14"/>
    </row>
    <row r="1254" spans="3:3">
      <c r="C1254" s="14"/>
    </row>
    <row r="1255" spans="3:3">
      <c r="C1255" s="14"/>
    </row>
    <row r="1256" spans="3:3">
      <c r="C1256" s="14"/>
    </row>
    <row r="1257" spans="3:3">
      <c r="C1257" s="14"/>
    </row>
    <row r="1258" spans="3:3">
      <c r="C1258" s="14"/>
    </row>
    <row r="1259" spans="3:3">
      <c r="C1259" s="14"/>
    </row>
    <row r="1260" spans="3:3">
      <c r="C1260" s="14"/>
    </row>
    <row r="1261" spans="3:3">
      <c r="C1261" s="14"/>
    </row>
    <row r="1262" spans="3:3">
      <c r="C1262" s="14"/>
    </row>
    <row r="1263" spans="3:3">
      <c r="C1263" s="14"/>
    </row>
    <row r="1264" spans="3:3">
      <c r="C1264" s="14"/>
    </row>
    <row r="1265" spans="3:3">
      <c r="C1265" s="14"/>
    </row>
    <row r="1266" spans="3:3">
      <c r="C1266" s="14"/>
    </row>
    <row r="1267" spans="3:3">
      <c r="C1267" s="14"/>
    </row>
    <row r="1268" spans="3:3">
      <c r="C1268" s="14"/>
    </row>
    <row r="1269" spans="3:3">
      <c r="C1269" s="14"/>
    </row>
    <row r="1270" spans="3:3">
      <c r="C1270" s="14"/>
    </row>
    <row r="1271" spans="3:3">
      <c r="C1271" s="14"/>
    </row>
    <row r="1272" spans="3:3">
      <c r="C1272" s="14"/>
    </row>
    <row r="1273" spans="3:3">
      <c r="C1273" s="14"/>
    </row>
    <row r="1274" spans="3:3">
      <c r="C1274" s="14"/>
    </row>
    <row r="1275" spans="3:3">
      <c r="C1275" s="14"/>
    </row>
    <row r="1276" spans="3:3">
      <c r="C1276" s="14"/>
    </row>
    <row r="1277" spans="3:3">
      <c r="C1277" s="14"/>
    </row>
    <row r="1278" spans="3:3">
      <c r="C1278" s="14"/>
    </row>
    <row r="1279" spans="3:3">
      <c r="C1279" s="14"/>
    </row>
    <row r="1280" spans="3:3">
      <c r="C1280" s="14"/>
    </row>
    <row r="1281" spans="3:3">
      <c r="C1281" s="14"/>
    </row>
    <row r="1282" spans="3:3">
      <c r="C1282" s="14"/>
    </row>
    <row r="1283" spans="3:3">
      <c r="C1283" s="14"/>
    </row>
    <row r="1284" spans="3:3">
      <c r="C1284" s="14"/>
    </row>
    <row r="1285" spans="3:3">
      <c r="C1285" s="14"/>
    </row>
    <row r="1286" spans="3:3">
      <c r="C1286" s="14"/>
    </row>
    <row r="1287" spans="3:3">
      <c r="C1287" s="14"/>
    </row>
    <row r="1288" spans="3:3">
      <c r="C1288" s="14"/>
    </row>
    <row r="1289" spans="3:3">
      <c r="C1289" s="14"/>
    </row>
    <row r="1290" spans="3:3">
      <c r="C1290" s="14"/>
    </row>
    <row r="1291" spans="3:3">
      <c r="C1291" s="14"/>
    </row>
    <row r="1292" spans="3:3">
      <c r="C1292" s="14"/>
    </row>
    <row r="1293" spans="3:3">
      <c r="C1293" s="14"/>
    </row>
    <row r="1294" spans="3:3">
      <c r="C1294" s="14"/>
    </row>
    <row r="1295" spans="3:3">
      <c r="C1295" s="14"/>
    </row>
    <row r="1296" spans="3:3">
      <c r="C1296" s="14"/>
    </row>
    <row r="1297" spans="3:3">
      <c r="C1297" s="14"/>
    </row>
    <row r="1298" spans="3:3">
      <c r="C1298" s="14"/>
    </row>
    <row r="1299" spans="3:3">
      <c r="C1299" s="14"/>
    </row>
    <row r="1300" spans="3:3">
      <c r="C1300" s="14"/>
    </row>
    <row r="1301" spans="3:3">
      <c r="C1301" s="14"/>
    </row>
    <row r="1302" spans="3:3">
      <c r="C1302" s="14"/>
    </row>
    <row r="1303" spans="3:3">
      <c r="C1303" s="14"/>
    </row>
    <row r="1304" spans="3:3">
      <c r="C1304" s="14"/>
    </row>
    <row r="1305" spans="3:3">
      <c r="C1305" s="14"/>
    </row>
    <row r="1306" spans="3:3">
      <c r="C1306" s="14"/>
    </row>
    <row r="1307" spans="3:3">
      <c r="C1307" s="14"/>
    </row>
    <row r="1308" spans="3:3">
      <c r="C1308" s="14"/>
    </row>
    <row r="1309" spans="3:3">
      <c r="C1309" s="14"/>
    </row>
    <row r="1310" spans="3:3">
      <c r="C1310" s="14"/>
    </row>
    <row r="1311" spans="3:3">
      <c r="C1311" s="14"/>
    </row>
    <row r="1312" spans="3:3">
      <c r="C1312" s="14"/>
    </row>
    <row r="1313" spans="3:3">
      <c r="C1313" s="14"/>
    </row>
    <row r="1314" spans="3:3">
      <c r="C1314" s="14"/>
    </row>
    <row r="1315" spans="3:3">
      <c r="C1315" s="14"/>
    </row>
    <row r="1316" spans="3:3">
      <c r="C1316" s="14"/>
    </row>
    <row r="1317" spans="3:3">
      <c r="C1317" s="14"/>
    </row>
    <row r="1318" spans="3:3">
      <c r="C1318" s="14"/>
    </row>
    <row r="1319" spans="3:3">
      <c r="C1319" s="14"/>
    </row>
    <row r="1320" spans="3:3">
      <c r="C1320" s="14"/>
    </row>
    <row r="1321" spans="3:3">
      <c r="C1321" s="14"/>
    </row>
    <row r="1322" spans="3:3">
      <c r="C1322" s="14"/>
    </row>
    <row r="1323" spans="3:3">
      <c r="C1323" s="14"/>
    </row>
    <row r="1324" spans="3:3">
      <c r="C1324" s="14"/>
    </row>
    <row r="1325" spans="3:3">
      <c r="C1325" s="14"/>
    </row>
    <row r="1326" spans="3:3">
      <c r="C1326" s="14"/>
    </row>
    <row r="1327" spans="3:3">
      <c r="C1327" s="14"/>
    </row>
    <row r="1328" spans="3:3">
      <c r="C1328" s="14"/>
    </row>
    <row r="1329" spans="3:3">
      <c r="C1329" s="14"/>
    </row>
    <row r="1330" spans="3:3">
      <c r="C1330" s="14"/>
    </row>
    <row r="1331" spans="3:3">
      <c r="C1331" s="14"/>
    </row>
    <row r="1332" spans="3:3">
      <c r="C1332" s="14"/>
    </row>
    <row r="1333" spans="3:3">
      <c r="C1333" s="14"/>
    </row>
    <row r="1334" spans="3:3">
      <c r="C1334" s="14"/>
    </row>
    <row r="1335" spans="3:3">
      <c r="C1335" s="14"/>
    </row>
    <row r="1336" spans="3:3">
      <c r="C1336" s="14"/>
    </row>
    <row r="1337" spans="3:3">
      <c r="C1337" s="14"/>
    </row>
    <row r="1338" spans="3:3">
      <c r="C1338" s="14"/>
    </row>
    <row r="1339" spans="3:3">
      <c r="C1339" s="14"/>
    </row>
    <row r="1340" spans="3:3">
      <c r="C1340" s="14"/>
    </row>
    <row r="1341" spans="3:3">
      <c r="C1341" s="14"/>
    </row>
    <row r="1342" spans="3:3">
      <c r="C1342" s="14"/>
    </row>
    <row r="1343" spans="3:3">
      <c r="C1343" s="14"/>
    </row>
    <row r="1344" spans="3:3">
      <c r="C1344" s="14"/>
    </row>
    <row r="1345" spans="3:3">
      <c r="C1345" s="14"/>
    </row>
    <row r="1346" spans="3:3">
      <c r="C1346" s="14"/>
    </row>
    <row r="1347" spans="3:3">
      <c r="C1347" s="14"/>
    </row>
    <row r="1348" spans="3:3">
      <c r="C1348" s="14"/>
    </row>
    <row r="1349" spans="3:3">
      <c r="C1349" s="14"/>
    </row>
    <row r="1350" spans="3:3">
      <c r="C1350" s="14"/>
    </row>
    <row r="1351" spans="3:3">
      <c r="C1351" s="14"/>
    </row>
    <row r="1352" spans="3:3">
      <c r="C1352" s="14"/>
    </row>
    <row r="1353" spans="3:3">
      <c r="C1353" s="14"/>
    </row>
    <row r="1354" spans="3:3">
      <c r="C1354" s="14"/>
    </row>
    <row r="1355" spans="3:3">
      <c r="C1355" s="14"/>
    </row>
    <row r="1356" spans="3:3">
      <c r="C1356" s="14"/>
    </row>
    <row r="1357" spans="3:3">
      <c r="C1357" s="14"/>
    </row>
    <row r="1358" spans="3:3">
      <c r="C1358" s="14"/>
    </row>
    <row r="1359" spans="3:3">
      <c r="C1359" s="14"/>
    </row>
    <row r="1360" spans="3:3">
      <c r="C1360" s="14"/>
    </row>
    <row r="1361" spans="3:3">
      <c r="C1361" s="14"/>
    </row>
    <row r="1362" spans="3:3">
      <c r="C1362" s="14"/>
    </row>
    <row r="1363" spans="3:3">
      <c r="C1363" s="14"/>
    </row>
    <row r="1364" spans="3:3">
      <c r="C1364" s="14"/>
    </row>
    <row r="1365" spans="3:3">
      <c r="C1365" s="14"/>
    </row>
    <row r="1366" spans="3:3">
      <c r="C1366" s="14"/>
    </row>
    <row r="1367" spans="3:3">
      <c r="C1367" s="14"/>
    </row>
    <row r="1368" spans="3:3">
      <c r="C1368" s="14"/>
    </row>
    <row r="1369" spans="3:3">
      <c r="C1369" s="14"/>
    </row>
    <row r="1370" spans="3:3">
      <c r="C1370" s="14"/>
    </row>
    <row r="1371" spans="3:3">
      <c r="C1371" s="14"/>
    </row>
    <row r="1372" spans="3:3">
      <c r="C1372" s="14"/>
    </row>
    <row r="1373" spans="3:3">
      <c r="C1373" s="14"/>
    </row>
    <row r="1374" spans="3:3">
      <c r="C1374" s="14"/>
    </row>
    <row r="1375" spans="3:3">
      <c r="C1375" s="14"/>
    </row>
    <row r="1376" spans="3:3">
      <c r="C1376" s="14"/>
    </row>
    <row r="1377" spans="3:3">
      <c r="C1377" s="14"/>
    </row>
    <row r="1378" spans="3:3">
      <c r="C1378" s="14"/>
    </row>
    <row r="1379" spans="3:3">
      <c r="C1379" s="14"/>
    </row>
    <row r="1380" spans="3:3">
      <c r="C1380" s="14"/>
    </row>
    <row r="1381" spans="3:3">
      <c r="C1381" s="14"/>
    </row>
    <row r="1382" spans="3:3">
      <c r="C1382" s="14"/>
    </row>
    <row r="1383" spans="3:3">
      <c r="C1383" s="14"/>
    </row>
    <row r="1384" spans="3:3">
      <c r="C1384" s="14"/>
    </row>
    <row r="1385" spans="3:3">
      <c r="C1385" s="14"/>
    </row>
    <row r="1386" spans="3:3">
      <c r="C1386" s="14"/>
    </row>
    <row r="1387" spans="3:3">
      <c r="C1387" s="14"/>
    </row>
    <row r="1388" spans="3:3">
      <c r="C1388" s="14"/>
    </row>
    <row r="1389" spans="3:3">
      <c r="C1389" s="14"/>
    </row>
    <row r="1390" spans="3:3">
      <c r="C1390" s="14"/>
    </row>
    <row r="1391" spans="3:3">
      <c r="C1391" s="14"/>
    </row>
    <row r="1392" spans="3:3">
      <c r="C1392" s="14"/>
    </row>
    <row r="1393" spans="3:3">
      <c r="C1393" s="14"/>
    </row>
    <row r="1394" spans="3:3">
      <c r="C1394" s="14"/>
    </row>
    <row r="1395" spans="3:3">
      <c r="C1395" s="14"/>
    </row>
    <row r="1396" spans="3:3">
      <c r="C1396" s="14"/>
    </row>
    <row r="1397" spans="3:3">
      <c r="C1397" s="14"/>
    </row>
    <row r="1398" spans="3:3">
      <c r="C1398" s="14"/>
    </row>
    <row r="1399" spans="3:3">
      <c r="C1399" s="14"/>
    </row>
    <row r="1400" spans="3:3">
      <c r="C1400" s="14"/>
    </row>
    <row r="1401" spans="3:3">
      <c r="C1401" s="14"/>
    </row>
    <row r="1402" spans="3:3">
      <c r="C1402" s="14"/>
    </row>
    <row r="1403" spans="3:3">
      <c r="C1403" s="14"/>
    </row>
    <row r="1404" spans="3:3">
      <c r="C1404" s="14"/>
    </row>
    <row r="1405" spans="3:3">
      <c r="C1405" s="14"/>
    </row>
    <row r="1406" spans="3:3">
      <c r="C1406" s="14"/>
    </row>
    <row r="1407" spans="3:3">
      <c r="C1407" s="14"/>
    </row>
    <row r="1408" spans="3:3">
      <c r="C1408" s="14"/>
    </row>
    <row r="1409" spans="3:3">
      <c r="C1409" s="14"/>
    </row>
    <row r="1410" spans="3:3">
      <c r="C1410" s="14"/>
    </row>
    <row r="1411" spans="3:3">
      <c r="C1411" s="14"/>
    </row>
    <row r="1412" spans="3:3">
      <c r="C1412" s="14"/>
    </row>
    <row r="1413" spans="3:3">
      <c r="C1413" s="14"/>
    </row>
    <row r="1414" spans="3:3">
      <c r="C1414" s="14"/>
    </row>
    <row r="1415" spans="3:3">
      <c r="C1415" s="14"/>
    </row>
    <row r="1416" spans="3:3">
      <c r="C1416" s="14"/>
    </row>
    <row r="1417" spans="3:3">
      <c r="C1417" s="14"/>
    </row>
    <row r="1418" spans="3:3">
      <c r="C1418" s="14"/>
    </row>
    <row r="1419" spans="3:3">
      <c r="C1419" s="14"/>
    </row>
    <row r="1420" spans="3:3">
      <c r="C1420" s="14"/>
    </row>
    <row r="1421" spans="3:3">
      <c r="C1421" s="14"/>
    </row>
    <row r="1422" spans="3:3">
      <c r="C1422" s="14"/>
    </row>
    <row r="1423" spans="3:3">
      <c r="C1423" s="14"/>
    </row>
    <row r="1424" spans="3:3">
      <c r="C1424" s="14"/>
    </row>
    <row r="1425" spans="3:3">
      <c r="C1425" s="14"/>
    </row>
    <row r="1426" spans="3:3">
      <c r="C1426" s="14"/>
    </row>
    <row r="1427" spans="3:3">
      <c r="C1427" s="14"/>
    </row>
    <row r="1428" spans="3:3">
      <c r="C1428" s="14"/>
    </row>
    <row r="1429" spans="3:3">
      <c r="C1429" s="14"/>
    </row>
    <row r="1430" spans="3:3">
      <c r="C1430" s="14"/>
    </row>
    <row r="1431" spans="3:3">
      <c r="C1431" s="14"/>
    </row>
    <row r="1432" spans="3:3">
      <c r="C1432" s="14"/>
    </row>
    <row r="1433" spans="3:3">
      <c r="C1433" s="14"/>
    </row>
    <row r="1434" spans="3:3">
      <c r="C1434" s="14"/>
    </row>
    <row r="1435" spans="3:3">
      <c r="C1435" s="14"/>
    </row>
    <row r="1436" spans="3:3">
      <c r="C1436" s="14"/>
    </row>
    <row r="1437" spans="3:3">
      <c r="C1437" s="14"/>
    </row>
    <row r="1438" spans="3:3">
      <c r="C1438" s="14"/>
    </row>
    <row r="1439" spans="3:3">
      <c r="C1439" s="14"/>
    </row>
    <row r="1440" spans="3:3">
      <c r="C1440" s="14"/>
    </row>
    <row r="1441" spans="3:3">
      <c r="C1441" s="14"/>
    </row>
    <row r="1442" spans="3:3">
      <c r="C1442" s="14"/>
    </row>
    <row r="1443" spans="3:3">
      <c r="C1443" s="14"/>
    </row>
    <row r="1444" spans="3:3">
      <c r="C1444" s="14"/>
    </row>
    <row r="1445" spans="3:3">
      <c r="C1445" s="14"/>
    </row>
    <row r="1446" spans="3:3">
      <c r="C1446" s="14"/>
    </row>
    <row r="1447" spans="3:3">
      <c r="C1447" s="14"/>
    </row>
    <row r="1448" spans="3:3">
      <c r="C1448" s="14"/>
    </row>
    <row r="1449" spans="3:3">
      <c r="C1449" s="14"/>
    </row>
    <row r="1450" spans="3:3">
      <c r="C1450" s="14"/>
    </row>
    <row r="1451" spans="3:3">
      <c r="C1451" s="14"/>
    </row>
    <row r="1452" spans="3:3">
      <c r="C1452" s="14"/>
    </row>
    <row r="1453" spans="3:3">
      <c r="C1453" s="14"/>
    </row>
    <row r="1454" spans="3:3">
      <c r="C1454" s="14"/>
    </row>
    <row r="1455" spans="3:3">
      <c r="C1455" s="14"/>
    </row>
    <row r="1456" spans="3:3">
      <c r="C1456" s="14"/>
    </row>
    <row r="1457" spans="3:3">
      <c r="C1457" s="14"/>
    </row>
    <row r="1458" spans="3:3">
      <c r="C1458" s="14"/>
    </row>
    <row r="1459" spans="3:3">
      <c r="C1459" s="14"/>
    </row>
    <row r="1460" spans="3:3">
      <c r="C1460" s="14"/>
    </row>
    <row r="1461" spans="3:3">
      <c r="C1461" s="14"/>
    </row>
    <row r="1462" spans="3:3">
      <c r="C1462" s="14"/>
    </row>
    <row r="1463" spans="3:3">
      <c r="C1463" s="14"/>
    </row>
    <row r="1464" spans="3:3">
      <c r="C1464" s="14"/>
    </row>
    <row r="1465" spans="3:3">
      <c r="C1465" s="14"/>
    </row>
    <row r="1466" spans="3:3">
      <c r="C1466" s="14"/>
    </row>
    <row r="1467" spans="3:3">
      <c r="C1467" s="14"/>
    </row>
    <row r="1468" spans="3:3">
      <c r="C1468" s="14"/>
    </row>
    <row r="1469" spans="3:3">
      <c r="C1469" s="14"/>
    </row>
    <row r="1470" spans="3:3">
      <c r="C1470" s="14"/>
    </row>
    <row r="1471" spans="3:3">
      <c r="C1471" s="14"/>
    </row>
    <row r="1472" spans="3:3">
      <c r="C1472" s="14"/>
    </row>
    <row r="1473" spans="3:3">
      <c r="C1473" s="14"/>
    </row>
    <row r="1474" spans="3:3">
      <c r="C1474" s="14"/>
    </row>
    <row r="1475" spans="3:3">
      <c r="C1475" s="14"/>
    </row>
    <row r="1476" spans="3:3">
      <c r="C1476" s="14"/>
    </row>
    <row r="1477" spans="3:3">
      <c r="C1477" s="14"/>
    </row>
    <row r="1478" spans="3:3">
      <c r="C1478" s="14"/>
    </row>
    <row r="1479" spans="3:3">
      <c r="C1479" s="14"/>
    </row>
    <row r="1480" spans="3:3">
      <c r="C1480" s="14"/>
    </row>
    <row r="1481" spans="3:3">
      <c r="C1481" s="14"/>
    </row>
    <row r="1482" spans="3:3">
      <c r="C1482" s="14"/>
    </row>
    <row r="1483" spans="3:3">
      <c r="C1483" s="14"/>
    </row>
    <row r="1484" spans="3:3">
      <c r="C1484" s="14"/>
    </row>
    <row r="1485" spans="3:3">
      <c r="C1485" s="14"/>
    </row>
    <row r="1486" spans="3:3">
      <c r="C1486" s="14"/>
    </row>
    <row r="1487" spans="3:3">
      <c r="C1487" s="14"/>
    </row>
    <row r="1488" spans="3:3">
      <c r="C1488" s="14"/>
    </row>
    <row r="1489" spans="3:3">
      <c r="C1489" s="14"/>
    </row>
    <row r="1490" spans="3:3">
      <c r="C1490" s="14"/>
    </row>
    <row r="1491" spans="3:3">
      <c r="C1491" s="14"/>
    </row>
    <row r="1492" spans="3:3">
      <c r="C1492" s="14"/>
    </row>
    <row r="1493" spans="3:3">
      <c r="C1493" s="14"/>
    </row>
    <row r="1494" spans="3:3">
      <c r="C1494" s="14"/>
    </row>
    <row r="1495" spans="3:3">
      <c r="C1495" s="14"/>
    </row>
    <row r="1496" spans="3:3">
      <c r="C1496" s="14"/>
    </row>
    <row r="1497" spans="3:3">
      <c r="C1497" s="14"/>
    </row>
    <row r="1498" spans="3:3">
      <c r="C1498" s="14"/>
    </row>
    <row r="1499" spans="3:3">
      <c r="C1499" s="14"/>
    </row>
    <row r="1500" spans="3:3">
      <c r="C1500" s="14"/>
    </row>
    <row r="1501" spans="3:3">
      <c r="C1501" s="14"/>
    </row>
    <row r="1502" spans="3:3">
      <c r="C1502" s="14"/>
    </row>
    <row r="1503" spans="3:3">
      <c r="C1503" s="14"/>
    </row>
    <row r="1504" spans="3:3">
      <c r="C1504" s="14"/>
    </row>
    <row r="1505" spans="3:3">
      <c r="C1505" s="14"/>
    </row>
    <row r="1506" spans="3:3">
      <c r="C1506" s="14"/>
    </row>
    <row r="1507" spans="3:3">
      <c r="C1507" s="14"/>
    </row>
    <row r="1508" spans="3:3">
      <c r="C1508" s="14"/>
    </row>
    <row r="1509" spans="3:3">
      <c r="C1509" s="14"/>
    </row>
    <row r="1510" spans="3:3">
      <c r="C1510" s="14"/>
    </row>
    <row r="1511" spans="3:3">
      <c r="C1511" s="14"/>
    </row>
    <row r="1512" spans="3:3">
      <c r="C1512" s="14"/>
    </row>
    <row r="1513" spans="3:3">
      <c r="C1513" s="14"/>
    </row>
    <row r="1514" spans="3:3">
      <c r="C1514" s="14"/>
    </row>
    <row r="1515" spans="3:3">
      <c r="C1515" s="14"/>
    </row>
    <row r="1516" spans="3:3">
      <c r="C1516" s="14"/>
    </row>
    <row r="1517" spans="3:3">
      <c r="C1517" s="14"/>
    </row>
    <row r="1518" spans="3:3">
      <c r="C1518" s="14"/>
    </row>
    <row r="1519" spans="3:3">
      <c r="C1519" s="14"/>
    </row>
    <row r="1520" spans="3:3">
      <c r="C1520" s="14"/>
    </row>
    <row r="1521" spans="3:3">
      <c r="C1521" s="14"/>
    </row>
    <row r="1522" spans="3:3">
      <c r="C1522" s="14"/>
    </row>
    <row r="1523" spans="3:3">
      <c r="C1523" s="14"/>
    </row>
    <row r="1524" spans="3:3">
      <c r="C1524" s="14"/>
    </row>
    <row r="1525" spans="3:3">
      <c r="C1525" s="14"/>
    </row>
    <row r="1526" spans="3:3">
      <c r="C1526" s="14"/>
    </row>
    <row r="1527" spans="3:3">
      <c r="C1527" s="14"/>
    </row>
    <row r="1528" spans="3:3">
      <c r="C1528" s="14"/>
    </row>
    <row r="1529" spans="3:3">
      <c r="C1529" s="14"/>
    </row>
    <row r="1530" spans="3:3">
      <c r="C1530" s="14"/>
    </row>
    <row r="1531" spans="3:3">
      <c r="C1531" s="14"/>
    </row>
    <row r="1532" spans="3:3">
      <c r="C1532" s="14"/>
    </row>
    <row r="1533" spans="3:3">
      <c r="C1533" s="14"/>
    </row>
    <row r="1534" spans="3:3">
      <c r="C1534" s="14"/>
    </row>
    <row r="1535" spans="3:3">
      <c r="C1535" s="14"/>
    </row>
    <row r="1536" spans="3:3">
      <c r="C1536" s="14"/>
    </row>
    <row r="1537" spans="3:3">
      <c r="C1537" s="14"/>
    </row>
    <row r="1538" spans="3:3">
      <c r="C1538" s="14"/>
    </row>
    <row r="1539" spans="3:3">
      <c r="C1539" s="14"/>
    </row>
    <row r="1540" spans="3:3">
      <c r="C1540" s="14"/>
    </row>
    <row r="1541" spans="3:3">
      <c r="C1541" s="14"/>
    </row>
    <row r="1542" spans="3:3">
      <c r="C1542" s="14"/>
    </row>
    <row r="1543" spans="3:3">
      <c r="C1543" s="14"/>
    </row>
    <row r="1544" spans="3:3">
      <c r="C1544" s="14"/>
    </row>
    <row r="1545" spans="3:3">
      <c r="C1545" s="14"/>
    </row>
    <row r="1546" spans="3:3">
      <c r="C1546" s="14"/>
    </row>
    <row r="1547" spans="3:3">
      <c r="C1547" s="14"/>
    </row>
    <row r="1548" spans="3:3">
      <c r="C1548" s="14"/>
    </row>
    <row r="1549" spans="3:3">
      <c r="C1549" s="14"/>
    </row>
    <row r="1550" spans="3:3">
      <c r="C1550" s="14"/>
    </row>
    <row r="1551" spans="3:3">
      <c r="C1551" s="14"/>
    </row>
    <row r="1552" spans="3:3">
      <c r="C1552" s="14"/>
    </row>
    <row r="1553" spans="3:3">
      <c r="C1553" s="14"/>
    </row>
    <row r="1554" spans="3:3">
      <c r="C1554" s="14"/>
    </row>
    <row r="1555" spans="3:3">
      <c r="C1555" s="14"/>
    </row>
    <row r="1556" spans="3:3">
      <c r="C1556" s="14"/>
    </row>
    <row r="1557" spans="3:3">
      <c r="C1557" s="14"/>
    </row>
    <row r="1558" spans="3:3">
      <c r="C1558" s="14"/>
    </row>
    <row r="1559" spans="3:3">
      <c r="C1559" s="14"/>
    </row>
    <row r="1560" spans="3:3">
      <c r="C1560" s="14"/>
    </row>
    <row r="1561" spans="3:3">
      <c r="C1561" s="14"/>
    </row>
    <row r="1562" spans="3:3">
      <c r="C1562" s="14"/>
    </row>
    <row r="1563" spans="3:3">
      <c r="C1563" s="14"/>
    </row>
    <row r="1564" spans="3:3">
      <c r="C1564" s="14"/>
    </row>
    <row r="1565" spans="3:3">
      <c r="C1565" s="14"/>
    </row>
    <row r="1566" spans="3:3">
      <c r="C1566" s="14"/>
    </row>
    <row r="1567" spans="3:3">
      <c r="C1567" s="14"/>
    </row>
    <row r="1568" spans="3:3">
      <c r="C1568" s="14"/>
    </row>
    <row r="1569" spans="3:3">
      <c r="C1569" s="14"/>
    </row>
    <row r="1570" spans="3:3">
      <c r="C1570" s="14"/>
    </row>
    <row r="1571" spans="3:3">
      <c r="C1571" s="14"/>
    </row>
    <row r="1572" spans="3:3">
      <c r="C1572" s="14"/>
    </row>
    <row r="1573" spans="3:3">
      <c r="C1573" s="14"/>
    </row>
    <row r="1574" spans="3:3">
      <c r="C1574" s="14"/>
    </row>
    <row r="1575" spans="3:3">
      <c r="C1575" s="14"/>
    </row>
    <row r="1576" spans="3:3">
      <c r="C1576" s="14"/>
    </row>
    <row r="1577" spans="3:3">
      <c r="C1577" s="14"/>
    </row>
    <row r="1578" spans="3:3">
      <c r="C1578" s="14"/>
    </row>
    <row r="1579" spans="3:3">
      <c r="C1579" s="14"/>
    </row>
    <row r="1580" spans="3:3">
      <c r="C1580" s="14"/>
    </row>
    <row r="1581" spans="3:3">
      <c r="C1581" s="14"/>
    </row>
    <row r="1582" spans="3:3">
      <c r="C1582" s="14"/>
    </row>
    <row r="1583" spans="3:3">
      <c r="C1583" s="14"/>
    </row>
    <row r="1584" spans="3:3">
      <c r="C1584" s="14"/>
    </row>
    <row r="1585" spans="3:3">
      <c r="C1585" s="14"/>
    </row>
    <row r="1586" spans="3:3">
      <c r="C1586" s="14"/>
    </row>
    <row r="1587" spans="3:3">
      <c r="C1587" s="14"/>
    </row>
    <row r="1588" spans="3:3">
      <c r="C1588" s="14"/>
    </row>
    <row r="1589" spans="3:3">
      <c r="C1589" s="14"/>
    </row>
    <row r="1590" spans="3:3">
      <c r="C1590" s="14"/>
    </row>
    <row r="1591" spans="3:3">
      <c r="C1591" s="14"/>
    </row>
    <row r="1592" spans="3:3">
      <c r="C1592" s="14"/>
    </row>
    <row r="1593" spans="3:3">
      <c r="C1593" s="14"/>
    </row>
    <row r="1594" spans="3:3">
      <c r="C1594" s="14"/>
    </row>
    <row r="1595" spans="3:3">
      <c r="C1595" s="14"/>
    </row>
    <row r="1596" spans="3:3">
      <c r="C1596" s="14"/>
    </row>
    <row r="1597" spans="3:3">
      <c r="C1597" s="14"/>
    </row>
    <row r="1598" spans="3:3">
      <c r="C1598" s="14"/>
    </row>
    <row r="1599" spans="3:3">
      <c r="C1599" s="14"/>
    </row>
    <row r="1600" spans="3:3">
      <c r="C1600" s="14"/>
    </row>
    <row r="1601" spans="3:3">
      <c r="C1601" s="14"/>
    </row>
    <row r="1602" spans="3:3">
      <c r="C1602" s="14"/>
    </row>
    <row r="1603" spans="3:3">
      <c r="C1603" s="14"/>
    </row>
    <row r="1604" spans="3:3">
      <c r="C1604" s="14"/>
    </row>
    <row r="1605" spans="3:3">
      <c r="C1605" s="14"/>
    </row>
    <row r="1606" spans="3:3">
      <c r="C1606" s="14"/>
    </row>
    <row r="1607" spans="3:3">
      <c r="C1607" s="14"/>
    </row>
    <row r="1608" spans="3:3">
      <c r="C1608" s="14"/>
    </row>
    <row r="1609" spans="3:3">
      <c r="C1609" s="14"/>
    </row>
    <row r="1610" spans="3:3">
      <c r="C1610" s="14"/>
    </row>
    <row r="1611" spans="3:3">
      <c r="C1611" s="14"/>
    </row>
    <row r="1612" spans="3:3">
      <c r="C1612" s="14"/>
    </row>
    <row r="1613" spans="3:3">
      <c r="C1613" s="14"/>
    </row>
    <row r="1614" spans="3:3">
      <c r="C1614" s="14"/>
    </row>
    <row r="1615" spans="3:3">
      <c r="C1615" s="14"/>
    </row>
    <row r="1616" spans="3:3">
      <c r="C1616" s="14"/>
    </row>
    <row r="1617" spans="3:3">
      <c r="C1617" s="14"/>
    </row>
    <row r="1618" spans="3:3">
      <c r="C1618" s="14"/>
    </row>
    <row r="1619" spans="3:3">
      <c r="C1619" s="14"/>
    </row>
    <row r="1620" spans="3:3">
      <c r="C1620" s="14"/>
    </row>
    <row r="1621" spans="3:3">
      <c r="C1621" s="14"/>
    </row>
    <row r="1622" spans="3:3">
      <c r="C1622" s="14"/>
    </row>
    <row r="1623" spans="3:3">
      <c r="C1623" s="14"/>
    </row>
    <row r="1624" spans="3:3">
      <c r="C1624" s="14"/>
    </row>
    <row r="1625" spans="3:3">
      <c r="C1625" s="14"/>
    </row>
    <row r="1626" spans="3:3">
      <c r="C1626" s="14"/>
    </row>
    <row r="1627" spans="3:3">
      <c r="C1627" s="14"/>
    </row>
    <row r="1628" spans="3:3">
      <c r="C1628" s="14"/>
    </row>
    <row r="1629" spans="3:3">
      <c r="C1629" s="14"/>
    </row>
    <row r="1630" spans="3:3">
      <c r="C1630" s="14"/>
    </row>
    <row r="1631" spans="3:3">
      <c r="C1631" s="14"/>
    </row>
    <row r="1632" spans="3:3">
      <c r="C1632" s="14"/>
    </row>
    <row r="1633" spans="3:3">
      <c r="C1633" s="14"/>
    </row>
    <row r="1634" spans="3:3">
      <c r="C1634" s="14"/>
    </row>
    <row r="1635" spans="3:3">
      <c r="C1635" s="14"/>
    </row>
    <row r="1636" spans="3:3">
      <c r="C1636" s="14"/>
    </row>
    <row r="1637" spans="3:3">
      <c r="C1637" s="14"/>
    </row>
    <row r="1638" spans="3:3">
      <c r="C1638" s="14"/>
    </row>
    <row r="1639" spans="3:3">
      <c r="C1639" s="14"/>
    </row>
    <row r="1640" spans="3:3">
      <c r="C1640" s="14"/>
    </row>
    <row r="1641" spans="3:3">
      <c r="C1641" s="14"/>
    </row>
    <row r="1642" spans="3:3">
      <c r="C1642" s="14"/>
    </row>
    <row r="1643" spans="3:3">
      <c r="C1643" s="14"/>
    </row>
    <row r="1644" spans="3:3">
      <c r="C1644" s="14"/>
    </row>
    <row r="1645" spans="3:3">
      <c r="C1645" s="14"/>
    </row>
    <row r="1646" spans="3:3">
      <c r="C1646" s="14"/>
    </row>
    <row r="1647" spans="3:3">
      <c r="C1647" s="14"/>
    </row>
    <row r="1648" spans="3:3">
      <c r="C1648" s="14"/>
    </row>
    <row r="1649" spans="3:3">
      <c r="C1649" s="14"/>
    </row>
    <row r="1650" spans="3:3">
      <c r="C1650" s="14"/>
    </row>
    <row r="1651" spans="3:3">
      <c r="C1651" s="14"/>
    </row>
    <row r="1652" spans="3:3">
      <c r="C1652" s="14"/>
    </row>
    <row r="1653" spans="3:3">
      <c r="C1653" s="14"/>
    </row>
    <row r="1654" spans="3:3">
      <c r="C1654" s="14"/>
    </row>
    <row r="1655" spans="3:3">
      <c r="C1655" s="14"/>
    </row>
    <row r="1656" spans="3:3">
      <c r="C1656" s="14"/>
    </row>
    <row r="1657" spans="3:3">
      <c r="C1657" s="14"/>
    </row>
    <row r="1658" spans="3:3">
      <c r="C1658" s="14"/>
    </row>
    <row r="1659" spans="3:3">
      <c r="C1659" s="14"/>
    </row>
    <row r="1660" spans="3:3">
      <c r="C1660" s="14"/>
    </row>
    <row r="1661" spans="3:3">
      <c r="C1661" s="14"/>
    </row>
    <row r="1662" spans="3:3">
      <c r="C1662" s="14"/>
    </row>
    <row r="1663" spans="3:3">
      <c r="C1663" s="14"/>
    </row>
    <row r="1664" spans="3:3">
      <c r="C1664" s="14"/>
    </row>
    <row r="1665" spans="3:3">
      <c r="C1665" s="14"/>
    </row>
    <row r="1666" spans="3:3">
      <c r="C1666" s="14"/>
    </row>
    <row r="1667" spans="3:3">
      <c r="C1667" s="14"/>
    </row>
    <row r="1668" spans="3:3">
      <c r="C1668" s="14"/>
    </row>
    <row r="1669" spans="3:3">
      <c r="C1669" s="14"/>
    </row>
    <row r="1670" spans="3:3">
      <c r="C1670" s="14"/>
    </row>
    <row r="1671" spans="3:3">
      <c r="C1671" s="14"/>
    </row>
    <row r="1672" spans="3:3">
      <c r="C1672" s="14"/>
    </row>
    <row r="1673" spans="3:3">
      <c r="C1673" s="14"/>
    </row>
    <row r="1674" spans="3:3">
      <c r="C1674" s="14"/>
    </row>
    <row r="1675" spans="3:3">
      <c r="C1675" s="14"/>
    </row>
    <row r="1676" spans="3:3">
      <c r="C1676" s="14"/>
    </row>
    <row r="1677" spans="3:3">
      <c r="C1677" s="14"/>
    </row>
    <row r="1678" spans="3:3">
      <c r="C1678" s="14"/>
    </row>
    <row r="1679" spans="3:3">
      <c r="C1679" s="14"/>
    </row>
    <row r="1680" spans="3:3">
      <c r="C1680" s="14"/>
    </row>
    <row r="1681" spans="3:3">
      <c r="C1681" s="14"/>
    </row>
    <row r="1682" spans="3:3">
      <c r="C1682" s="14"/>
    </row>
    <row r="1683" spans="3:3">
      <c r="C1683" s="14"/>
    </row>
    <row r="1684" spans="3:3">
      <c r="C1684" s="14"/>
    </row>
    <row r="1685" spans="3:3">
      <c r="C1685" s="14"/>
    </row>
    <row r="1686" spans="3:3">
      <c r="C1686" s="14"/>
    </row>
    <row r="1687" spans="3:3">
      <c r="C1687" s="14"/>
    </row>
    <row r="1688" spans="3:3">
      <c r="C1688" s="14"/>
    </row>
    <row r="1689" spans="3:3">
      <c r="C1689" s="14"/>
    </row>
    <row r="1690" spans="3:3">
      <c r="C1690" s="14"/>
    </row>
    <row r="1691" spans="3:3">
      <c r="C1691" s="14"/>
    </row>
    <row r="1692" spans="3:3">
      <c r="C1692" s="14"/>
    </row>
    <row r="1693" spans="3:3">
      <c r="C1693" s="14"/>
    </row>
    <row r="1694" spans="3:3">
      <c r="C1694" s="14"/>
    </row>
    <row r="1695" spans="3:3">
      <c r="C1695" s="14"/>
    </row>
    <row r="1696" spans="3:3">
      <c r="C1696" s="14"/>
    </row>
    <row r="1697" spans="3:3">
      <c r="C1697" s="14"/>
    </row>
    <row r="1698" spans="3:3">
      <c r="C1698" s="14"/>
    </row>
    <row r="1699" spans="3:3">
      <c r="C1699" s="14"/>
    </row>
    <row r="1700" spans="3:3">
      <c r="C1700" s="14"/>
    </row>
    <row r="1701" spans="3:3">
      <c r="C1701" s="14"/>
    </row>
    <row r="1702" spans="3:3">
      <c r="C1702" s="14"/>
    </row>
    <row r="1703" spans="3:3">
      <c r="C1703" s="14"/>
    </row>
    <row r="1704" spans="3:3">
      <c r="C1704" s="14"/>
    </row>
    <row r="1705" spans="3:3">
      <c r="C1705" s="14"/>
    </row>
    <row r="1706" spans="3:3">
      <c r="C1706" s="14"/>
    </row>
    <row r="1707" spans="3:3">
      <c r="C1707" s="14"/>
    </row>
    <row r="1708" spans="3:3">
      <c r="C1708" s="14"/>
    </row>
    <row r="1709" spans="3:3">
      <c r="C1709" s="14"/>
    </row>
    <row r="1710" spans="3:3">
      <c r="C1710" s="14"/>
    </row>
    <row r="1711" spans="3:3">
      <c r="C1711" s="14"/>
    </row>
    <row r="1712" spans="3:3">
      <c r="C1712" s="14"/>
    </row>
    <row r="1713" spans="3:3">
      <c r="C1713" s="14"/>
    </row>
    <row r="1714" spans="3:3">
      <c r="C1714" s="14"/>
    </row>
    <row r="1715" spans="3:3">
      <c r="C1715" s="14"/>
    </row>
    <row r="1716" spans="3:3">
      <c r="C1716" s="14"/>
    </row>
    <row r="1717" spans="3:3">
      <c r="C1717" s="14"/>
    </row>
    <row r="1718" spans="3:3">
      <c r="C1718" s="14"/>
    </row>
    <row r="1719" spans="3:3">
      <c r="C1719" s="14"/>
    </row>
    <row r="1720" spans="3:3">
      <c r="C1720" s="14"/>
    </row>
    <row r="1721" spans="3:3">
      <c r="C1721" s="14"/>
    </row>
    <row r="1722" spans="3:3">
      <c r="C1722" s="14"/>
    </row>
    <row r="1723" spans="3:3">
      <c r="C1723" s="14"/>
    </row>
    <row r="1724" spans="3:3">
      <c r="C1724" s="14"/>
    </row>
    <row r="1725" spans="3:3">
      <c r="C1725" s="14"/>
    </row>
    <row r="1726" spans="3:3">
      <c r="C1726" s="14"/>
    </row>
    <row r="1727" spans="3:3">
      <c r="C1727" s="14"/>
    </row>
    <row r="1728" spans="3:3">
      <c r="C1728" s="14"/>
    </row>
    <row r="1729" spans="3:3">
      <c r="C1729" s="14"/>
    </row>
    <row r="1730" spans="3:3">
      <c r="C1730" s="14"/>
    </row>
    <row r="1731" spans="3:3">
      <c r="C1731" s="14"/>
    </row>
    <row r="1732" spans="3:3">
      <c r="C1732" s="14"/>
    </row>
    <row r="1733" spans="3:3">
      <c r="C1733" s="14"/>
    </row>
    <row r="1734" spans="3:3">
      <c r="C1734" s="14"/>
    </row>
    <row r="1735" spans="3:3">
      <c r="C1735" s="14"/>
    </row>
    <row r="1736" spans="3:3">
      <c r="C1736" s="14"/>
    </row>
    <row r="1737" spans="3:3">
      <c r="C1737" s="14"/>
    </row>
    <row r="1738" spans="3:3">
      <c r="C1738" s="14"/>
    </row>
    <row r="1739" spans="3:3">
      <c r="C1739" s="14"/>
    </row>
    <row r="1740" spans="3:3">
      <c r="C1740" s="14"/>
    </row>
    <row r="1741" spans="3:3">
      <c r="C1741" s="14"/>
    </row>
    <row r="1742" spans="3:3">
      <c r="C1742" s="14"/>
    </row>
    <row r="1743" spans="3:3">
      <c r="C1743" s="14"/>
    </row>
    <row r="1744" spans="3:3">
      <c r="C1744" s="14"/>
    </row>
    <row r="1745" spans="3:3">
      <c r="C1745" s="14"/>
    </row>
    <row r="1746" spans="3:3">
      <c r="C1746" s="14"/>
    </row>
    <row r="1747" spans="3:3">
      <c r="C1747" s="14"/>
    </row>
    <row r="1748" spans="3:3">
      <c r="C1748" s="14"/>
    </row>
    <row r="1749" spans="3:3">
      <c r="C1749" s="14"/>
    </row>
    <row r="1750" spans="3:3">
      <c r="C1750" s="14"/>
    </row>
    <row r="1751" spans="3:3">
      <c r="C1751" s="14"/>
    </row>
    <row r="1752" spans="3:3">
      <c r="C1752" s="14"/>
    </row>
    <row r="1753" spans="3:3">
      <c r="C1753" s="14"/>
    </row>
    <row r="1754" spans="3:3">
      <c r="C1754" s="14"/>
    </row>
    <row r="1755" spans="3:3">
      <c r="C1755" s="14"/>
    </row>
    <row r="1756" spans="3:3">
      <c r="C1756" s="14"/>
    </row>
    <row r="1757" spans="3:3">
      <c r="C1757" s="14"/>
    </row>
    <row r="1758" spans="3:3">
      <c r="C1758" s="14"/>
    </row>
    <row r="1759" spans="3:3">
      <c r="C1759" s="14"/>
    </row>
    <row r="1760" spans="3:3">
      <c r="C1760" s="14"/>
    </row>
    <row r="1761" spans="3:3">
      <c r="C1761" s="14"/>
    </row>
    <row r="1762" spans="3:3">
      <c r="C1762" s="14"/>
    </row>
    <row r="1763" spans="3:3">
      <c r="C1763" s="14"/>
    </row>
    <row r="1764" spans="3:3">
      <c r="C1764" s="14"/>
    </row>
    <row r="1765" spans="3:3">
      <c r="C1765" s="14"/>
    </row>
    <row r="1766" spans="3:3">
      <c r="C1766" s="14"/>
    </row>
    <row r="1767" spans="3:3">
      <c r="C1767" s="14"/>
    </row>
  </sheetData>
  <autoFilter ref="A1:Y1095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H7:AD25"/>
  <sheetViews>
    <sheetView showGridLines="0" tabSelected="1" topLeftCell="G2" workbookViewId="0">
      <selection activeCell="M17" sqref="M17"/>
    </sheetView>
  </sheetViews>
  <sheetFormatPr defaultColWidth="2.7109375" defaultRowHeight="15"/>
  <cols>
    <col min="1" max="7" width="2.7109375" style="1"/>
    <col min="8" max="8" width="36.7109375" style="1" customWidth="1"/>
    <col min="9" max="14" width="14.85546875" style="1" customWidth="1"/>
    <col min="15" max="16" width="2.7109375" style="1"/>
    <col min="17" max="17" width="25.28515625" style="1" customWidth="1"/>
    <col min="18" max="18" width="18.5703125" style="1" bestFit="1" customWidth="1"/>
    <col min="19" max="19" width="11.28515625" style="1" customWidth="1"/>
    <col min="20" max="26" width="2.7109375" style="1"/>
    <col min="27" max="27" width="1.42578125" style="1" bestFit="1" customWidth="1"/>
    <col min="28" max="16384" width="2.7109375" style="1"/>
  </cols>
  <sheetData>
    <row r="7" spans="8:30" ht="15" customHeight="1">
      <c r="H7" s="98" t="s">
        <v>108</v>
      </c>
      <c r="I7" s="99" t="s">
        <v>205</v>
      </c>
      <c r="J7" s="136" t="s">
        <v>204</v>
      </c>
      <c r="K7" s="136"/>
      <c r="L7" s="136"/>
      <c r="M7" s="136"/>
      <c r="N7" s="136"/>
      <c r="Q7" s="98" t="s">
        <v>108</v>
      </c>
      <c r="R7" s="99" t="s">
        <v>205</v>
      </c>
      <c r="S7" s="135" t="s">
        <v>480</v>
      </c>
      <c r="T7" s="135"/>
      <c r="U7" s="135"/>
      <c r="V7" s="135"/>
    </row>
    <row r="8" spans="8:30" ht="15" customHeight="1">
      <c r="H8" s="98" t="s">
        <v>107</v>
      </c>
      <c r="I8" s="99" t="s">
        <v>204</v>
      </c>
      <c r="J8" s="136"/>
      <c r="K8" s="136"/>
      <c r="L8" s="136"/>
      <c r="M8" s="136"/>
      <c r="N8" s="136"/>
      <c r="Q8" s="98" t="s">
        <v>107</v>
      </c>
      <c r="R8" s="99" t="s">
        <v>480</v>
      </c>
      <c r="S8" s="135"/>
      <c r="T8" s="135"/>
      <c r="U8" s="135"/>
      <c r="V8" s="135"/>
    </row>
    <row r="10" spans="8:30">
      <c r="H10" s="100" t="s">
        <v>4720</v>
      </c>
      <c r="I10" s="100" t="s">
        <v>4721</v>
      </c>
      <c r="J10" s="2"/>
      <c r="K10" s="2"/>
      <c r="L10" s="2"/>
      <c r="M10" s="2"/>
      <c r="N10" s="2"/>
      <c r="Q10" s="100" t="s">
        <v>4720</v>
      </c>
      <c r="R10" s="100" t="s">
        <v>4721</v>
      </c>
      <c r="S10" s="2"/>
      <c r="T10" s="4"/>
      <c r="U10" s="4"/>
      <c r="V10" s="4"/>
      <c r="AD10" s="4"/>
    </row>
    <row r="11" spans="8:30">
      <c r="H11" s="100" t="s">
        <v>4722</v>
      </c>
      <c r="I11" s="2" t="s">
        <v>115</v>
      </c>
      <c r="J11" s="2" t="s">
        <v>210</v>
      </c>
      <c r="K11" s="2" t="s">
        <v>148</v>
      </c>
      <c r="L11" s="2" t="s">
        <v>477</v>
      </c>
      <c r="M11" s="2" t="s">
        <v>184</v>
      </c>
      <c r="N11" s="2" t="s">
        <v>4723</v>
      </c>
      <c r="Q11" s="100" t="s">
        <v>4722</v>
      </c>
      <c r="R11" s="2" t="s">
        <v>477</v>
      </c>
      <c r="S11" s="2" t="s">
        <v>4723</v>
      </c>
      <c r="T11" s="4"/>
      <c r="U11" s="4"/>
      <c r="V11" s="4"/>
      <c r="AD11" s="4"/>
    </row>
    <row r="12" spans="8:30">
      <c r="H12" s="101" t="s">
        <v>288</v>
      </c>
      <c r="I12" s="3"/>
      <c r="J12" s="3"/>
      <c r="K12" s="3"/>
      <c r="L12" s="3"/>
      <c r="M12" s="3">
        <v>1</v>
      </c>
      <c r="N12" s="3">
        <v>1</v>
      </c>
      <c r="Q12" s="2" t="s">
        <v>466</v>
      </c>
      <c r="R12" s="3">
        <v>1</v>
      </c>
      <c r="S12" s="3">
        <v>1</v>
      </c>
      <c r="T12" s="4"/>
      <c r="U12" s="4"/>
      <c r="V12" s="4"/>
      <c r="AD12" s="4"/>
    </row>
    <row r="13" spans="8:30">
      <c r="H13" s="101" t="s">
        <v>153</v>
      </c>
      <c r="I13" s="3"/>
      <c r="J13" s="3"/>
      <c r="K13" s="3">
        <v>1</v>
      </c>
      <c r="L13" s="3"/>
      <c r="M13" s="3"/>
      <c r="N13" s="3">
        <v>1</v>
      </c>
      <c r="Q13" s="2" t="s">
        <v>4723</v>
      </c>
      <c r="R13" s="3">
        <v>1</v>
      </c>
      <c r="S13" s="3">
        <v>1</v>
      </c>
      <c r="T13" s="4"/>
      <c r="U13" s="4"/>
      <c r="V13" s="4"/>
      <c r="AD13" s="4"/>
    </row>
    <row r="14" spans="8:30">
      <c r="H14" s="101" t="s">
        <v>1590</v>
      </c>
      <c r="I14" s="3"/>
      <c r="J14" s="3"/>
      <c r="K14" s="3">
        <v>1</v>
      </c>
      <c r="L14" s="3"/>
      <c r="M14" s="3"/>
      <c r="N14" s="3">
        <v>1</v>
      </c>
      <c r="Q14" s="138"/>
      <c r="R14" s="138" t="s">
        <v>149</v>
      </c>
      <c r="S14" s="138"/>
      <c r="X14" s="4"/>
      <c r="Y14" s="4"/>
      <c r="Z14" s="4"/>
      <c r="AA14" s="4"/>
      <c r="AB14" s="4"/>
      <c r="AC14" s="4"/>
      <c r="AD14" s="4"/>
    </row>
    <row r="15" spans="8:30">
      <c r="H15" s="101" t="s">
        <v>361</v>
      </c>
      <c r="I15" s="3"/>
      <c r="J15" s="3"/>
      <c r="K15" s="3">
        <v>1</v>
      </c>
      <c r="L15" s="3"/>
      <c r="M15" s="3"/>
      <c r="N15" s="3">
        <v>1</v>
      </c>
      <c r="X15" s="4"/>
      <c r="Y15" s="4"/>
      <c r="Z15" s="4"/>
      <c r="AA15" s="4"/>
      <c r="AB15" s="4"/>
      <c r="AC15" s="4"/>
      <c r="AD15" s="4"/>
    </row>
    <row r="16" spans="8:30">
      <c r="H16" s="101" t="s">
        <v>328</v>
      </c>
      <c r="I16" s="3"/>
      <c r="J16" s="3"/>
      <c r="K16" s="3"/>
      <c r="L16" s="3"/>
      <c r="M16" s="3">
        <v>1</v>
      </c>
      <c r="N16" s="3">
        <v>1</v>
      </c>
      <c r="X16" s="4"/>
      <c r="Y16" s="4"/>
      <c r="Z16" s="4"/>
      <c r="AA16" s="4"/>
      <c r="AB16" s="4"/>
      <c r="AC16" s="4"/>
      <c r="AD16" s="4"/>
    </row>
    <row r="17" spans="8:30">
      <c r="H17" s="101" t="s">
        <v>203</v>
      </c>
      <c r="I17" s="3">
        <v>1</v>
      </c>
      <c r="J17" s="3"/>
      <c r="K17" s="3"/>
      <c r="L17" s="3"/>
      <c r="M17" s="3"/>
      <c r="N17" s="3">
        <v>1</v>
      </c>
      <c r="X17" s="4"/>
      <c r="Y17" s="4"/>
      <c r="Z17" s="4"/>
      <c r="AA17" s="4"/>
      <c r="AB17" s="4"/>
      <c r="AC17" s="4"/>
      <c r="AD17" s="4"/>
    </row>
    <row r="18" spans="8:30">
      <c r="H18" s="101" t="s">
        <v>3175</v>
      </c>
      <c r="I18" s="3"/>
      <c r="J18" s="3"/>
      <c r="K18" s="3">
        <v>1</v>
      </c>
      <c r="L18" s="3"/>
      <c r="M18" s="3"/>
      <c r="N18" s="3">
        <v>1</v>
      </c>
      <c r="X18" s="4"/>
      <c r="Y18" s="4"/>
      <c r="Z18" s="4"/>
      <c r="AA18" s="4"/>
      <c r="AB18" s="4"/>
      <c r="AC18" s="4"/>
      <c r="AD18" s="4"/>
    </row>
    <row r="19" spans="8:30">
      <c r="H19" s="101" t="s">
        <v>2084</v>
      </c>
      <c r="I19" s="3"/>
      <c r="J19" s="3"/>
      <c r="K19" s="3"/>
      <c r="L19" s="3">
        <v>1</v>
      </c>
      <c r="M19" s="3"/>
      <c r="N19" s="3">
        <v>1</v>
      </c>
      <c r="X19" s="4"/>
      <c r="Y19" s="4"/>
      <c r="Z19" s="4"/>
      <c r="AA19" s="4"/>
      <c r="AB19" s="4"/>
      <c r="AC19" s="4"/>
      <c r="AD19" s="4"/>
    </row>
    <row r="20" spans="8:30">
      <c r="H20" s="101" t="s">
        <v>2011</v>
      </c>
      <c r="I20" s="3"/>
      <c r="J20" s="3"/>
      <c r="K20" s="3"/>
      <c r="L20" s="3"/>
      <c r="M20" s="3">
        <v>1</v>
      </c>
      <c r="N20" s="3">
        <v>1</v>
      </c>
      <c r="X20" s="4"/>
      <c r="Y20" s="4"/>
      <c r="Z20" s="4"/>
      <c r="AA20" s="5" t="s">
        <v>149</v>
      </c>
      <c r="AB20" s="4"/>
      <c r="AC20" s="4"/>
      <c r="AD20" s="4"/>
    </row>
    <row r="21" spans="8:30">
      <c r="H21" s="101" t="s">
        <v>167</v>
      </c>
      <c r="I21" s="3"/>
      <c r="J21" s="3"/>
      <c r="K21" s="3"/>
      <c r="L21" s="3">
        <v>1</v>
      </c>
      <c r="M21" s="3"/>
      <c r="N21" s="3">
        <v>1</v>
      </c>
      <c r="X21" s="4"/>
      <c r="Y21" s="4"/>
      <c r="Z21" s="4"/>
      <c r="AA21" s="4"/>
      <c r="AB21" s="4"/>
      <c r="AC21" s="4"/>
      <c r="AD21" s="4"/>
    </row>
    <row r="22" spans="8:30">
      <c r="H22" s="101" t="s">
        <v>270</v>
      </c>
      <c r="I22" s="3"/>
      <c r="J22" s="3">
        <v>1</v>
      </c>
      <c r="K22" s="3"/>
      <c r="L22" s="3"/>
      <c r="M22" s="3"/>
      <c r="N22" s="3">
        <v>1</v>
      </c>
      <c r="X22" s="4"/>
      <c r="Y22" s="4"/>
      <c r="Z22" s="4"/>
      <c r="AA22" s="4"/>
      <c r="AB22" s="4"/>
      <c r="AC22" s="4"/>
      <c r="AD22" s="4"/>
    </row>
    <row r="23" spans="8:30">
      <c r="H23" s="101" t="s">
        <v>313</v>
      </c>
      <c r="I23" s="3"/>
      <c r="J23" s="3"/>
      <c r="K23" s="3"/>
      <c r="L23" s="3"/>
      <c r="M23" s="3">
        <v>1</v>
      </c>
      <c r="N23" s="3">
        <v>1</v>
      </c>
      <c r="X23" s="4"/>
      <c r="Y23" s="4"/>
      <c r="Z23" s="4"/>
      <c r="AA23" s="4"/>
      <c r="AB23" s="4"/>
      <c r="AC23" s="4"/>
      <c r="AD23" s="4"/>
    </row>
    <row r="24" spans="8:30">
      <c r="H24" s="101" t="s">
        <v>1253</v>
      </c>
      <c r="I24" s="3">
        <v>1</v>
      </c>
      <c r="J24" s="3"/>
      <c r="K24" s="3"/>
      <c r="L24" s="3"/>
      <c r="M24" s="3"/>
      <c r="N24" s="3">
        <v>1</v>
      </c>
    </row>
    <row r="25" spans="8:30">
      <c r="H25" s="2" t="s">
        <v>4723</v>
      </c>
      <c r="I25" s="3">
        <v>2</v>
      </c>
      <c r="J25" s="3">
        <v>1</v>
      </c>
      <c r="K25" s="3">
        <v>4</v>
      </c>
      <c r="L25" s="3">
        <v>2</v>
      </c>
      <c r="M25" s="3">
        <v>4</v>
      </c>
      <c r="N25" s="3">
        <v>13</v>
      </c>
    </row>
  </sheetData>
  <mergeCells count="2">
    <mergeCell ref="S7:V8"/>
    <mergeCell ref="J7:N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cekunit</vt:lpstr>
      <vt:lpstr>coll</vt:lpstr>
      <vt:lpstr>all coll</vt:lpstr>
      <vt:lpstr>all dep</vt:lpstr>
      <vt:lpstr>terdetect</vt:lpstr>
      <vt:lpstr>realisasi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Riduwan</dc:creator>
  <cp:lastModifiedBy>pc</cp:lastModifiedBy>
  <dcterms:created xsi:type="dcterms:W3CDTF">2025-07-21T09:59:00Z</dcterms:created>
  <dcterms:modified xsi:type="dcterms:W3CDTF">2025-11-19T10:20:52Z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5AD7FFDF0CDB4FC2B8E84C35D41124E5_12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true</vt:bool>
  </property>
</Properties>
</file>